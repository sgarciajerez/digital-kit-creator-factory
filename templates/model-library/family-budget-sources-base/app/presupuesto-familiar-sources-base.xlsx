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Creador de Excels\templates\model-library\family-budget-sources-base\app\"/>
    </mc:Choice>
  </mc:AlternateContent>
  <xr:revisionPtr revIDLastSave="0" documentId="13_ncr:1_{25990813-A0A6-48C7-AE91-104FB7CB5807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Inicio" sheetId="1" r:id="rId1"/>
    <sheet name="Resumen" sheetId="2" r:id="rId2"/>
    <sheet name="Presupuesto" sheetId="3" r:id="rId3"/>
    <sheet name="Gastos reales" sheetId="4" r:id="rId4"/>
    <sheet name="Movimientos" sheetId="5" r:id="rId5"/>
    <sheet name="Flujo de caja" sheetId="6" r:id="rId6"/>
    <sheet name="Metas y fondo" sheetId="7" r:id="rId7"/>
    <sheet name="Deudas" sheetId="8" r:id="rId8"/>
    <sheet name="Listas" sheetId="9" r:id="rId9"/>
  </sheets>
  <definedNames>
    <definedName name="_xlnm.Print_Area" localSheetId="7">Deudas!$B$2:$H$32</definedName>
    <definedName name="_xlnm.Print_Area" localSheetId="5">'Flujo de caja'!$B$2:$Q$32</definedName>
    <definedName name="_xlnm.Print_Area" localSheetId="3">'Gastos reales'!$B$2:$O$32</definedName>
    <definedName name="_xlnm.Print_Area" localSheetId="0">Inicio!$B$2:$J$32</definedName>
    <definedName name="_xlnm.Print_Area" localSheetId="8">Listas!$B$2:$M$32</definedName>
    <definedName name="_xlnm.Print_Area" localSheetId="6">'Metas y fondo'!$B$2:$J$32</definedName>
    <definedName name="_xlnm.Print_Area" localSheetId="4">Movimientos!$B$2:$M$32</definedName>
    <definedName name="_xlnm.Print_Area" localSheetId="2">Presupuesto!$B$2:$O$32</definedName>
    <definedName name="_xlnm.Print_Area" localSheetId="1">Resumen!$B$2:$N$32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8" l="1"/>
  <c r="C11" i="8"/>
  <c r="H10" i="8"/>
  <c r="G10" i="8"/>
  <c r="H9" i="8"/>
  <c r="G9" i="8"/>
  <c r="H8" i="8"/>
  <c r="G8" i="8"/>
  <c r="G11" i="8" s="1"/>
  <c r="F13" i="7"/>
  <c r="H12" i="7"/>
  <c r="J12" i="7" s="1"/>
  <c r="G12" i="7"/>
  <c r="E12" i="7"/>
  <c r="E11" i="7"/>
  <c r="H11" i="7" s="1"/>
  <c r="J11" i="7" s="1"/>
  <c r="G10" i="7"/>
  <c r="E10" i="7"/>
  <c r="E13" i="7" s="1"/>
  <c r="I7" i="7"/>
  <c r="C7" i="7"/>
  <c r="H19" i="6"/>
  <c r="G19" i="6"/>
  <c r="E19" i="6"/>
  <c r="D19" i="6"/>
  <c r="C19" i="6"/>
  <c r="H18" i="6"/>
  <c r="G18" i="6"/>
  <c r="E18" i="6"/>
  <c r="D18" i="6"/>
  <c r="C18" i="6"/>
  <c r="H17" i="6"/>
  <c r="G17" i="6"/>
  <c r="E17" i="6"/>
  <c r="D17" i="6"/>
  <c r="C17" i="6"/>
  <c r="H16" i="6"/>
  <c r="G16" i="6"/>
  <c r="E16" i="6"/>
  <c r="D16" i="6"/>
  <c r="C16" i="6"/>
  <c r="H15" i="6"/>
  <c r="G15" i="6"/>
  <c r="E15" i="6"/>
  <c r="D15" i="6"/>
  <c r="C15" i="6"/>
  <c r="H14" i="6"/>
  <c r="G14" i="6"/>
  <c r="E14" i="6"/>
  <c r="D14" i="6"/>
  <c r="C14" i="6"/>
  <c r="H13" i="6"/>
  <c r="G13" i="6"/>
  <c r="E13" i="6"/>
  <c r="D13" i="6"/>
  <c r="C13" i="6"/>
  <c r="H12" i="6"/>
  <c r="G12" i="6"/>
  <c r="E12" i="6"/>
  <c r="D12" i="6"/>
  <c r="C12" i="6"/>
  <c r="H11" i="6"/>
  <c r="G11" i="6"/>
  <c r="E11" i="6"/>
  <c r="D11" i="6"/>
  <c r="C11" i="6"/>
  <c r="H10" i="6"/>
  <c r="G10" i="6"/>
  <c r="E10" i="6"/>
  <c r="D10" i="6"/>
  <c r="C10" i="6"/>
  <c r="H9" i="6"/>
  <c r="G9" i="6"/>
  <c r="E9" i="6"/>
  <c r="D9" i="6"/>
  <c r="C9" i="6"/>
  <c r="H8" i="6"/>
  <c r="G8" i="6"/>
  <c r="G20" i="6" s="1"/>
  <c r="E8" i="6"/>
  <c r="D8" i="6"/>
  <c r="C8" i="6"/>
  <c r="N14" i="4"/>
  <c r="M14" i="4"/>
  <c r="J14" i="4"/>
  <c r="B14" i="4"/>
  <c r="K14" i="4" s="1"/>
  <c r="N13" i="4"/>
  <c r="L13" i="4"/>
  <c r="B13" i="4"/>
  <c r="M13" i="4" s="1"/>
  <c r="B12" i="4"/>
  <c r="C12" i="4" s="1"/>
  <c r="B11" i="4"/>
  <c r="N11" i="4" s="1"/>
  <c r="I10" i="4"/>
  <c r="B10" i="4"/>
  <c r="D10" i="4" s="1"/>
  <c r="L9" i="4"/>
  <c r="B9" i="4"/>
  <c r="G9" i="4" s="1"/>
  <c r="L8" i="4"/>
  <c r="J8" i="4"/>
  <c r="B8" i="4"/>
  <c r="K8" i="4" s="1"/>
  <c r="N15" i="3"/>
  <c r="M15" i="3"/>
  <c r="L15" i="3"/>
  <c r="K15" i="3"/>
  <c r="J15" i="3"/>
  <c r="I15" i="3"/>
  <c r="H15" i="3"/>
  <c r="G15" i="3"/>
  <c r="F15" i="3"/>
  <c r="E15" i="3"/>
  <c r="D15" i="3"/>
  <c r="C15" i="3"/>
  <c r="O14" i="3"/>
  <c r="O13" i="3"/>
  <c r="O12" i="3"/>
  <c r="O15" i="3" s="1"/>
  <c r="O11" i="3"/>
  <c r="O10" i="3"/>
  <c r="O9" i="3"/>
  <c r="O8" i="3"/>
  <c r="B18" i="2"/>
  <c r="B17" i="2"/>
  <c r="B16" i="2"/>
  <c r="B15" i="2"/>
  <c r="B14" i="2"/>
  <c r="B13" i="2"/>
  <c r="B12" i="2"/>
  <c r="C5" i="2"/>
  <c r="H11" i="1"/>
  <c r="H10" i="1"/>
  <c r="H9" i="1"/>
  <c r="H8" i="1"/>
  <c r="H7" i="1"/>
  <c r="I11" i="4" l="1"/>
  <c r="J10" i="4"/>
  <c r="I9" i="4"/>
  <c r="K10" i="4"/>
  <c r="K11" i="4"/>
  <c r="C20" i="6"/>
  <c r="H9" i="4"/>
  <c r="J9" i="4"/>
  <c r="L10" i="4"/>
  <c r="L11" i="4"/>
  <c r="D20" i="6"/>
  <c r="J11" i="4"/>
  <c r="K9" i="4"/>
  <c r="M10" i="4"/>
  <c r="M11" i="4"/>
  <c r="E20" i="6"/>
  <c r="C12" i="2"/>
  <c r="M9" i="4"/>
  <c r="C11" i="4"/>
  <c r="O11" i="4" s="1"/>
  <c r="H20" i="6"/>
  <c r="H10" i="7"/>
  <c r="J10" i="7" s="1"/>
  <c r="D11" i="4"/>
  <c r="E10" i="4"/>
  <c r="E11" i="4"/>
  <c r="G11" i="7"/>
  <c r="G13" i="7" s="1"/>
  <c r="F10" i="4"/>
  <c r="F11" i="4"/>
  <c r="G10" i="4"/>
  <c r="G11" i="4"/>
  <c r="D15" i="2"/>
  <c r="C17" i="2"/>
  <c r="M8" i="4"/>
  <c r="H10" i="4"/>
  <c r="H11" i="4"/>
  <c r="L14" i="4"/>
  <c r="H13" i="7"/>
  <c r="C18" i="2"/>
  <c r="D16" i="2"/>
  <c r="N12" i="4"/>
  <c r="C16" i="2"/>
  <c r="E16" i="2" s="1"/>
  <c r="D12" i="4"/>
  <c r="D8" i="4"/>
  <c r="N9" i="4"/>
  <c r="E14" i="4"/>
  <c r="F8" i="4"/>
  <c r="D9" i="4"/>
  <c r="N10" i="4"/>
  <c r="J12" i="4"/>
  <c r="H13" i="4"/>
  <c r="F14" i="4"/>
  <c r="C14" i="2"/>
  <c r="F12" i="4"/>
  <c r="D13" i="4"/>
  <c r="C8" i="4"/>
  <c r="D12" i="2" s="1"/>
  <c r="H12" i="4"/>
  <c r="F13" i="4"/>
  <c r="E8" i="4"/>
  <c r="C9" i="4"/>
  <c r="D13" i="2" s="1"/>
  <c r="F13" i="2" s="1"/>
  <c r="K12" i="4"/>
  <c r="I13" i="4"/>
  <c r="G14" i="4"/>
  <c r="H7" i="2"/>
  <c r="G12" i="4"/>
  <c r="E13" i="4"/>
  <c r="D14" i="4"/>
  <c r="I12" i="4"/>
  <c r="G13" i="4"/>
  <c r="C15" i="2"/>
  <c r="E15" i="2" s="1"/>
  <c r="G8" i="4"/>
  <c r="E9" i="4"/>
  <c r="C10" i="4"/>
  <c r="O10" i="4" s="1"/>
  <c r="H8" i="4"/>
  <c r="F9" i="4"/>
  <c r="L12" i="4"/>
  <c r="F17" i="6" s="1"/>
  <c r="I17" i="6" s="1"/>
  <c r="J13" i="4"/>
  <c r="F15" i="6" s="1"/>
  <c r="I15" i="6" s="1"/>
  <c r="H14" i="4"/>
  <c r="E12" i="4"/>
  <c r="C13" i="4"/>
  <c r="D17" i="2" s="1"/>
  <c r="N8" i="4"/>
  <c r="C14" i="4"/>
  <c r="D18" i="2" s="1"/>
  <c r="F18" i="2" s="1"/>
  <c r="C13" i="2"/>
  <c r="I8" i="4"/>
  <c r="M12" i="4"/>
  <c r="F18" i="6" s="1"/>
  <c r="I18" i="6" s="1"/>
  <c r="K13" i="4"/>
  <c r="I14" i="4"/>
  <c r="B7" i="2"/>
  <c r="O12" i="4" l="1"/>
  <c r="F16" i="6"/>
  <c r="I16" i="6" s="1"/>
  <c r="J15" i="4"/>
  <c r="K15" i="4"/>
  <c r="F17" i="2"/>
  <c r="E17" i="2"/>
  <c r="F12" i="2"/>
  <c r="F8" i="6"/>
  <c r="C15" i="4"/>
  <c r="O8" i="4"/>
  <c r="L15" i="4"/>
  <c r="F9" i="6"/>
  <c r="I9" i="6" s="1"/>
  <c r="D15" i="4"/>
  <c r="M15" i="4"/>
  <c r="D14" i="2"/>
  <c r="F14" i="2" s="1"/>
  <c r="F15" i="4"/>
  <c r="F11" i="6"/>
  <c r="I11" i="6" s="1"/>
  <c r="I15" i="4"/>
  <c r="F14" i="6"/>
  <c r="I14" i="6" s="1"/>
  <c r="E13" i="2"/>
  <c r="F15" i="2"/>
  <c r="O14" i="4"/>
  <c r="F12" i="6"/>
  <c r="I12" i="6" s="1"/>
  <c r="G15" i="4"/>
  <c r="O9" i="4"/>
  <c r="F16" i="2"/>
  <c r="E12" i="2"/>
  <c r="O13" i="4"/>
  <c r="H15" i="4"/>
  <c r="F13" i="6"/>
  <c r="I13" i="6" s="1"/>
  <c r="F19" i="6"/>
  <c r="I19" i="6" s="1"/>
  <c r="N15" i="4"/>
  <c r="F10" i="6"/>
  <c r="I10" i="6" s="1"/>
  <c r="E15" i="4"/>
  <c r="E18" i="2"/>
  <c r="C19" i="2"/>
  <c r="E14" i="2" l="1"/>
  <c r="D19" i="2"/>
  <c r="O15" i="4"/>
  <c r="F19" i="2"/>
  <c r="I8" i="6"/>
  <c r="F20" i="6"/>
  <c r="E7" i="2"/>
  <c r="E19" i="2"/>
  <c r="I20" i="6" l="1"/>
  <c r="K7" i="2"/>
</calcChain>
</file>

<file path=xl/sharedStrings.xml><?xml version="1.0" encoding="utf-8"?>
<sst xmlns="http://schemas.openxmlformats.org/spreadsheetml/2006/main" count="267" uniqueCount="175">
  <si>
    <t>PRESUPUESTO FAMILIAR · INICIO</t>
  </si>
  <si>
    <t>Una base clara para organizar el dinero del hogar</t>
  </si>
  <si>
    <t>Libro nativo construido desde 29 fuentes de templates/sources · las celdas amarillas son editables.</t>
  </si>
  <si>
    <t>CÓMO USARLO</t>
  </si>
  <si>
    <t>PARÁMETROS RÁPIDOS</t>
  </si>
  <si>
    <t>01</t>
  </si>
  <si>
    <t>Configura el hogar</t>
  </si>
  <si>
    <t>Cambia mes, ingresos, ahorro y miembros en Listas.</t>
  </si>
  <si>
    <t>Mes seleccionado</t>
  </si>
  <si>
    <t>02</t>
  </si>
  <si>
    <t>Planifica los meses</t>
  </si>
  <si>
    <t>Completa la matriz Presupuesto con tus importes.</t>
  </si>
  <si>
    <t>Ingresos netos</t>
  </si>
  <si>
    <t>03</t>
  </si>
  <si>
    <t>Registra cada movimiento</t>
  </si>
  <si>
    <t>Movimientos alimenta Gastos reales y Flujo de caja.</t>
  </si>
  <si>
    <t>Ahorro objetivo</t>
  </si>
  <si>
    <t>04</t>
  </si>
  <si>
    <t>Revisa y decide</t>
  </si>
  <si>
    <t>Resumen, Metas y Deudas convierten los datos en acciones.</t>
  </si>
  <si>
    <t>Miembro A</t>
  </si>
  <si>
    <t>Miembro B</t>
  </si>
  <si>
    <t>MAPA DEL LIBRO</t>
  </si>
  <si>
    <t>Resumen</t>
  </si>
  <si>
    <t>Panel mensual con indicadores, desviación por categoría y gráfico.</t>
  </si>
  <si>
    <t>Presupuesto</t>
  </si>
  <si>
    <t>Matriz anual planificada, inspirada en los libros mensuales y anuales.</t>
  </si>
  <si>
    <t>Gastos reales</t>
  </si>
  <si>
    <t>Matriz calculada a partir del registro de movimientos.</t>
  </si>
  <si>
    <t>Movimientos</t>
  </si>
  <si>
    <t>Diario de ingresos, gastos y ahorros con listas desplegables.</t>
  </si>
  <si>
    <t>Flujo de caja</t>
  </si>
  <si>
    <t>Lectura mensual de ingresos, gastos, ahorro y disponible.</t>
  </si>
  <si>
    <t>Metas y fondo</t>
  </si>
  <si>
    <t>Fondo de emergencia y objetivos con progreso y fecha.</t>
  </si>
  <si>
    <t>Deudas</t>
  </si>
  <si>
    <t>Pagos comprometidos, interés estimado y meses restantes.</t>
  </si>
  <si>
    <t>Listas</t>
  </si>
  <si>
    <t>Parámetros editables y catálogos que alimentan las validaciones.</t>
  </si>
  <si>
    <t>Consejo: duplica el archivo antes de iniciar un nuevo año. El encuadre y las fórmulas quedan protegidos por una estructura simple, visible y fácil de adaptar.</t>
  </si>
  <si>
    <t>PRESUPUESTO FAMILIAR · RESUMEN</t>
  </si>
  <si>
    <t>El mes, en una sola pantalla</t>
  </si>
  <si>
    <t>Panel de decisión inspirado en los balances, reportes mensuales y comparaciones presupuesto/real de las fuentes.</t>
  </si>
  <si>
    <t>INGRESOS REALES</t>
  </si>
  <si>
    <t>GASTOS REALES</t>
  </si>
  <si>
    <t>AHORRO REAL</t>
  </si>
  <si>
    <t>DISPONIBLE</t>
  </si>
  <si>
    <t>GASTO POR CATEGORÍA</t>
  </si>
  <si>
    <t>Categoría</t>
  </si>
  <si>
    <t>Plan</t>
  </si>
  <si>
    <t>Real</t>
  </si>
  <si>
    <t>Diferencia</t>
  </si>
  <si>
    <t>% gastado</t>
  </si>
  <si>
    <t>TOTAL</t>
  </si>
  <si>
    <t>La diferencia es Plan - Real: positiva = queda margen; negativa = la categoría ha superado lo previsto.</t>
  </si>
  <si>
    <t>PRESUPUESTO FAMILIAR · PRESUPUESTO</t>
  </si>
  <si>
    <t>Presupuesto planificado por mes</t>
  </si>
  <si>
    <t>Matriz anual con la distribución temporal que se repite en los ejemplos de presupuesto personal, ventas y empresas.</t>
  </si>
  <si>
    <t>PLAN ANUAL · CELDAS AMARILLAS = ENTRADA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</si>
  <si>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</si>
  <si>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</si>
  <si>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</si>
  <si>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</si>
  <si>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</si>
  <si>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</si>
  <si>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</si>
  <si>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</si>
  <si>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</si>
  <si>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</si>
  <si>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</si>
  <si>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</si>
  <si>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</si>
  <si>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Vivienda</t>
  </si>
  <si>
    <t>Alimentación</t>
  </si>
  <si>
    <t>Transporte</t>
  </si>
  <si>
    <t>Salud</t>
  </si>
  <si>
    <t>Educación</t>
  </si>
  <si>
    <t>Ocio</t>
  </si>
  <si>
    <t>Otros</t>
  </si>
  <si>
    <t>TOTAL DEL HOGAR</t>
  </si>
  <si>
    <t>La matriz conserva el patrón de los presupuestos mensual/anual: categorías en filas, meses en columnas y total anual calculado a la derecha.</t>
  </si>
  <si>
    <t>PRESUPUESTO FAMILIAR · GASTOS REALES</t>
  </si>
  <si>
    <t>Gasto real calculado desde los movimientos</t>
  </si>
  <si>
    <t>Cada importe se obtiene del diario de movimientos; no hace falta duplicar la entrada en dos hojas.</t>
  </si>
  <si>
    <t>REAL ACUMULADO · FÓRMULAS AZULES</t>
  </si>
  <si>
    <t>La hoja sigue el patrón de los ejemplos de presupuesto versus gastado, pero centraliza el dato real en Movimientos para evitar descuadres.</t>
  </si>
  <si>
    <t>PRESUPUESTO FAMILIAR · MOVIMIENTOS</t>
  </si>
  <si>
    <t>Diario de ingresos, gastos y ahorros</t>
  </si>
  <si>
    <t>Registra cada operación una sola vez; las hojas de análisis la agrupan por mes y categoría.</t>
  </si>
  <si>
    <t>REGISTRO OPERATIVO · ENTRADA MANUAL</t>
  </si>
  <si>
    <t>REGLAS DEL DIARIO</t>
  </si>
  <si>
    <t>Fecha</t>
  </si>
  <si>
    <t>Mes</t>
  </si>
  <si>
    <t>Tipo</t>
  </si>
  <si>
    <t>Concepto</t>
  </si>
  <si>
    <t>Importe</t>
  </si>
  <si>
    <t>Pagado por</t>
  </si>
  <si>
    <t>Estado</t>
  </si>
  <si>
    <t>Una fila = una operación. Usa Tipo para separar ingresos, gastos y ahorros; no introduzcas un gasto manual también en Gastos reales.</t>
  </si>
  <si>
    <t>Gasto</t>
  </si>
  <si>
    <t>Compra semanal</t>
  </si>
  <si>
    <t>Familia</t>
  </si>
  <si>
    <t>Conciliado</t>
  </si>
  <si>
    <t>Electricidad</t>
  </si>
  <si>
    <t>Abono mensual</t>
  </si>
  <si>
    <t>Ana</t>
  </si>
  <si>
    <t>Pendiente</t>
  </si>
  <si>
    <t>Farmacia</t>
  </si>
  <si>
    <t>Carlos</t>
  </si>
  <si>
    <t>Ingreso</t>
  </si>
  <si>
    <t>Nómina</t>
  </si>
  <si>
    <t>Las listas desplegables mantienen consistentes los nombres que usan los resúmenes y gráficos.</t>
  </si>
  <si>
    <t>Ahorro</t>
  </si>
  <si>
    <t>Fondo de emergencia</t>
  </si>
  <si>
    <t>PRESUPUESTO FAMILIAR · FLUJO DE CAJA</t>
  </si>
  <si>
    <t>Flujo de caja mensual</t>
  </si>
  <si>
    <t>La lectura anual combina ingresos, gastos planificados, movimientos reales, ahorro y saldo disponible.</t>
  </si>
  <si>
    <t>LECTURA MENSUAL</t>
  </si>
  <si>
    <t>Ingresos plan</t>
  </si>
  <si>
    <t>Ingresos real</t>
  </si>
  <si>
    <t>Gastos plan</t>
  </si>
  <si>
    <t>Gastos real</t>
  </si>
  <si>
    <t>Ahorro plan</t>
  </si>
  <si>
    <t>Ahorro real</t>
  </si>
  <si>
    <t>Disponible</t>
  </si>
  <si>
    <t>Comentarios</t>
  </si>
  <si>
    <t>TOTAL ANUAL</t>
  </si>
  <si>
    <t>El saldo disponible se calcula como ingreso real menos gasto real y ahorro real; sirve como señal de revisión, no como asesoramiento financiero.</t>
  </si>
  <si>
    <t>PRESUPUESTO FAMILIAR · METAS Y FONDO</t>
  </si>
  <si>
    <t>Metas de ahorro y fondo de emergencia</t>
  </si>
  <si>
    <t>El bloque de metas recoge el patrón de fondo necesario, ahorro acumulado, pendiente y fecha de logro.</t>
  </si>
  <si>
    <t>PARÁMETROS DE LA META</t>
  </si>
  <si>
    <t>Mes actual</t>
  </si>
  <si>
    <t>Inflación mensual</t>
  </si>
  <si>
    <t>Ahorro mensual</t>
  </si>
  <si>
    <t>Meta</t>
  </si>
  <si>
    <t>Gasto mensual</t>
  </si>
  <si>
    <t>Meses</t>
  </si>
  <si>
    <t>Meta necesaria</t>
  </si>
  <si>
    <t>Ahorrado</t>
  </si>
  <si>
    <t>Progreso</t>
  </si>
  <si>
    <t>Fecha objetivo</t>
  </si>
  <si>
    <t>Vacaciones</t>
  </si>
  <si>
    <t>Reparaciones del hogar</t>
  </si>
  <si>
    <t>El fondo de emergencia se expresa como meses de gasto, igual que en las fuentes de fondo de emergencia; las demás metas pueden usar un objetivo directo cambiando Meses a 1.</t>
  </si>
  <si>
    <t>PRESUPUESTO FAMILIAR · DEUDAS</t>
  </si>
  <si>
    <t>Deudas y pagos comprometidos</t>
  </si>
  <si>
    <t>Bloque compacto inspirado en las hojas de comparación de hipotecas y amortización del préstamo.</t>
  </si>
  <si>
    <t>OBLIGACIONES ABIERTAS</t>
  </si>
  <si>
    <t>Deuda</t>
  </si>
  <si>
    <t>Saldo actual</t>
  </si>
  <si>
    <t>Interés anual</t>
  </si>
  <si>
    <t>Pago mensual</t>
  </si>
  <si>
    <t>Meses restantes</t>
  </si>
  <si>
    <t>Interés estimado</t>
  </si>
  <si>
    <t>Hipoteca</t>
  </si>
  <si>
    <t>Préstamo coche</t>
  </si>
  <si>
    <t>Tarjeta</t>
  </si>
  <si>
    <t>El interés estimado es una señal orientativa basada en saldo × tasa × meses / 12; para una amortización contractual completa, sustituye este bloque por un calendario específico.</t>
  </si>
  <si>
    <t>PRESUPUESTO FAMILIAR · LISTAS</t>
  </si>
  <si>
    <t>Parámetros y catálogos editables</t>
  </si>
  <si>
    <t>Cambia aquí los valores amarillos; las listas alimentan las validaciones del resto del libro.</t>
  </si>
  <si>
    <t>PARÁMETROS DEL HOGAR</t>
  </si>
  <si>
    <t>MESES</t>
  </si>
  <si>
    <t>TIPOS</t>
  </si>
  <si>
    <t>CATEGORÍAS</t>
  </si>
  <si>
    <t>MIEMBROS</t>
  </si>
  <si>
    <t>ESTADOS</t>
  </si>
  <si>
    <t>Parámetro</t>
  </si>
  <si>
    <t>Valor</t>
  </si>
  <si>
    <t>Ingresos netos mensuales</t>
  </si>
  <si>
    <t>Ahorro mensual objetivo</t>
  </si>
  <si>
    <t>Moneda</t>
  </si>
  <si>
    <t>EUR</t>
  </si>
  <si>
    <t>Las listas son visibles para que las futuras plantillas puedan sustituir categorías sin esconder la lógica del libro.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</si>
</sst>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color rgb="FF0F766E"/>
      <name val="Aptos"/>
    </font>
    <font>
      <b/>
      <sz val="23"/>
      <color rgb="FF164E63"/>
      <name val="Aptos"/>
    </font>
    <font>
      <sz val="10"/>
      <color rgb="FF60767D"/>
      <name val="Aptos"/>
    </font>
    <font>
      <b/>
      <sz val="10"/>
      <color rgb="FFFFFFFF"/>
      <name val="Aptos"/>
    </font>
    <font>
      <b/>
      <sz val="12"/>
      <color rgb="FF0F766E"/>
      <name val="Aptos"/>
    </font>
    <font>
      <b/>
      <sz val="10"/>
      <color rgb="FF164E63"/>
      <name val="Aptos"/>
    </font>
    <font>
      <sz val="9"/>
      <color rgb="FF60767D"/>
      <name val="Aptos"/>
    </font>
    <font>
      <b/>
      <sz val="9"/>
      <color rgb="FF60767D"/>
      <name val="Aptos"/>
    </font>
    <font>
      <b/>
      <sz val="11"/>
      <color rgb="FF164E63"/>
      <name val="Aptos"/>
    </font>
    <font>
      <b/>
      <sz val="9"/>
      <color rgb="FF164E63"/>
      <name val="Aptos"/>
    </font>
    <font>
      <sz val="9"/>
      <color rgb="FF20343D"/>
      <name val="Aptos"/>
    </font>
    <font>
      <b/>
      <sz val="10"/>
      <color rgb="FF20343D"/>
      <name val="Aptos"/>
    </font>
    <font>
      <b/>
      <sz val="19"/>
      <color rgb="FF164E63"/>
      <name val="Aptos"/>
    </font>
    <font>
      <b/>
      <sz val="9"/>
      <color rgb="FFFFFFFF"/>
      <name val="Aptos"/>
    </font>
    <font>
      <sz val="10"/>
      <color rgb="FF20343D"/>
      <name val="Aptos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DF3EF"/>
      </patternFill>
    </fill>
    <fill>
      <patternFill patternType="solid">
        <fgColor rgb="FFFFFFFF"/>
      </patternFill>
    </fill>
    <fill>
      <patternFill patternType="solid">
        <fgColor rgb="FF477D8E"/>
      </patternFill>
    </fill>
    <fill>
      <patternFill patternType="solid">
        <fgColor rgb="FFF4F8F7"/>
      </patternFill>
    </fill>
    <fill>
      <patternFill patternType="solid">
        <fgColor rgb="FFE8F0F5"/>
      </patternFill>
    </fill>
    <fill>
      <patternFill patternType="solid">
        <fgColor rgb="FF164E63"/>
      </patternFill>
    </fill>
    <fill>
      <patternFill patternType="solid">
        <fgColor rgb="FFE7F2EF"/>
      </patternFill>
    </fill>
    <fill>
      <patternFill patternType="solid">
        <fgColor rgb="FFEDF4F5"/>
      </patternFill>
    </fill>
    <fill>
      <patternFill patternType="solid">
        <fgColor rgb="FF5C8D9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4D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2" xfId="0" applyBorder="1"/>
    <xf numFmtId="0" fontId="5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4" fontId="15" fillId="7" borderId="1" xfId="0" applyNumberFormat="1" applyFont="1" applyFill="1" applyBorder="1" applyAlignment="1">
      <alignment horizontal="right" vertical="center" wrapText="1"/>
    </xf>
    <xf numFmtId="164" fontId="15" fillId="7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4" fontId="15" fillId="9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/>
    </xf>
    <xf numFmtId="14" fontId="15" fillId="9" borderId="1" xfId="0" applyNumberFormat="1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164" fontId="12" fillId="9" borderId="2" xfId="0" applyNumberFormat="1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left" vertical="center"/>
    </xf>
    <xf numFmtId="1" fontId="15" fillId="9" borderId="1" xfId="0" applyNumberFormat="1" applyFont="1" applyFill="1" applyBorder="1" applyAlignment="1">
      <alignment horizontal="right" vertical="center" wrapText="1"/>
    </xf>
    <xf numFmtId="14" fontId="15" fillId="9" borderId="1" xfId="0" applyNumberFormat="1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right" vertical="center" wrapText="1"/>
    </xf>
    <xf numFmtId="164" fontId="15" fillId="9" borderId="1" xfId="0" applyNumberFormat="1" applyFont="1" applyFill="1" applyBorder="1" applyAlignment="1">
      <alignment horizontal="right" vertical="center" wrapText="1"/>
    </xf>
    <xf numFmtId="0" fontId="15" fillId="3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4" fontId="9" fillId="7" borderId="2" xfId="0" applyNumberFormat="1" applyFont="1" applyFill="1" applyBorder="1" applyAlignment="1">
      <alignment horizontal="left" vertical="center"/>
    </xf>
    <xf numFmtId="0" fontId="0" fillId="0" borderId="2" xfId="0" applyBorder="1"/>
    <xf numFmtId="0" fontId="6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9" fillId="7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" fontId="13" fillId="3" borderId="2" xfId="0" applyNumberFormat="1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/>
    </xf>
    <xf numFmtId="4" fontId="13" fillId="9" borderId="2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4" fontId="13" fillId="10" borderId="2" xfId="0" applyNumberFormat="1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EDF4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Plan frente a real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Resumen!$C$11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F766E"/>
            </a:solidFill>
            <a:ln>
              <a:prstDash val="solid"/>
            </a:ln>
          </c:spPr>
          <c:invertIfNegative val="1"/>
          <c:cat>
            <c:strRef>
              <c:f>Resumen!$B$12:$B$18</c:f>
              <c:strCache>
                <c:ptCount val="7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</c:v>
                </c:pt>
                <c:pt idx="6">
                  <c:v>Otros</c:v>
                </c:pt>
              </c:strCache>
            </c:strRef>
          </c:cat>
          <c:val>
            <c:numRef>
              <c:f>Resumen!$C$12:$C$18</c:f>
              <c:numCache>
                <c:formatCode>#,##0.00</c:formatCode>
                <c:ptCount val="7"/>
                <c:pt idx="0">
                  <c:v>1100</c:v>
                </c:pt>
                <c:pt idx="1">
                  <c:v>420</c:v>
                </c:pt>
                <c:pt idx="2">
                  <c:v>250</c:v>
                </c:pt>
                <c:pt idx="3">
                  <c:v>350</c:v>
                </c:pt>
                <c:pt idx="4">
                  <c:v>140</c:v>
                </c:pt>
                <c:pt idx="5">
                  <c:v>280</c:v>
                </c:pt>
                <c:pt idx="6">
                  <c:v>160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A8-4F2A-A01D-67250B8AAB11}"/>
            </c:ext>
          </c:extLst>
        </c:ser>
        <c:ser>
          <c:idx val="1"/>
          <c:order val="1"/>
          <c:tx>
            <c:strRef>
              <c:f>Resumen!$D$11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477D8E"/>
            </a:solidFill>
            <a:ln>
              <a:prstDash val="solid"/>
            </a:ln>
          </c:spPr>
          <c:invertIfNegative val="1"/>
          <c:cat>
            <c:strRef>
              <c:f>Resumen!$B$12:$B$18</c:f>
              <c:strCache>
                <c:ptCount val="7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</c:v>
                </c:pt>
                <c:pt idx="6">
                  <c:v>Otros</c:v>
                </c:pt>
              </c:strCache>
            </c:strRef>
          </c:cat>
          <c:val>
            <c:numRef>
              <c:f>Resumen!$D$12:$D$18</c:f>
              <c:numCache>
                <c:formatCode>#,##0.00</c:formatCode>
                <c:ptCount val="7"/>
                <c:pt idx="0">
                  <c:v>62</c:v>
                </c:pt>
                <c:pt idx="1">
                  <c:v>86</c:v>
                </c:pt>
                <c:pt idx="2">
                  <c:v>48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A8-4F2A-A01D-67250B8A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Importe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Ingresos planificados y reales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'Flujo de caja'!$C$7</c:f>
              <c:strCache>
                <c:ptCount val="1"/>
                <c:pt idx="0">
                  <c:v>Ingresos plan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'Flujo de caja'!$B$8:$B$19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caja'!$C$8:$C$19</c:f>
              <c:numCache>
                <c:formatCode>#,##0.00</c:formatCode>
                <c:ptCount val="12"/>
                <c:pt idx="0">
                  <c:v>3200</c:v>
                </c:pt>
                <c:pt idx="1">
                  <c:v>3200</c:v>
                </c:pt>
                <c:pt idx="2">
                  <c:v>3200</c:v>
                </c:pt>
                <c:pt idx="3">
                  <c:v>3200</c:v>
                </c:pt>
                <c:pt idx="4">
                  <c:v>3200</c:v>
                </c:pt>
                <c:pt idx="5">
                  <c:v>3200</c:v>
                </c:pt>
                <c:pt idx="6">
                  <c:v>3200</c:v>
                </c:pt>
                <c:pt idx="7">
                  <c:v>3200</c:v>
                </c:pt>
                <c:pt idx="8">
                  <c:v>3200</c:v>
                </c:pt>
                <c:pt idx="9">
                  <c:v>3200</c:v>
                </c:pt>
                <c:pt idx="10">
                  <c:v>3200</c:v>
                </c:pt>
                <c:pt idx="11">
                  <c:v>3200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7B-4D2B-B66B-BF4A09368389}"/>
            </c:ext>
          </c:extLst>
        </c:ser>
        <c:ser>
          <c:idx val="1"/>
          <c:order val="1"/>
          <c:tx>
            <c:strRef>
              <c:f>'Flujo de caja'!$D$7</c:f>
              <c:strCache>
                <c:ptCount val="1"/>
                <c:pt idx="0">
                  <c:v>Ingresos 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'Flujo de caja'!$B$8:$B$19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caja'!$D$8:$D$19</c:f>
              <c:numCache>
                <c:formatCode>#,##0.00</c:formatCode>
                <c:ptCount val="12"/>
                <c:pt idx="0">
                  <c:v>3200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7B-4D2B-B66B-BF4A09368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Importe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Metas y fondo'!A1"/><Relationship Id="rId3" Type="http://schemas.openxmlformats.org/officeDocument/2006/relationships/hyperlink" Target="#'Resumen'!A1"/><Relationship Id="rId7" Type="http://schemas.openxmlformats.org/officeDocument/2006/relationships/hyperlink" Target="#'Flujo de caja'!A1"/><Relationship Id="rId12" Type="http://schemas.openxmlformats.org/officeDocument/2006/relationships/image" Target="../media/image2.svg"/><Relationship Id="rId2" Type="http://schemas.openxmlformats.org/officeDocument/2006/relationships/hyperlink" Target="#'Inicio'!A1"/><Relationship Id="rId1" Type="http://schemas.openxmlformats.org/officeDocument/2006/relationships/chart" Target="../charts/chart1.xml"/><Relationship Id="rId6" Type="http://schemas.openxmlformats.org/officeDocument/2006/relationships/hyperlink" Target="#'Movimientos'!A1"/><Relationship Id="rId11" Type="http://schemas.openxmlformats.org/officeDocument/2006/relationships/image" Target="../media/image1.png"/><Relationship Id="rId5" Type="http://schemas.openxmlformats.org/officeDocument/2006/relationships/hyperlink" Target="#'Gastos reales'!A1"/><Relationship Id="rId10" Type="http://schemas.openxmlformats.org/officeDocument/2006/relationships/hyperlink" Target="#'Listas'!A1"/><Relationship Id="rId4" Type="http://schemas.openxmlformats.org/officeDocument/2006/relationships/hyperlink" Target="#'Presupuesto'!A1"/><Relationship Id="rId9" Type="http://schemas.openxmlformats.org/officeDocument/2006/relationships/hyperlink" Target="#'Deudas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Metas y fondo'!A1"/><Relationship Id="rId3" Type="http://schemas.openxmlformats.org/officeDocument/2006/relationships/hyperlink" Target="#'Resumen'!A1"/><Relationship Id="rId7" Type="http://schemas.openxmlformats.org/officeDocument/2006/relationships/hyperlink" Target="#'Flujo de caja'!A1"/><Relationship Id="rId12" Type="http://schemas.openxmlformats.org/officeDocument/2006/relationships/image" Target="../media/image2.svg"/><Relationship Id="rId2" Type="http://schemas.openxmlformats.org/officeDocument/2006/relationships/hyperlink" Target="#'Inicio'!A1"/><Relationship Id="rId1" Type="http://schemas.openxmlformats.org/officeDocument/2006/relationships/chart" Target="../charts/chart2.xml"/><Relationship Id="rId6" Type="http://schemas.openxmlformats.org/officeDocument/2006/relationships/hyperlink" Target="#'Movimientos'!A1"/><Relationship Id="rId11" Type="http://schemas.openxmlformats.org/officeDocument/2006/relationships/image" Target="../media/image1.png"/><Relationship Id="rId5" Type="http://schemas.openxmlformats.org/officeDocument/2006/relationships/hyperlink" Target="#'Gastos reales'!A1"/><Relationship Id="rId10" Type="http://schemas.openxmlformats.org/officeDocument/2006/relationships/hyperlink" Target="#'Listas'!A1"/><Relationship Id="rId4" Type="http://schemas.openxmlformats.org/officeDocument/2006/relationships/hyperlink" Target="#'Presupuesto'!A1"/><Relationship Id="rId9" Type="http://schemas.openxmlformats.org/officeDocument/2006/relationships/hyperlink" Target="#'Deudas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25400</xdr:rowOff>
    </xdr:from>
    <xdr:to>
      <xdr:col>1</xdr:col>
      <xdr:colOff>863600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E9A307-BB49-B345-2364-9514227EBE72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914400</xdr:colOff>
      <xdr:row>0</xdr:row>
      <xdr:rowOff>25400</xdr:rowOff>
    </xdr:from>
    <xdr:to>
      <xdr:col>2</xdr:col>
      <xdr:colOff>577850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1D9207-C781-C87A-ED2D-E1C1C61FA2D1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628650</xdr:colOff>
      <xdr:row>0</xdr:row>
      <xdr:rowOff>25400</xdr:rowOff>
    </xdr:from>
    <xdr:to>
      <xdr:col>3</xdr:col>
      <xdr:colOff>158750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4DD2FA-6F0A-E9C1-9B42-8FC84639CFE9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209550</xdr:colOff>
      <xdr:row>0</xdr:row>
      <xdr:rowOff>25400</xdr:rowOff>
    </xdr:from>
    <xdr:to>
      <xdr:col>3</xdr:col>
      <xdr:colOff>1073150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B726C6-F24F-ED62-80D7-811E5EC7F613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3</xdr:col>
      <xdr:colOff>1123950</xdr:colOff>
      <xdr:row>0</xdr:row>
      <xdr:rowOff>25400</xdr:rowOff>
    </xdr:from>
    <xdr:to>
      <xdr:col>4</xdr:col>
      <xdr:colOff>654050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9E7A7B-9DFD-1EEB-215F-DF46326601AC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4</xdr:col>
      <xdr:colOff>704850</xdr:colOff>
      <xdr:row>0</xdr:row>
      <xdr:rowOff>25400</xdr:rowOff>
    </xdr:from>
    <xdr:to>
      <xdr:col>6</xdr:col>
      <xdr:colOff>34925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23228D-CED5-0BC6-3B42-925D945814C4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85725</xdr:colOff>
      <xdr:row>0</xdr:row>
      <xdr:rowOff>25400</xdr:rowOff>
    </xdr:from>
    <xdr:to>
      <xdr:col>6</xdr:col>
      <xdr:colOff>949325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90ADBA-38F7-8C55-A248-9773E6138AF8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6</xdr:col>
      <xdr:colOff>1000125</xdr:colOff>
      <xdr:row>0</xdr:row>
      <xdr:rowOff>25400</xdr:rowOff>
    </xdr:from>
    <xdr:to>
      <xdr:col>7</xdr:col>
      <xdr:colOff>463550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E28E775-C717-5C90-E09B-4940684A5A5A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7</xdr:col>
      <xdr:colOff>514350</xdr:colOff>
      <xdr:row>0</xdr:row>
      <xdr:rowOff>25400</xdr:rowOff>
    </xdr:from>
    <xdr:to>
      <xdr:col>8</xdr:col>
      <xdr:colOff>311150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BDD58BF-45E5-B089-41F6-2FB0847D9EC7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9</xdr:col>
      <xdr:colOff>711200</xdr:colOff>
      <xdr:row>1</xdr:row>
      <xdr:rowOff>12700</xdr:rowOff>
    </xdr:from>
    <xdr:to>
      <xdr:col>9</xdr:col>
      <xdr:colOff>1041400</xdr:colOff>
      <xdr:row>2</xdr:row>
      <xdr:rowOff>66675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186E00EA-894F-96A5-821B-56565BEEE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8456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3" name="Nav_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A303D9-6ACC-5627-FFA6-0CB3F47E8792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313657</xdr:colOff>
      <xdr:row>0</xdr:row>
      <xdr:rowOff>292100</xdr:rowOff>
    </xdr:to>
    <xdr:sp macro="" textlink="">
      <xdr:nvSpPr>
        <xdr:cNvPr id="4" name="Nav_Resume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B6DC34-6BC2-B28A-2A00-75CD51368162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364457</xdr:colOff>
      <xdr:row>0</xdr:row>
      <xdr:rowOff>25400</xdr:rowOff>
    </xdr:from>
    <xdr:to>
      <xdr:col>3</xdr:col>
      <xdr:colOff>165267</xdr:colOff>
      <xdr:row>0</xdr:row>
      <xdr:rowOff>292100</xdr:rowOff>
    </xdr:to>
    <xdr:sp macro="" textlink="">
      <xdr:nvSpPr>
        <xdr:cNvPr id="5" name="Nav_Presupues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214EF4-59CB-5AC3-1F45-18C42691B302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216067</xdr:colOff>
      <xdr:row>0</xdr:row>
      <xdr:rowOff>25400</xdr:rowOff>
    </xdr:from>
    <xdr:to>
      <xdr:col>4</xdr:col>
      <xdr:colOff>16878</xdr:colOff>
      <xdr:row>0</xdr:row>
      <xdr:rowOff>292100</xdr:rowOff>
    </xdr:to>
    <xdr:sp macro="" textlink="">
      <xdr:nvSpPr>
        <xdr:cNvPr id="6" name="Nav_Gastos_real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F57464-5AB2-1FCC-146E-C795FB844616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67678</xdr:colOff>
      <xdr:row>0</xdr:row>
      <xdr:rowOff>25400</xdr:rowOff>
    </xdr:from>
    <xdr:to>
      <xdr:col>4</xdr:col>
      <xdr:colOff>931278</xdr:colOff>
      <xdr:row>0</xdr:row>
      <xdr:rowOff>292100</xdr:rowOff>
    </xdr:to>
    <xdr:sp macro="" textlink="">
      <xdr:nvSpPr>
        <xdr:cNvPr id="7" name="Nav_Movimient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FFCE8B-3319-BAC3-D85A-8B56CB3F6932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4</xdr:col>
      <xdr:colOff>982078</xdr:colOff>
      <xdr:row>0</xdr:row>
      <xdr:rowOff>25400</xdr:rowOff>
    </xdr:from>
    <xdr:to>
      <xdr:col>5</xdr:col>
      <xdr:colOff>782888</xdr:colOff>
      <xdr:row>0</xdr:row>
      <xdr:rowOff>292100</xdr:rowOff>
    </xdr:to>
    <xdr:sp macro="" textlink="">
      <xdr:nvSpPr>
        <xdr:cNvPr id="8" name="Nav_Flujo_de_caj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68CFC9-D62D-1C2A-B49B-0FFEB3A9BBB7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5</xdr:col>
      <xdr:colOff>833688</xdr:colOff>
      <xdr:row>0</xdr:row>
      <xdr:rowOff>25400</xdr:rowOff>
    </xdr:from>
    <xdr:to>
      <xdr:col>7</xdr:col>
      <xdr:colOff>564314</xdr:colOff>
      <xdr:row>0</xdr:row>
      <xdr:rowOff>292100</xdr:rowOff>
    </xdr:to>
    <xdr:sp macro="" textlink="">
      <xdr:nvSpPr>
        <xdr:cNvPr id="9" name="Nav_Metas_y_fon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ACEF96-79B3-2AD0-00CC-FEF82E22EE9E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7</xdr:col>
      <xdr:colOff>615114</xdr:colOff>
      <xdr:row>0</xdr:row>
      <xdr:rowOff>25400</xdr:rowOff>
    </xdr:from>
    <xdr:to>
      <xdr:col>8</xdr:col>
      <xdr:colOff>676609</xdr:colOff>
      <xdr:row>0</xdr:row>
      <xdr:rowOff>292100</xdr:rowOff>
    </xdr:to>
    <xdr:sp macro="" textlink="">
      <xdr:nvSpPr>
        <xdr:cNvPr id="10" name="Nav_Deud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1ED992-4772-1586-3935-BE7715DCAA4A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8</xdr:col>
      <xdr:colOff>727409</xdr:colOff>
      <xdr:row>0</xdr:row>
      <xdr:rowOff>25400</xdr:rowOff>
    </xdr:from>
    <xdr:to>
      <xdr:col>9</xdr:col>
      <xdr:colOff>788904</xdr:colOff>
      <xdr:row>0</xdr:row>
      <xdr:rowOff>292100</xdr:rowOff>
    </xdr:to>
    <xdr:sp macro="" textlink="">
      <xdr:nvSpPr>
        <xdr:cNvPr id="11" name="Nav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FCACD71-F262-EC63-F025-6A844873EC63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13</xdr:col>
      <xdr:colOff>447508</xdr:colOff>
      <xdr:row>1</xdr:row>
      <xdr:rowOff>15708</xdr:rowOff>
    </xdr:from>
    <xdr:to>
      <xdr:col>13</xdr:col>
      <xdr:colOff>777708</xdr:colOff>
      <xdr:row>2</xdr:row>
      <xdr:rowOff>65171</xdr:rowOff>
    </xdr:to>
    <xdr:pic>
      <xdr:nvPicPr>
        <xdr:cNvPr id="13" name="FamilyBudgetIcon">
          <a:extLst>
            <a:ext uri="{FF2B5EF4-FFF2-40B4-BE49-F238E27FC236}">
              <a16:creationId xmlns:a16="http://schemas.microsoft.com/office/drawing/2014/main" id="{1AE52250-652E-B9BD-4E18-9ECA9A7347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245850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B87A2-65FE-0DF5-D809-E27DF9C1EBA2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2B778B-D093-36B6-9308-CF8812966F67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425951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79D942-76D0-6049-08FC-DEA340404404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476751</xdr:colOff>
      <xdr:row>0</xdr:row>
      <xdr:rowOff>25400</xdr:rowOff>
    </xdr:from>
    <xdr:to>
      <xdr:col>4</xdr:col>
      <xdr:colOff>608430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218157-C39D-D5E7-9A19-9388DC65F068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659230</xdr:colOff>
      <xdr:row>0</xdr:row>
      <xdr:rowOff>25400</xdr:rowOff>
    </xdr:from>
    <xdr:to>
      <xdr:col>6</xdr:col>
      <xdr:colOff>58988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629B8A-AD44-32FF-F93F-B3CF4B6C58B7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6</xdr:col>
      <xdr:colOff>109788</xdr:colOff>
      <xdr:row>0</xdr:row>
      <xdr:rowOff>25400</xdr:rowOff>
    </xdr:from>
    <xdr:to>
      <xdr:col>7</xdr:col>
      <xdr:colOff>241467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51AF38-21BC-CD9A-3DC7-A12A0C55CF08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7</xdr:col>
      <xdr:colOff>292267</xdr:colOff>
      <xdr:row>0</xdr:row>
      <xdr:rowOff>25400</xdr:rowOff>
    </xdr:from>
    <xdr:to>
      <xdr:col>8</xdr:col>
      <xdr:colOff>423946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74F064-3A11-395D-2693-4FA43234FF7B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8</xdr:col>
      <xdr:colOff>474746</xdr:colOff>
      <xdr:row>0</xdr:row>
      <xdr:rowOff>25400</xdr:rowOff>
    </xdr:from>
    <xdr:to>
      <xdr:col>9</xdr:col>
      <xdr:colOff>606425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BDC977E-1E49-D080-8100-A5862D8BC378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9</xdr:col>
      <xdr:colOff>657225</xdr:colOff>
      <xdr:row>0</xdr:row>
      <xdr:rowOff>25400</xdr:rowOff>
    </xdr:from>
    <xdr:to>
      <xdr:col>11</xdr:col>
      <xdr:colOff>56983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E00F2A3-AB8A-531D-8673-73FEA6A11B70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14</xdr:col>
      <xdr:colOff>661570</xdr:colOff>
      <xdr:row>1</xdr:row>
      <xdr:rowOff>15708</xdr:rowOff>
    </xdr:from>
    <xdr:to>
      <xdr:col>14</xdr:col>
      <xdr:colOff>991770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032E66E8-3A3A-9FE2-8C80-D53168C3C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791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0806E2-C23D-B79A-826A-175B4E0C3B88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1EA8FA-D19D-F72A-F2B9-365DBDFD09D8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425951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DBDD79-FC23-8D17-D0A2-9CC11876C2E6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476751</xdr:colOff>
      <xdr:row>0</xdr:row>
      <xdr:rowOff>25400</xdr:rowOff>
    </xdr:from>
    <xdr:to>
      <xdr:col>4</xdr:col>
      <xdr:colOff>608430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B631D5-C491-62F8-F8B6-A697228976EB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659230</xdr:colOff>
      <xdr:row>0</xdr:row>
      <xdr:rowOff>25400</xdr:rowOff>
    </xdr:from>
    <xdr:to>
      <xdr:col>6</xdr:col>
      <xdr:colOff>58988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9B2629-5AFF-D82C-FDC2-5D8815595513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6</xdr:col>
      <xdr:colOff>109788</xdr:colOff>
      <xdr:row>0</xdr:row>
      <xdr:rowOff>25400</xdr:rowOff>
    </xdr:from>
    <xdr:to>
      <xdr:col>7</xdr:col>
      <xdr:colOff>241467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F31985-7D1E-01C3-D373-1BB7DF310D8F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7</xdr:col>
      <xdr:colOff>292267</xdr:colOff>
      <xdr:row>0</xdr:row>
      <xdr:rowOff>25400</xdr:rowOff>
    </xdr:from>
    <xdr:to>
      <xdr:col>8</xdr:col>
      <xdr:colOff>423946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CBCEA95-A46F-F08C-33C2-BF1FBEC29872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8</xdr:col>
      <xdr:colOff>474746</xdr:colOff>
      <xdr:row>0</xdr:row>
      <xdr:rowOff>25400</xdr:rowOff>
    </xdr:from>
    <xdr:to>
      <xdr:col>9</xdr:col>
      <xdr:colOff>606425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1329AE-BE0E-19A1-20CA-91B0841B2588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9</xdr:col>
      <xdr:colOff>657225</xdr:colOff>
      <xdr:row>0</xdr:row>
      <xdr:rowOff>25400</xdr:rowOff>
    </xdr:from>
    <xdr:to>
      <xdr:col>11</xdr:col>
      <xdr:colOff>56983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0F6B0D-68A2-F738-9837-3ABFB92FA8FF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14</xdr:col>
      <xdr:colOff>661570</xdr:colOff>
      <xdr:row>1</xdr:row>
      <xdr:rowOff>15708</xdr:rowOff>
    </xdr:from>
    <xdr:to>
      <xdr:col>14</xdr:col>
      <xdr:colOff>991770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C0185476-055B-844B-53E6-543E5E1DD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791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E7FCA1-A3D2-A47E-4F55-5ECD2CF83A21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845051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71C0E2-80F5-7B68-0D93-2588E626A0E5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895851</xdr:colOff>
      <xdr:row>0</xdr:row>
      <xdr:rowOff>25400</xdr:rowOff>
    </xdr:from>
    <xdr:to>
      <xdr:col>4</xdr:col>
      <xdr:colOff>24899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2CBB35-CB67-05F9-10FE-B0E13292EBE7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4</xdr:col>
      <xdr:colOff>75699</xdr:colOff>
      <xdr:row>0</xdr:row>
      <xdr:rowOff>25400</xdr:rowOff>
    </xdr:from>
    <xdr:to>
      <xdr:col>4</xdr:col>
      <xdr:colOff>939299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D8D482-FE1A-0833-5C93-782E05DC6B5F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990099</xdr:colOff>
      <xdr:row>0</xdr:row>
      <xdr:rowOff>25400</xdr:rowOff>
    </xdr:from>
    <xdr:to>
      <xdr:col>5</xdr:col>
      <xdr:colOff>450014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8269A4-E13A-1F0A-329F-DABBFBCF77A1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500814</xdr:colOff>
      <xdr:row>0</xdr:row>
      <xdr:rowOff>25400</xdr:rowOff>
    </xdr:from>
    <xdr:to>
      <xdr:col>5</xdr:col>
      <xdr:colOff>1364414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61D4813-E1F9-122B-0D23-00C4C217350B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5</xdr:col>
      <xdr:colOff>1415214</xdr:colOff>
      <xdr:row>0</xdr:row>
      <xdr:rowOff>25400</xdr:rowOff>
    </xdr:from>
    <xdr:to>
      <xdr:col>6</xdr:col>
      <xdr:colOff>674604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6EA917-508E-A661-C116-139AC1FB3FAC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6</xdr:col>
      <xdr:colOff>725404</xdr:colOff>
      <xdr:row>0</xdr:row>
      <xdr:rowOff>25400</xdr:rowOff>
    </xdr:from>
    <xdr:to>
      <xdr:col>7</xdr:col>
      <xdr:colOff>656557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CDDCE7A-D81E-237D-1A6B-794BE7E14500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7</xdr:col>
      <xdr:colOff>707357</xdr:colOff>
      <xdr:row>0</xdr:row>
      <xdr:rowOff>25400</xdr:rowOff>
    </xdr:from>
    <xdr:to>
      <xdr:col>8</xdr:col>
      <xdr:colOff>568325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D59480-467A-F164-D645-F5CFBCAAC882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12</xdr:col>
      <xdr:colOff>826001</xdr:colOff>
      <xdr:row>1</xdr:row>
      <xdr:rowOff>15708</xdr:rowOff>
    </xdr:from>
    <xdr:to>
      <xdr:col>12</xdr:col>
      <xdr:colOff>1156201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7D795BEB-72DC-ED23-6492-3C829D0108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2459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3" name="Nav_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E438EF-917F-812B-F7CC-51D5A27245EF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845051</xdr:colOff>
      <xdr:row>0</xdr:row>
      <xdr:rowOff>292100</xdr:rowOff>
    </xdr:to>
    <xdr:sp macro="" textlink="">
      <xdr:nvSpPr>
        <xdr:cNvPr id="4" name="Nav_Resume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A0E31A-1416-D626-829E-67E967977D95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895851</xdr:colOff>
      <xdr:row>0</xdr:row>
      <xdr:rowOff>25400</xdr:rowOff>
    </xdr:from>
    <xdr:to>
      <xdr:col>3</xdr:col>
      <xdr:colOff>756820</xdr:colOff>
      <xdr:row>0</xdr:row>
      <xdr:rowOff>292100</xdr:rowOff>
    </xdr:to>
    <xdr:sp macro="" textlink="">
      <xdr:nvSpPr>
        <xdr:cNvPr id="5" name="Nav_Presupues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8C6E0E-CFB7-17A4-55A9-4A9C11D8E264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807620</xdr:colOff>
      <xdr:row>0</xdr:row>
      <xdr:rowOff>25400</xdr:rowOff>
    </xdr:from>
    <xdr:to>
      <xdr:col>4</xdr:col>
      <xdr:colOff>668588</xdr:colOff>
      <xdr:row>0</xdr:row>
      <xdr:rowOff>292100</xdr:rowOff>
    </xdr:to>
    <xdr:sp macro="" textlink="">
      <xdr:nvSpPr>
        <xdr:cNvPr id="6" name="Nav_Gastos_real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F9BE5E-A688-DF38-E244-222FE2A63336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719388</xdr:colOff>
      <xdr:row>0</xdr:row>
      <xdr:rowOff>25400</xdr:rowOff>
    </xdr:from>
    <xdr:to>
      <xdr:col>5</xdr:col>
      <xdr:colOff>580357</xdr:colOff>
      <xdr:row>0</xdr:row>
      <xdr:rowOff>292100</xdr:rowOff>
    </xdr:to>
    <xdr:sp macro="" textlink="">
      <xdr:nvSpPr>
        <xdr:cNvPr id="7" name="Nav_Movimient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1B97EC-A40B-0251-742E-9892BF859E7F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631157</xdr:colOff>
      <xdr:row>0</xdr:row>
      <xdr:rowOff>25400</xdr:rowOff>
    </xdr:from>
    <xdr:to>
      <xdr:col>6</xdr:col>
      <xdr:colOff>492125</xdr:colOff>
      <xdr:row>0</xdr:row>
      <xdr:rowOff>292100</xdr:rowOff>
    </xdr:to>
    <xdr:sp macro="" textlink="">
      <xdr:nvSpPr>
        <xdr:cNvPr id="8" name="Nav_Flujo_de_caj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E46EB5-BE46-F8ED-99A9-0C7DA1992FCB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542925</xdr:colOff>
      <xdr:row>0</xdr:row>
      <xdr:rowOff>25400</xdr:rowOff>
    </xdr:from>
    <xdr:to>
      <xdr:col>7</xdr:col>
      <xdr:colOff>403893</xdr:colOff>
      <xdr:row>0</xdr:row>
      <xdr:rowOff>292100</xdr:rowOff>
    </xdr:to>
    <xdr:sp macro="" textlink="">
      <xdr:nvSpPr>
        <xdr:cNvPr id="9" name="Nav_Metas_y_fon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682E6E-3957-DFA9-466D-3F8F7E1E24CD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7</xdr:col>
      <xdr:colOff>454693</xdr:colOff>
      <xdr:row>0</xdr:row>
      <xdr:rowOff>25400</xdr:rowOff>
    </xdr:from>
    <xdr:to>
      <xdr:col>8</xdr:col>
      <xdr:colOff>315662</xdr:colOff>
      <xdr:row>0</xdr:row>
      <xdr:rowOff>292100</xdr:rowOff>
    </xdr:to>
    <xdr:sp macro="" textlink="">
      <xdr:nvSpPr>
        <xdr:cNvPr id="10" name="Nav_Deud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8CF2DAF-C02A-0270-257B-C56CF08CBBA1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8</xdr:col>
      <xdr:colOff>366462</xdr:colOff>
      <xdr:row>0</xdr:row>
      <xdr:rowOff>25400</xdr:rowOff>
    </xdr:from>
    <xdr:to>
      <xdr:col>9</xdr:col>
      <xdr:colOff>227430</xdr:colOff>
      <xdr:row>0</xdr:row>
      <xdr:rowOff>292100</xdr:rowOff>
    </xdr:to>
    <xdr:sp macro="" textlink="">
      <xdr:nvSpPr>
        <xdr:cNvPr id="11" name="Nav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DC0B66-DAEF-E912-1ED1-36B55032F0EB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16</xdr:col>
      <xdr:colOff>419434</xdr:colOff>
      <xdr:row>1</xdr:row>
      <xdr:rowOff>15708</xdr:rowOff>
    </xdr:from>
    <xdr:to>
      <xdr:col>16</xdr:col>
      <xdr:colOff>749634</xdr:colOff>
      <xdr:row>2</xdr:row>
      <xdr:rowOff>65171</xdr:rowOff>
    </xdr:to>
    <xdr:pic>
      <xdr:nvPicPr>
        <xdr:cNvPr id="13" name="FamilyBudgetIcon">
          <a:extLst>
            <a:ext uri="{FF2B5EF4-FFF2-40B4-BE49-F238E27FC236}">
              <a16:creationId xmlns:a16="http://schemas.microsoft.com/office/drawing/2014/main" id="{FC1A1947-66D3-D078-D4E2-A5181FC3D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46250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EDD88A-A536-22A9-2423-39039BA8D8AC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AA006F-03C8-56F4-71D7-C3D45533FDEF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225425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38078A-9B40-7A7D-6A0C-5A82AB170A65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276225</xdr:colOff>
      <xdr:row>0</xdr:row>
      <xdr:rowOff>25400</xdr:rowOff>
    </xdr:from>
    <xdr:to>
      <xdr:col>4</xdr:col>
      <xdr:colOff>407904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51C500-B649-3DD0-4AEC-202F03B56F04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458704</xdr:colOff>
      <xdr:row>0</xdr:row>
      <xdr:rowOff>25400</xdr:rowOff>
    </xdr:from>
    <xdr:to>
      <xdr:col>5</xdr:col>
      <xdr:colOff>319672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BE655A-AD0C-A39B-BF39-07DF15C0AF1A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370472</xdr:colOff>
      <xdr:row>0</xdr:row>
      <xdr:rowOff>25400</xdr:rowOff>
    </xdr:from>
    <xdr:to>
      <xdr:col>6</xdr:col>
      <xdr:colOff>301625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E1FCE3-AF7D-2FBA-3616-46D6F11D2257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352425</xdr:colOff>
      <xdr:row>0</xdr:row>
      <xdr:rowOff>25400</xdr:rowOff>
    </xdr:from>
    <xdr:to>
      <xdr:col>7</xdr:col>
      <xdr:colOff>283578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7AB7DC-755C-C15B-2C5C-F41293D3A2AE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7</xdr:col>
      <xdr:colOff>334378</xdr:colOff>
      <xdr:row>0</xdr:row>
      <xdr:rowOff>25400</xdr:rowOff>
    </xdr:from>
    <xdr:to>
      <xdr:col>8</xdr:col>
      <xdr:colOff>395872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8391F1-BDFC-D246-81B1-88D6D643BEAE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8</xdr:col>
      <xdr:colOff>446672</xdr:colOff>
      <xdr:row>0</xdr:row>
      <xdr:rowOff>25400</xdr:rowOff>
    </xdr:from>
    <xdr:to>
      <xdr:col>9</xdr:col>
      <xdr:colOff>307641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B775C7-595A-6AD3-E21B-C9171EEE1358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9</xdr:col>
      <xdr:colOff>574341</xdr:colOff>
      <xdr:row>1</xdr:row>
      <xdr:rowOff>15708</xdr:rowOff>
    </xdr:from>
    <xdr:to>
      <xdr:col>9</xdr:col>
      <xdr:colOff>904541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658893CE-0789-367D-536A-0F124DF616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64552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005CD-55E2-49E1-CBD2-EFAFED82EC75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313657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609181-3026-6E74-BD9E-86574ED50412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364457</xdr:colOff>
      <xdr:row>0</xdr:row>
      <xdr:rowOff>25400</xdr:rowOff>
    </xdr:from>
    <xdr:to>
      <xdr:col>3</xdr:col>
      <xdr:colOff>225425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989AA5-DEB9-D013-F988-B11CCAEC50D4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276225</xdr:colOff>
      <xdr:row>0</xdr:row>
      <xdr:rowOff>25400</xdr:rowOff>
    </xdr:from>
    <xdr:to>
      <xdr:col>4</xdr:col>
      <xdr:colOff>207378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20003E-BAFF-DCE3-7170-4412EE39A0DE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258178</xdr:colOff>
      <xdr:row>0</xdr:row>
      <xdr:rowOff>25400</xdr:rowOff>
    </xdr:from>
    <xdr:to>
      <xdr:col>5</xdr:col>
      <xdr:colOff>119146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7D9FC2-4206-5A12-0D54-A13487AD2348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169946</xdr:colOff>
      <xdr:row>0</xdr:row>
      <xdr:rowOff>25400</xdr:rowOff>
    </xdr:from>
    <xdr:to>
      <xdr:col>6</xdr:col>
      <xdr:colOff>30914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446E08-7A5F-EFD1-E499-D5A84A10295B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81714</xdr:colOff>
      <xdr:row>0</xdr:row>
      <xdr:rowOff>25400</xdr:rowOff>
    </xdr:from>
    <xdr:to>
      <xdr:col>6</xdr:col>
      <xdr:colOff>945314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886CBC8-963D-6DBC-C722-76681A4C271E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6</xdr:col>
      <xdr:colOff>996114</xdr:colOff>
      <xdr:row>0</xdr:row>
      <xdr:rowOff>25400</xdr:rowOff>
    </xdr:from>
    <xdr:to>
      <xdr:col>7</xdr:col>
      <xdr:colOff>656557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1DBD36E-E3A7-38F7-B06B-F20F33B61B58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7</xdr:col>
      <xdr:colOff>707357</xdr:colOff>
      <xdr:row>0</xdr:row>
      <xdr:rowOff>25400</xdr:rowOff>
    </xdr:from>
    <xdr:to>
      <xdr:col>8</xdr:col>
      <xdr:colOff>568325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3EE272-C7E0-B382-9D0E-B48E291D8774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7</xdr:col>
      <xdr:colOff>637507</xdr:colOff>
      <xdr:row>1</xdr:row>
      <xdr:rowOff>15708</xdr:rowOff>
    </xdr:from>
    <xdr:to>
      <xdr:col>7</xdr:col>
      <xdr:colOff>967707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F15B9610-34F8-DC7E-9B1E-7D0CC4D99A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4453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02691-BD25-EB8B-D680-53929954EBB8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113130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950D2F-24BD-8857-63BF-3CCAEC870BE3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163930</xdr:colOff>
      <xdr:row>0</xdr:row>
      <xdr:rowOff>25400</xdr:rowOff>
    </xdr:from>
    <xdr:to>
      <xdr:col>2</xdr:col>
      <xdr:colOff>1027530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D3FC09-3768-3F24-C3B5-CED43D03887A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2</xdr:col>
      <xdr:colOff>1078330</xdr:colOff>
      <xdr:row>0</xdr:row>
      <xdr:rowOff>25400</xdr:rowOff>
    </xdr:from>
    <xdr:to>
      <xdr:col>4</xdr:col>
      <xdr:colOff>478088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C9B63B-11A4-5F01-4B90-3742318E5F63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528888</xdr:colOff>
      <xdr:row>0</xdr:row>
      <xdr:rowOff>25400</xdr:rowOff>
    </xdr:from>
    <xdr:to>
      <xdr:col>6</xdr:col>
      <xdr:colOff>129172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C25021-1111-F131-91C6-FB7AA72A7673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6</xdr:col>
      <xdr:colOff>179972</xdr:colOff>
      <xdr:row>0</xdr:row>
      <xdr:rowOff>25400</xdr:rowOff>
    </xdr:from>
    <xdr:to>
      <xdr:col>7</xdr:col>
      <xdr:colOff>111125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F423820-ADF6-D842-8DB3-3425DE439D27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7</xdr:col>
      <xdr:colOff>161925</xdr:colOff>
      <xdr:row>0</xdr:row>
      <xdr:rowOff>25400</xdr:rowOff>
    </xdr:from>
    <xdr:to>
      <xdr:col>8</xdr:col>
      <xdr:colOff>824999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DA3363-B36E-BF16-5DEC-1E3DC7F72074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8</xdr:col>
      <xdr:colOff>875799</xdr:colOff>
      <xdr:row>0</xdr:row>
      <xdr:rowOff>25400</xdr:rowOff>
    </xdr:from>
    <xdr:to>
      <xdr:col>10</xdr:col>
      <xdr:colOff>135188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B44D23-A087-09A0-190C-BC8BA9D23261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10</xdr:col>
      <xdr:colOff>185988</xdr:colOff>
      <xdr:row>0</xdr:row>
      <xdr:rowOff>25400</xdr:rowOff>
    </xdr:from>
    <xdr:to>
      <xdr:col>11</xdr:col>
      <xdr:colOff>117141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562E23-88B8-844F-2DE7-1EA5059614A8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12</xdr:col>
      <xdr:colOff>650039</xdr:colOff>
      <xdr:row>1</xdr:row>
      <xdr:rowOff>15708</xdr:rowOff>
    </xdr:from>
    <xdr:to>
      <xdr:col>12</xdr:col>
      <xdr:colOff>980239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A0910E14-7FF6-C325-85DF-F98772DDD1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112250" y="336550"/>
          <a:ext cx="330200" cy="330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umenCategorias" displayName="tblResumenCategorias" ref="B11:F18">
  <autoFilter ref="B11:F18" xr:uid="{00000000-0009-0000-0100-000001000000}"/>
  <tableColumns count="5">
    <tableColumn id="2" xr3:uid="{00000000-0010-0000-0000-000002000000}" name="Categoría"/>
    <tableColumn id="3" xr3:uid="{00000000-0010-0000-0000-000003000000}" name="Plan"/>
    <tableColumn id="4" xr3:uid="{00000000-0010-0000-0000-000004000000}" name="Real"/>
    <tableColumn id="5" xr3:uid="{00000000-0010-0000-0000-000005000000}" name="Diferencia"/>
    <tableColumn id="6" xr3:uid="{00000000-0010-0000-0000-000006000000}" name="% ga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esupuesto" displayName="tblPresupuesto" ref="B7:O14">
  <autoFilter ref="B7:O14" xr:uid="{00000000-0009-0000-0100-000002000000}"/>
  <tableColumns count="14">
    <tableColumn id="2" xr3:uid="{00000000-0010-0000-0100-000002000000}" name="Categoría"/>
    <tableColumn id="3" xr3:uid="{00000000-0010-0000-0100-000003000000}" name="Enero"/>
    <tableColumn id="4" xr3:uid="{00000000-0010-0000-0100-000004000000}" name="Febrero"/>
    <tableColumn id="5" xr3:uid="{00000000-0010-0000-0100-000005000000}" name="Marzo"/>
    <tableColumn id="6" xr3:uid="{00000000-0010-0000-0100-000006000000}" name="Abril"/>
    <tableColumn id="7" xr3:uid="{00000000-0010-0000-0100-000007000000}" name="Mayo"/>
    <tableColumn id="8" xr3:uid="{00000000-0010-0000-0100-000008000000}" name="Junio"/>
    <tableColumn id="9" xr3:uid="{00000000-0010-0000-0100-000009000000}" name="Julio"/>
    <tableColumn id="10" xr3:uid="{00000000-0010-0000-0100-00000A000000}" name="Agosto"/>
    <tableColumn id="11" xr3:uid="{00000000-0010-0000-0100-00000B000000}" name="Septiembre"/>
    <tableColumn id="12" xr3:uid="{00000000-0010-0000-0100-00000C000000}" name="Octubre"/>
    <tableColumn id="13" xr3:uid="{00000000-0010-0000-0100-00000D000000}" name="Noviembre"/>
    <tableColumn id="14" xr3:uid="{00000000-0010-0000-0100-00000E000000}" name="Diciembre"/>
    <tableColumn id="15" xr3:uid="{00000000-0010-0000-0100-00000F000000}" name="Total an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GastosReales" displayName="tblGastosReales" ref="B7:O14">
  <autoFilter ref="B7:O14" xr:uid="{00000000-0009-0000-0100-000003000000}"/>
  <tableColumns count="14">
    <tableColumn id="2" xr3:uid="{00000000-0010-0000-0200-000002000000}" name="Categoría"/>
    <tableColumn id="3" xr3:uid="{00000000-0010-0000-0200-000003000000}" name="Enero"/>
    <tableColumn id="4" xr3:uid="{00000000-0010-0000-0200-000004000000}" name="Febrero"/>
    <tableColumn id="5" xr3:uid="{00000000-0010-0000-0200-000005000000}" name="Marzo"/>
    <tableColumn id="6" xr3:uid="{00000000-0010-0000-0200-000006000000}" name="Abril"/>
    <tableColumn id="7" xr3:uid="{00000000-0010-0000-0200-000007000000}" name="Mayo"/>
    <tableColumn id="8" xr3:uid="{00000000-0010-0000-0200-000008000000}" name="Junio"/>
    <tableColumn id="9" xr3:uid="{00000000-0010-0000-0200-000009000000}" name="Julio"/>
    <tableColumn id="10" xr3:uid="{00000000-0010-0000-0200-00000A000000}" name="Agosto"/>
    <tableColumn id="11" xr3:uid="{00000000-0010-0000-0200-00000B000000}" name="Septiembre"/>
    <tableColumn id="12" xr3:uid="{00000000-0010-0000-0200-00000C000000}" name="Octubre"/>
    <tableColumn id="13" xr3:uid="{00000000-0010-0000-0200-00000D000000}" name="Noviembre"/>
    <tableColumn id="14" xr3:uid="{00000000-0010-0000-0200-00000E000000}" name="Diciembre"/>
    <tableColumn id="15" xr3:uid="{00000000-0010-0000-0200-00000F000000}" name="Total anu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ovimientos" displayName="tblMovimientos" ref="B7:I27">
  <autoFilter ref="B7:I27" xr:uid="{00000000-0009-0000-0100-000004000000}"/>
  <tableColumns count="8">
    <tableColumn id="2" xr3:uid="{00000000-0010-0000-0300-000002000000}" name="Fecha"/>
    <tableColumn id="3" xr3:uid="{00000000-0010-0000-0300-000003000000}" name="Mes"/>
    <tableColumn id="4" xr3:uid="{00000000-0010-0000-0300-000004000000}" name="Tipo"/>
    <tableColumn id="5" xr3:uid="{00000000-0010-0000-0300-000005000000}" name="Categoría"/>
    <tableColumn id="6" xr3:uid="{00000000-0010-0000-0300-000006000000}" name="Concepto"/>
    <tableColumn id="7" xr3:uid="{00000000-0010-0000-0300-000007000000}" name="Importe"/>
    <tableColumn id="8" xr3:uid="{00000000-0010-0000-0300-000008000000}" name="Pagado por"/>
    <tableColumn id="9" xr3:uid="{00000000-0010-0000-0300-000009000000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lujoCaja" displayName="tblFlujoCaja" ref="B7:J19">
  <autoFilter ref="B7:J19" xr:uid="{00000000-0009-0000-0100-000005000000}"/>
  <tableColumns count="9">
    <tableColumn id="2" xr3:uid="{00000000-0010-0000-0400-000002000000}" name="Mes"/>
    <tableColumn id="3" xr3:uid="{00000000-0010-0000-0400-000003000000}" name="Ingresos plan"/>
    <tableColumn id="4" xr3:uid="{00000000-0010-0000-0400-000004000000}" name="Ingresos real"/>
    <tableColumn id="5" xr3:uid="{00000000-0010-0000-0400-000005000000}" name="Gastos plan"/>
    <tableColumn id="6" xr3:uid="{00000000-0010-0000-0400-000006000000}" name="Gastos real"/>
    <tableColumn id="7" xr3:uid="{00000000-0010-0000-0400-000007000000}" name="Ahorro plan"/>
    <tableColumn id="8" xr3:uid="{00000000-0010-0000-0400-000008000000}" name="Ahorro real"/>
    <tableColumn id="9" xr3:uid="{00000000-0010-0000-0400-000009000000}" name="Disponible"/>
    <tableColumn id="10" xr3:uid="{00000000-0010-0000-0400-00000A000000}" name="Comentari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etas" displayName="tblMetas" ref="B9:J12">
  <autoFilter ref="B9:J12" xr:uid="{00000000-0009-0000-0100-000006000000}"/>
  <tableColumns count="9">
    <tableColumn id="2" xr3:uid="{00000000-0010-0000-0500-000002000000}" name="Meta"/>
    <tableColumn id="3" xr3:uid="{00000000-0010-0000-0500-000003000000}" name="Gasto mensual"/>
    <tableColumn id="4" xr3:uid="{00000000-0010-0000-0500-000004000000}" name="Meses"/>
    <tableColumn id="5" xr3:uid="{00000000-0010-0000-0500-000005000000}" name="Meta necesaria"/>
    <tableColumn id="6" xr3:uid="{00000000-0010-0000-0500-000006000000}" name="Ahorrado"/>
    <tableColumn id="7" xr3:uid="{00000000-0010-0000-0500-000007000000}" name="Pendiente"/>
    <tableColumn id="8" xr3:uid="{00000000-0010-0000-0500-000008000000}" name="Progreso"/>
    <tableColumn id="9" xr3:uid="{00000000-0010-0000-0500-000009000000}" name="Fecha objetivo"/>
    <tableColumn id="10" xr3:uid="{00000000-0010-0000-0500-00000A000000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eudas" displayName="tblDeudas" ref="B7:H10">
  <autoFilter ref="B7:H10" xr:uid="{00000000-0009-0000-0100-000007000000}"/>
  <tableColumns count="7">
    <tableColumn id="2" xr3:uid="{00000000-0010-0000-0600-000002000000}" name="Deuda"/>
    <tableColumn id="3" xr3:uid="{00000000-0010-0000-0600-000003000000}" name="Saldo actual"/>
    <tableColumn id="4" xr3:uid="{00000000-0010-0000-0600-000004000000}" name="Interés anual"/>
    <tableColumn id="5" xr3:uid="{00000000-0010-0000-0600-000005000000}" name="Pago mensual"/>
    <tableColumn id="6" xr3:uid="{00000000-0010-0000-0600-000006000000}" name="Meses restantes"/>
    <tableColumn id="7" xr3:uid="{00000000-0010-0000-0600-000007000000}" name="Interés estimado"/>
    <tableColumn id="8" xr3:uid="{00000000-0010-0000-0600-000008000000}" name="Est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arametros" displayName="tblParametros" ref="B7:C13">
  <autoFilter ref="B7:C13" xr:uid="{00000000-0009-0000-0100-000008000000}"/>
  <tableColumns count="2">
    <tableColumn id="2" xr3:uid="{00000000-0010-0000-0700-000002000000}" name="Parámetro"/>
    <tableColumn id="3" xr3:uid="{00000000-0010-0000-0700-000003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J39"/>
  <sheetViews>
    <sheetView showGridLines="0" tabSelected="1" zoomScale="95" workbookViewId="0"/>
  </sheetViews>
  <sheetFormatPr baseColWidth="10" defaultColWidth="9.140625" defaultRowHeight="15" x14ac:dyDescent="0.25"/>
  <cols>
    <col min="1" max="1" width="3" customWidth="1"/>
    <col min="2" max="2" width="18" customWidth="1"/>
    <col min="3" max="5" width="20" customWidth="1"/>
    <col min="6" max="6" width="3" customWidth="1"/>
    <col min="7" max="7" width="21" customWidth="1"/>
    <col min="8" max="10" width="16" customWidth="1"/>
  </cols>
  <sheetData>
    <row r="1" spans="1:10" ht="26.1" customHeight="1" x14ac:dyDescent="0.25"/>
    <row r="2" spans="1:10" ht="21.95" customHeight="1" x14ac:dyDescent="0.25">
      <c r="B2" s="55" t="s">
        <v>0</v>
      </c>
      <c r="C2" s="39"/>
      <c r="D2" s="39"/>
      <c r="E2" s="39"/>
      <c r="F2" s="39"/>
      <c r="G2" s="39"/>
      <c r="H2" s="39"/>
      <c r="I2" s="39"/>
      <c r="J2" s="39"/>
    </row>
    <row r="3" spans="1:10" ht="30" customHeight="1" x14ac:dyDescent="0.25">
      <c r="B3" s="52" t="s">
        <v>1</v>
      </c>
      <c r="C3" s="39"/>
      <c r="D3" s="39"/>
      <c r="E3" s="39"/>
      <c r="F3" s="39"/>
      <c r="G3" s="39"/>
      <c r="H3" s="39"/>
      <c r="I3" s="39"/>
      <c r="J3" s="39"/>
    </row>
    <row r="4" spans="1:10" ht="21.95" customHeight="1" x14ac:dyDescent="0.25">
      <c r="B4" s="50" t="s">
        <v>2</v>
      </c>
      <c r="C4" s="39"/>
      <c r="D4" s="39"/>
      <c r="E4" s="39"/>
      <c r="F4" s="39"/>
      <c r="G4" s="39"/>
      <c r="H4" s="39"/>
      <c r="I4" s="39"/>
      <c r="J4" s="39"/>
    </row>
    <row r="5" spans="1:10" ht="21" customHeight="1" x14ac:dyDescent="0.25"/>
    <row r="6" spans="1:10" ht="24" customHeight="1" x14ac:dyDescent="0.25">
      <c r="B6" s="40" t="s">
        <v>3</v>
      </c>
      <c r="C6" s="39"/>
      <c r="D6" s="39"/>
      <c r="E6" s="39"/>
      <c r="G6" s="51" t="s">
        <v>4</v>
      </c>
      <c r="H6" s="39"/>
      <c r="I6" s="39"/>
      <c r="J6" s="39"/>
    </row>
    <row r="7" spans="1:10" ht="33.950000000000003" customHeight="1" x14ac:dyDescent="0.25">
      <c r="A7" s="1"/>
      <c r="B7" s="2" t="s">
        <v>5</v>
      </c>
      <c r="C7" s="53" t="s">
        <v>6</v>
      </c>
      <c r="D7" s="45"/>
      <c r="E7" s="42" t="s">
        <v>7</v>
      </c>
      <c r="F7" s="1"/>
      <c r="G7" s="3" t="s">
        <v>8</v>
      </c>
      <c r="H7" s="44" t="str">
        <f>Listas!$C$8</f>
        <v>Enero</v>
      </c>
      <c r="I7" s="45"/>
      <c r="J7" s="45"/>
    </row>
    <row r="8" spans="1:10" ht="33.950000000000003" customHeight="1" x14ac:dyDescent="0.25">
      <c r="B8" s="4" t="s">
        <v>9</v>
      </c>
      <c r="C8" s="46" t="s">
        <v>10</v>
      </c>
      <c r="D8" s="39"/>
      <c r="E8" s="48" t="s">
        <v>11</v>
      </c>
      <c r="G8" s="5" t="s">
        <v>12</v>
      </c>
      <c r="H8" s="49">
        <f>Listas!$C$9</f>
        <v>3200</v>
      </c>
      <c r="I8" s="39"/>
      <c r="J8" s="39"/>
    </row>
    <row r="9" spans="1:10" ht="33.950000000000003" customHeight="1" x14ac:dyDescent="0.25">
      <c r="B9" s="4" t="s">
        <v>13</v>
      </c>
      <c r="C9" s="46" t="s">
        <v>14</v>
      </c>
      <c r="D9" s="39"/>
      <c r="E9" s="48" t="s">
        <v>15</v>
      </c>
      <c r="G9" s="5" t="s">
        <v>16</v>
      </c>
      <c r="H9" s="49">
        <f>Listas!$C$10</f>
        <v>300</v>
      </c>
      <c r="I9" s="39"/>
      <c r="J9" s="39"/>
    </row>
    <row r="10" spans="1:10" ht="33.950000000000003" customHeight="1" x14ac:dyDescent="0.25">
      <c r="B10" s="4" t="s">
        <v>17</v>
      </c>
      <c r="C10" s="46" t="s">
        <v>18</v>
      </c>
      <c r="D10" s="39"/>
      <c r="E10" s="48" t="s">
        <v>19</v>
      </c>
      <c r="G10" s="5" t="s">
        <v>20</v>
      </c>
      <c r="H10" s="43" t="str">
        <f>Listas!$C$11</f>
        <v>Ana</v>
      </c>
      <c r="I10" s="39"/>
      <c r="J10" s="39"/>
    </row>
    <row r="11" spans="1:10" ht="21" customHeight="1" x14ac:dyDescent="0.25">
      <c r="G11" s="5" t="s">
        <v>21</v>
      </c>
      <c r="H11" s="43" t="str">
        <f>Listas!$C$12</f>
        <v>Carlos</v>
      </c>
      <c r="I11" s="39"/>
      <c r="J11" s="39"/>
    </row>
    <row r="12" spans="1:10" ht="21" customHeight="1" x14ac:dyDescent="0.25"/>
    <row r="13" spans="1:10" ht="21" customHeight="1" x14ac:dyDescent="0.25"/>
    <row r="14" spans="1:10" ht="24" customHeight="1" x14ac:dyDescent="0.25">
      <c r="B14" s="41" t="s">
        <v>22</v>
      </c>
      <c r="C14" s="39"/>
      <c r="D14" s="39"/>
      <c r="E14" s="39"/>
      <c r="F14" s="39"/>
      <c r="G14" s="39"/>
      <c r="H14" s="39"/>
      <c r="I14" s="39"/>
      <c r="J14" s="39"/>
    </row>
    <row r="15" spans="1:10" ht="23.1" customHeight="1" x14ac:dyDescent="0.25">
      <c r="B15" s="6" t="s">
        <v>23</v>
      </c>
      <c r="C15" s="38" t="s">
        <v>24</v>
      </c>
      <c r="D15" s="39"/>
      <c r="E15" s="39"/>
      <c r="F15" s="39"/>
      <c r="G15" s="39"/>
      <c r="H15" s="39"/>
      <c r="I15" s="39"/>
      <c r="J15" s="39"/>
    </row>
    <row r="16" spans="1:10" ht="23.1" customHeight="1" x14ac:dyDescent="0.25">
      <c r="B16" s="7" t="s">
        <v>25</v>
      </c>
      <c r="C16" s="47" t="s">
        <v>26</v>
      </c>
      <c r="D16" s="39"/>
      <c r="E16" s="39"/>
      <c r="F16" s="39"/>
      <c r="G16" s="39"/>
      <c r="H16" s="39"/>
      <c r="I16" s="39"/>
      <c r="J16" s="39"/>
    </row>
    <row r="17" spans="2:10" ht="23.1" customHeight="1" x14ac:dyDescent="0.25">
      <c r="B17" s="6" t="s">
        <v>27</v>
      </c>
      <c r="C17" s="38" t="s">
        <v>28</v>
      </c>
      <c r="D17" s="39"/>
      <c r="E17" s="39"/>
      <c r="F17" s="39"/>
      <c r="G17" s="39"/>
      <c r="H17" s="39"/>
      <c r="I17" s="39"/>
      <c r="J17" s="39"/>
    </row>
    <row r="18" spans="2:10" ht="23.1" customHeight="1" x14ac:dyDescent="0.25">
      <c r="B18" s="7" t="s">
        <v>29</v>
      </c>
      <c r="C18" s="47" t="s">
        <v>30</v>
      </c>
      <c r="D18" s="39"/>
      <c r="E18" s="39"/>
      <c r="F18" s="39"/>
      <c r="G18" s="39"/>
      <c r="H18" s="39"/>
      <c r="I18" s="39"/>
      <c r="J18" s="39"/>
    </row>
    <row r="19" spans="2:10" ht="23.1" customHeight="1" x14ac:dyDescent="0.25">
      <c r="B19" s="6" t="s">
        <v>31</v>
      </c>
      <c r="C19" s="38" t="s">
        <v>32</v>
      </c>
      <c r="D19" s="39"/>
      <c r="E19" s="39"/>
      <c r="F19" s="39"/>
      <c r="G19" s="39"/>
      <c r="H19" s="39"/>
      <c r="I19" s="39"/>
      <c r="J19" s="39"/>
    </row>
    <row r="20" spans="2:10" ht="23.1" customHeight="1" x14ac:dyDescent="0.25">
      <c r="B20" s="7" t="s">
        <v>33</v>
      </c>
      <c r="C20" s="47" t="s">
        <v>34</v>
      </c>
      <c r="D20" s="39"/>
      <c r="E20" s="39"/>
      <c r="F20" s="39"/>
      <c r="G20" s="39"/>
      <c r="H20" s="39"/>
      <c r="I20" s="39"/>
      <c r="J20" s="39"/>
    </row>
    <row r="21" spans="2:10" ht="23.1" customHeight="1" x14ac:dyDescent="0.25">
      <c r="B21" s="6" t="s">
        <v>35</v>
      </c>
      <c r="C21" s="38" t="s">
        <v>36</v>
      </c>
      <c r="D21" s="39"/>
      <c r="E21" s="39"/>
      <c r="F21" s="39"/>
      <c r="G21" s="39"/>
      <c r="H21" s="39"/>
      <c r="I21" s="39"/>
      <c r="J21" s="39"/>
    </row>
    <row r="22" spans="2:10" ht="23.1" customHeight="1" x14ac:dyDescent="0.25">
      <c r="B22" s="7" t="s">
        <v>37</v>
      </c>
      <c r="C22" s="47" t="s">
        <v>38</v>
      </c>
      <c r="D22" s="39"/>
      <c r="E22" s="39"/>
      <c r="F22" s="39"/>
      <c r="G22" s="39"/>
      <c r="H22" s="39"/>
      <c r="I22" s="39"/>
      <c r="J22" s="39"/>
    </row>
    <row r="23" spans="2:10" ht="21" customHeight="1" x14ac:dyDescent="0.25"/>
    <row r="24" spans="2:10" ht="21" customHeight="1" x14ac:dyDescent="0.25"/>
    <row r="25" spans="2:10" ht="21" customHeight="1" x14ac:dyDescent="0.25">
      <c r="B25" s="54" t="s">
        <v>39</v>
      </c>
      <c r="C25" s="39"/>
      <c r="D25" s="39"/>
      <c r="E25" s="39"/>
      <c r="F25" s="39"/>
      <c r="G25" s="39"/>
      <c r="H25" s="39"/>
      <c r="I25" s="39"/>
      <c r="J25" s="39"/>
    </row>
    <row r="26" spans="2:10" ht="21" customHeight="1" x14ac:dyDescent="0.25">
      <c r="B26" s="39"/>
      <c r="C26" s="39"/>
      <c r="D26" s="39"/>
      <c r="E26" s="39"/>
      <c r="F26" s="39"/>
      <c r="G26" s="39"/>
      <c r="H26" s="39"/>
      <c r="I26" s="39"/>
      <c r="J26" s="39"/>
    </row>
    <row r="27" spans="2:10" ht="21" customHeight="1" x14ac:dyDescent="0.25">
      <c r="B27" s="39"/>
      <c r="C27" s="39"/>
      <c r="D27" s="39"/>
      <c r="E27" s="39"/>
      <c r="F27" s="39"/>
      <c r="G27" s="39"/>
      <c r="H27" s="39"/>
      <c r="I27" s="39"/>
      <c r="J27" s="39"/>
    </row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28">
    <mergeCell ref="B2:J2"/>
    <mergeCell ref="C18:J18"/>
    <mergeCell ref="B3:J3"/>
    <mergeCell ref="H10:J10"/>
    <mergeCell ref="C7:D7"/>
    <mergeCell ref="B25:J27"/>
    <mergeCell ref="H9:J9"/>
    <mergeCell ref="C19:J19"/>
    <mergeCell ref="B4:J4"/>
    <mergeCell ref="E10"/>
    <mergeCell ref="C8:D8"/>
    <mergeCell ref="E9"/>
    <mergeCell ref="G6:J6"/>
    <mergeCell ref="C20:J20"/>
    <mergeCell ref="C16:J16"/>
    <mergeCell ref="C22:J22"/>
    <mergeCell ref="C9:D9"/>
    <mergeCell ref="E8"/>
    <mergeCell ref="C21:J21"/>
    <mergeCell ref="H8:J8"/>
    <mergeCell ref="C17:J17"/>
    <mergeCell ref="C15:J15"/>
    <mergeCell ref="B6:E6"/>
    <mergeCell ref="B14:J14"/>
    <mergeCell ref="E7"/>
    <mergeCell ref="H11:J11"/>
    <mergeCell ref="H7:J7"/>
    <mergeCell ref="C10:D10"/>
  </mergeCells>
  <pageMargins left="0.25" right="0.25" top="0.35" bottom="0.3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N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5" width="16" customWidth="1"/>
    <col min="6" max="6" width="14" customWidth="1"/>
    <col min="7" max="7" width="3" customWidth="1"/>
    <col min="8" max="14" width="12" customWidth="1"/>
  </cols>
  <sheetData>
    <row r="1" spans="1:14" ht="26.1" customHeight="1" x14ac:dyDescent="0.25"/>
    <row r="2" spans="1:14" ht="21.95" customHeight="1" x14ac:dyDescent="0.25">
      <c r="B2" s="55" t="s">
        <v>40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30" customHeight="1" x14ac:dyDescent="0.25">
      <c r="B3" s="52" t="s">
        <v>41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ht="21.95" customHeight="1" x14ac:dyDescent="0.25">
      <c r="B4" s="50" t="s">
        <v>42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ht="21" customHeight="1" x14ac:dyDescent="0.25">
      <c r="B5" s="8" t="s">
        <v>8</v>
      </c>
      <c r="C5" s="9" t="str">
        <f>Listas!$C$8</f>
        <v>Enero</v>
      </c>
    </row>
    <row r="6" spans="1:14" ht="20.100000000000001" customHeight="1" x14ac:dyDescent="0.25">
      <c r="B6" s="60" t="s">
        <v>43</v>
      </c>
      <c r="C6" s="45"/>
      <c r="D6" s="45"/>
      <c r="E6" s="61" t="s">
        <v>44</v>
      </c>
      <c r="F6" s="45"/>
      <c r="G6" s="45"/>
      <c r="H6" s="60" t="s">
        <v>45</v>
      </c>
      <c r="I6" s="45"/>
      <c r="J6" s="45"/>
      <c r="K6" s="58" t="s">
        <v>46</v>
      </c>
      <c r="L6" s="45"/>
      <c r="M6" s="45"/>
    </row>
    <row r="7" spans="1:14" ht="27.95" customHeight="1" x14ac:dyDescent="0.25">
      <c r="A7" s="1"/>
      <c r="B7" s="56">
        <f>INDEX('Flujo de caja'!$D$8:$D$19,MATCH($C$5,'Flujo de caja'!$B$8:$B$19,0))</f>
        <v>3200</v>
      </c>
      <c r="C7" s="45"/>
      <c r="D7" s="45"/>
      <c r="E7" s="62">
        <f>INDEX('Flujo de caja'!$F$8:$F$19,MATCH($C$5,'Flujo de caja'!$B$8:$B$19,0))</f>
        <v>225</v>
      </c>
      <c r="F7" s="45"/>
      <c r="G7" s="45"/>
      <c r="H7" s="56">
        <f>INDEX('Flujo de caja'!$H$8:$H$19,MATCH($C$5,'Flujo de caja'!$B$8:$B$19,0))</f>
        <v>250</v>
      </c>
      <c r="I7" s="45"/>
      <c r="J7" s="45"/>
      <c r="K7" s="59">
        <f>INDEX('Flujo de caja'!$I$8:$I$19,MATCH($C$5,'Flujo de caja'!$B$8:$B$19,0))</f>
        <v>2725</v>
      </c>
      <c r="L7" s="45"/>
      <c r="M7" s="45"/>
      <c r="N7" s="1"/>
    </row>
    <row r="8" spans="1:14" ht="20.100000000000001" customHeight="1" x14ac:dyDescent="0.25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4" ht="21" customHeight="1" x14ac:dyDescent="0.25"/>
    <row r="10" spans="1:14" ht="24" customHeight="1" x14ac:dyDescent="0.25">
      <c r="B10" s="41" t="s">
        <v>47</v>
      </c>
      <c r="C10" s="39"/>
      <c r="D10" s="39"/>
      <c r="E10" s="39"/>
      <c r="F10" s="39"/>
    </row>
    <row r="11" spans="1:14" ht="32.1" customHeight="1" x14ac:dyDescent="0.25">
      <c r="B11" s="10" t="s">
        <v>48</v>
      </c>
      <c r="C11" s="10" t="s">
        <v>49</v>
      </c>
      <c r="D11" s="10" t="s">
        <v>50</v>
      </c>
      <c r="E11" s="10" t="s">
        <v>51</v>
      </c>
      <c r="F11" s="10" t="s">
        <v>52</v>
      </c>
    </row>
    <row r="12" spans="1:14" ht="21.95" customHeight="1" x14ac:dyDescent="0.25">
      <c r="B12" s="11" t="str">
        <f>Presupuesto!B8</f>
        <v>Vivienda</v>
      </c>
      <c r="C12" s="12">
        <f>INDEX(Presupuesto!$C$8:$N$14,MATCH($B12,Presupuesto!$B$8:$B$14,0),MATCH($C$5,Presupuesto!$C$7:$N$7,0))</f>
        <v>1100</v>
      </c>
      <c r="D12" s="12">
        <f>INDEX('Gastos reales'!$C$8:$N$14,MATCH($B12,'Gastos reales'!$B$8:$B$14,0),MATCH($C$5,'Gastos reales'!$C$7:$N$7,0))</f>
        <v>62</v>
      </c>
      <c r="E12" s="12">
        <f t="shared" ref="E12:E18" si="0">C12-D12</f>
        <v>1038</v>
      </c>
      <c r="F12" s="13">
        <f t="shared" ref="F12:F19" si="1">IFERROR(D12/C12,0)</f>
        <v>5.6363636363636366E-2</v>
      </c>
    </row>
    <row r="13" spans="1:14" ht="21.95" customHeight="1" x14ac:dyDescent="0.25">
      <c r="B13" s="11" t="str">
        <f>Presupuesto!B9</f>
        <v>Alimentación</v>
      </c>
      <c r="C13" s="12">
        <f>INDEX(Presupuesto!$C$8:$N$14,MATCH($B13,Presupuesto!$B$8:$B$14,0),MATCH($C$5,Presupuesto!$C$7:$N$7,0))</f>
        <v>420</v>
      </c>
      <c r="D13" s="12">
        <f>INDEX('Gastos reales'!$C$8:$N$14,MATCH($B13,'Gastos reales'!$B$8:$B$14,0),MATCH($C$5,'Gastos reales'!$C$7:$N$7,0))</f>
        <v>86</v>
      </c>
      <c r="E13" s="12">
        <f t="shared" si="0"/>
        <v>334</v>
      </c>
      <c r="F13" s="13">
        <f t="shared" si="1"/>
        <v>0.20476190476190476</v>
      </c>
    </row>
    <row r="14" spans="1:14" ht="21.95" customHeight="1" x14ac:dyDescent="0.25">
      <c r="B14" s="11" t="str">
        <f>Presupuesto!B10</f>
        <v>Transporte</v>
      </c>
      <c r="C14" s="12">
        <f>INDEX(Presupuesto!$C$8:$N$14,MATCH($B14,Presupuesto!$B$8:$B$14,0),MATCH($C$5,Presupuesto!$C$7:$N$7,0))</f>
        <v>250</v>
      </c>
      <c r="D14" s="12">
        <f>INDEX('Gastos reales'!$C$8:$N$14,MATCH($B14,'Gastos reales'!$B$8:$B$14,0),MATCH($C$5,'Gastos reales'!$C$7:$N$7,0))</f>
        <v>48</v>
      </c>
      <c r="E14" s="12">
        <f t="shared" si="0"/>
        <v>202</v>
      </c>
      <c r="F14" s="13">
        <f t="shared" si="1"/>
        <v>0.192</v>
      </c>
    </row>
    <row r="15" spans="1:14" ht="21.95" customHeight="1" x14ac:dyDescent="0.25">
      <c r="B15" s="11" t="str">
        <f>Presupuesto!B11</f>
        <v>Salud</v>
      </c>
      <c r="C15" s="12">
        <f>INDEX(Presupuesto!$C$8:$N$14,MATCH($B15,Presupuesto!$B$8:$B$14,0),MATCH($C$5,Presupuesto!$C$7:$N$7,0))</f>
        <v>350</v>
      </c>
      <c r="D15" s="12">
        <f>INDEX('Gastos reales'!$C$8:$N$14,MATCH($B15,'Gastos reales'!$B$8:$B$14,0),MATCH($C$5,'Gastos reales'!$C$7:$N$7,0))</f>
        <v>29</v>
      </c>
      <c r="E15" s="12">
        <f t="shared" si="0"/>
        <v>321</v>
      </c>
      <c r="F15" s="13">
        <f t="shared" si="1"/>
        <v>8.2857142857142851E-2</v>
      </c>
    </row>
    <row r="16" spans="1:14" ht="21.95" customHeight="1" x14ac:dyDescent="0.25">
      <c r="B16" s="11" t="str">
        <f>Presupuesto!B12</f>
        <v>Educación</v>
      </c>
      <c r="C16" s="12">
        <f>INDEX(Presupuesto!$C$8:$N$14,MATCH($B16,Presupuesto!$B$8:$B$14,0),MATCH($C$5,Presupuesto!$C$7:$N$7,0))</f>
        <v>140</v>
      </c>
      <c r="D16" s="12">
        <f>INDEX('Gastos reales'!$C$8:$N$14,MATCH($B16,'Gastos reales'!$B$8:$B$14,0),MATCH($C$5,'Gastos reales'!$C$7:$N$7,0))</f>
        <v>0</v>
      </c>
      <c r="E16" s="12">
        <f t="shared" si="0"/>
        <v>140</v>
      </c>
      <c r="F16" s="13">
        <f t="shared" si="1"/>
        <v>0</v>
      </c>
    </row>
    <row r="17" spans="2:6" ht="21.95" customHeight="1" x14ac:dyDescent="0.25">
      <c r="B17" s="11" t="str">
        <f>Presupuesto!B13</f>
        <v>Ocio</v>
      </c>
      <c r="C17" s="12">
        <f>INDEX(Presupuesto!$C$8:$N$14,MATCH($B17,Presupuesto!$B$8:$B$14,0),MATCH($C$5,Presupuesto!$C$7:$N$7,0))</f>
        <v>280</v>
      </c>
      <c r="D17" s="12">
        <f>INDEX('Gastos reales'!$C$8:$N$14,MATCH($B17,'Gastos reales'!$B$8:$B$14,0),MATCH($C$5,'Gastos reales'!$C$7:$N$7,0))</f>
        <v>0</v>
      </c>
      <c r="E17" s="12">
        <f t="shared" si="0"/>
        <v>280</v>
      </c>
      <c r="F17" s="13">
        <f t="shared" si="1"/>
        <v>0</v>
      </c>
    </row>
    <row r="18" spans="2:6" ht="21.95" customHeight="1" x14ac:dyDescent="0.25">
      <c r="B18" s="11" t="str">
        <f>Presupuesto!B14</f>
        <v>Otros</v>
      </c>
      <c r="C18" s="12">
        <f>INDEX(Presupuesto!$C$8:$N$14,MATCH($B18,Presupuesto!$B$8:$B$14,0),MATCH($C$5,Presupuesto!$C$7:$N$7,0))</f>
        <v>160</v>
      </c>
      <c r="D18" s="12">
        <f>INDEX('Gastos reales'!$C$8:$N$14,MATCH($B18,'Gastos reales'!$B$8:$B$14,0),MATCH($C$5,'Gastos reales'!$C$7:$N$7,0))</f>
        <v>0</v>
      </c>
      <c r="E18" s="12">
        <f t="shared" si="0"/>
        <v>160</v>
      </c>
      <c r="F18" s="13">
        <f t="shared" si="1"/>
        <v>0</v>
      </c>
    </row>
    <row r="19" spans="2:6" ht="21.95" customHeight="1" x14ac:dyDescent="0.25">
      <c r="B19" s="14" t="s">
        <v>53</v>
      </c>
      <c r="C19" s="15">
        <f>SUM(C12:C18)</f>
        <v>2700</v>
      </c>
      <c r="D19" s="15">
        <f>SUM(D12:D18)</f>
        <v>225</v>
      </c>
      <c r="E19" s="15">
        <f>SUM(E12:E18)</f>
        <v>2475</v>
      </c>
      <c r="F19" s="16">
        <f t="shared" si="1"/>
        <v>8.3333333333333329E-2</v>
      </c>
    </row>
    <row r="20" spans="2:6" ht="21" customHeight="1" x14ac:dyDescent="0.25"/>
    <row r="21" spans="2:6" ht="21" customHeight="1" x14ac:dyDescent="0.25"/>
    <row r="22" spans="2:6" ht="21" customHeight="1" x14ac:dyDescent="0.25">
      <c r="B22" s="57" t="s">
        <v>54</v>
      </c>
      <c r="C22" s="39"/>
      <c r="D22" s="39"/>
      <c r="E22" s="39"/>
      <c r="F22" s="39"/>
    </row>
    <row r="23" spans="2:6" ht="21" customHeight="1" x14ac:dyDescent="0.25">
      <c r="B23" s="39"/>
      <c r="C23" s="39"/>
      <c r="D23" s="39"/>
      <c r="E23" s="39"/>
      <c r="F23" s="39"/>
    </row>
    <row r="24" spans="2:6" ht="21" customHeight="1" x14ac:dyDescent="0.25">
      <c r="B24" s="39"/>
      <c r="C24" s="39"/>
      <c r="D24" s="39"/>
      <c r="E24" s="39"/>
      <c r="F24" s="39"/>
    </row>
    <row r="25" spans="2:6" ht="21" customHeight="1" x14ac:dyDescent="0.25"/>
    <row r="26" spans="2:6" ht="21" customHeight="1" x14ac:dyDescent="0.25"/>
    <row r="27" spans="2:6" ht="21" customHeight="1" x14ac:dyDescent="0.25"/>
    <row r="28" spans="2:6" ht="21" customHeight="1" x14ac:dyDescent="0.25"/>
    <row r="29" spans="2:6" ht="21" customHeight="1" x14ac:dyDescent="0.25"/>
    <row r="30" spans="2:6" ht="21" customHeight="1" x14ac:dyDescent="0.25"/>
    <row r="31" spans="2:6" ht="21" customHeight="1" x14ac:dyDescent="0.25"/>
    <row r="32" spans="2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13">
    <mergeCell ref="H7:J8"/>
    <mergeCell ref="B22:F24"/>
    <mergeCell ref="B2:N2"/>
    <mergeCell ref="K6:M6"/>
    <mergeCell ref="K7:M8"/>
    <mergeCell ref="B4:N4"/>
    <mergeCell ref="B10:F10"/>
    <mergeCell ref="B3:N3"/>
    <mergeCell ref="B6:D6"/>
    <mergeCell ref="B7:D8"/>
    <mergeCell ref="E6:G6"/>
    <mergeCell ref="E7:G8"/>
    <mergeCell ref="H6:J6"/>
  </mergeCells>
  <conditionalFormatting sqref="E12:E18">
    <cfRule type="cellIs" dxfId="0" priority="1" operator="lessThan">
      <formula>0</formula>
    </cfRule>
  </conditionalFormatting>
  <conditionalFormatting sqref="F12:F18">
    <cfRule type="dataBar" priority="2">
      <dataBar>
        <cfvo type="num" val="0"/>
        <cfvo type="max"/>
        <color rgb="FF0F766E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promptTitle="Lista" prompt="Elige una opción para mantener los resúmenes consistentes." xr:uid="{00000000-0002-0000-0100-000000000000}">
          <x14:formula1>
            <xm:f>Listas!$E$7:$E$18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4E63"/>
    <pageSetUpPr fitToPage="1"/>
  </sheetPr>
  <dimension ref="A1:O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14" width="11" customWidth="1"/>
    <col min="15" max="15" width="15" customWidth="1"/>
  </cols>
  <sheetData>
    <row r="1" spans="1:15" ht="26.1" customHeight="1" x14ac:dyDescent="0.25"/>
    <row r="2" spans="1:15" ht="21.95" customHeight="1" x14ac:dyDescent="0.25">
      <c r="B2" s="55" t="s">
        <v>55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30" customHeight="1" x14ac:dyDescent="0.25">
      <c r="B3" s="52" t="s">
        <v>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21.95" customHeight="1" x14ac:dyDescent="0.25">
      <c r="B4" s="50" t="s">
        <v>57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5" ht="21" customHeight="1" x14ac:dyDescent="0.25"/>
    <row r="6" spans="1:15" ht="24" customHeight="1" x14ac:dyDescent="0.25">
      <c r="B6" s="41" t="s">
        <v>58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ht="32.1" customHeight="1" x14ac:dyDescent="0.25">
      <c r="A7" s="1"/>
      <c r="B7" s="18" t="s">
        <v>48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18" t="s">
        <v>64</v>
      </c>
      <c r="I7" s="18" t="s">
        <v>65</v>
      </c>
      <c r="J7" s="18" t="s">
        <v>66</v>
      </c>
      <c r="K7" s="18" t="s">
        <v>67</v>
      </c>
      <c r="L7" s="18" t="s">
        <v>68</v>
      </c>
      <c r="M7" s="18" t="s">
        <v>69</v>
      </c>
      <c r="N7" s="18" t="s">
        <v>70</v>
      </c>
      <c r="O7" s="18" t="s">
        <v>71</v>
      </c>
    </row>
    <row r="8" spans="1:15" ht="21.95" customHeight="1" x14ac:dyDescent="0.25">
      <c r="B8" s="19" t="s">
        <v>72</v>
      </c>
      <c r="C8" s="20">
        <v>1100</v>
      </c>
      <c r="D8" s="20">
        <v>1100</v>
      </c>
      <c r="E8" s="20">
        <v>1100</v>
      </c>
      <c r="F8" s="20">
        <v>1100</v>
      </c>
      <c r="G8" s="20">
        <v>1100</v>
      </c>
      <c r="H8" s="20">
        <v>1100</v>
      </c>
      <c r="I8" s="20">
        <v>1100</v>
      </c>
      <c r="J8" s="20">
        <v>1100</v>
      </c>
      <c r="K8" s="20">
        <v>1100</v>
      </c>
      <c r="L8" s="20">
        <v>1100</v>
      </c>
      <c r="M8" s="20">
        <v>1100</v>
      </c>
      <c r="N8" s="20">
        <v>1100</v>
      </c>
      <c r="O8" s="12">
        <f t="shared" ref="O8:O14" si="0">SUM(C8:N8)</f>
        <v>13200</v>
      </c>
    </row>
    <row r="9" spans="1:15" ht="21.95" customHeight="1" x14ac:dyDescent="0.25">
      <c r="B9" s="19" t="s">
        <v>73</v>
      </c>
      <c r="C9" s="20">
        <v>420</v>
      </c>
      <c r="D9" s="20">
        <v>420</v>
      </c>
      <c r="E9" s="20">
        <v>430</v>
      </c>
      <c r="F9" s="20">
        <v>430</v>
      </c>
      <c r="G9" s="20">
        <v>440</v>
      </c>
      <c r="H9" s="20">
        <v>440</v>
      </c>
      <c r="I9" s="20">
        <v>460</v>
      </c>
      <c r="J9" s="20">
        <v>460</v>
      </c>
      <c r="K9" s="20">
        <v>440</v>
      </c>
      <c r="L9" s="20">
        <v>440</v>
      </c>
      <c r="M9" s="20">
        <v>460</v>
      </c>
      <c r="N9" s="20">
        <v>500</v>
      </c>
      <c r="O9" s="12">
        <f t="shared" si="0"/>
        <v>5340</v>
      </c>
    </row>
    <row r="10" spans="1:15" ht="21.95" customHeight="1" x14ac:dyDescent="0.25">
      <c r="B10" s="19" t="s">
        <v>74</v>
      </c>
      <c r="C10" s="20">
        <v>250</v>
      </c>
      <c r="D10" s="20">
        <v>250</v>
      </c>
      <c r="E10" s="20">
        <v>250</v>
      </c>
      <c r="F10" s="20">
        <v>250</v>
      </c>
      <c r="G10" s="20">
        <v>250</v>
      </c>
      <c r="H10" s="20">
        <v>250</v>
      </c>
      <c r="I10" s="20">
        <v>250</v>
      </c>
      <c r="J10" s="20">
        <v>250</v>
      </c>
      <c r="K10" s="20">
        <v>250</v>
      </c>
      <c r="L10" s="20">
        <v>250</v>
      </c>
      <c r="M10" s="20">
        <v>250</v>
      </c>
      <c r="N10" s="20">
        <v>250</v>
      </c>
      <c r="O10" s="12">
        <f t="shared" si="0"/>
        <v>3000</v>
      </c>
    </row>
    <row r="11" spans="1:15" ht="21.95" customHeight="1" x14ac:dyDescent="0.25">
      <c r="B11" s="19" t="s">
        <v>75</v>
      </c>
      <c r="C11" s="20">
        <v>350</v>
      </c>
      <c r="D11" s="20">
        <v>350</v>
      </c>
      <c r="E11" s="20">
        <v>350</v>
      </c>
      <c r="F11" s="20">
        <v>350</v>
      </c>
      <c r="G11" s="20">
        <v>350</v>
      </c>
      <c r="H11" s="20">
        <v>350</v>
      </c>
      <c r="I11" s="20">
        <v>350</v>
      </c>
      <c r="J11" s="20">
        <v>350</v>
      </c>
      <c r="K11" s="20">
        <v>350</v>
      </c>
      <c r="L11" s="20">
        <v>350</v>
      </c>
      <c r="M11" s="20">
        <v>350</v>
      </c>
      <c r="N11" s="20">
        <v>500</v>
      </c>
      <c r="O11" s="12">
        <f t="shared" si="0"/>
        <v>4350</v>
      </c>
    </row>
    <row r="12" spans="1:15" ht="21.95" customHeight="1" x14ac:dyDescent="0.25">
      <c r="B12" s="19" t="s">
        <v>76</v>
      </c>
      <c r="C12" s="20">
        <v>140</v>
      </c>
      <c r="D12" s="20">
        <v>140</v>
      </c>
      <c r="E12" s="20">
        <v>140</v>
      </c>
      <c r="F12" s="20">
        <v>140</v>
      </c>
      <c r="G12" s="20">
        <v>140</v>
      </c>
      <c r="H12" s="20">
        <v>140</v>
      </c>
      <c r="I12" s="20">
        <v>180</v>
      </c>
      <c r="J12" s="20">
        <v>180</v>
      </c>
      <c r="K12" s="20">
        <v>180</v>
      </c>
      <c r="L12" s="20">
        <v>180</v>
      </c>
      <c r="M12" s="20">
        <v>180</v>
      </c>
      <c r="N12" s="20">
        <v>180</v>
      </c>
      <c r="O12" s="12">
        <f t="shared" si="0"/>
        <v>1920</v>
      </c>
    </row>
    <row r="13" spans="1:15" ht="21.95" customHeight="1" x14ac:dyDescent="0.25">
      <c r="B13" s="19" t="s">
        <v>77</v>
      </c>
      <c r="C13" s="20">
        <v>280</v>
      </c>
      <c r="D13" s="20">
        <v>280</v>
      </c>
      <c r="E13" s="20">
        <v>300</v>
      </c>
      <c r="F13" s="20">
        <v>300</v>
      </c>
      <c r="G13" s="20">
        <v>320</v>
      </c>
      <c r="H13" s="20">
        <v>320</v>
      </c>
      <c r="I13" s="20">
        <v>420</v>
      </c>
      <c r="J13" s="20">
        <v>420</v>
      </c>
      <c r="K13" s="20">
        <v>300</v>
      </c>
      <c r="L13" s="20">
        <v>300</v>
      </c>
      <c r="M13" s="20">
        <v>340</v>
      </c>
      <c r="N13" s="20">
        <v>450</v>
      </c>
      <c r="O13" s="12">
        <f t="shared" si="0"/>
        <v>4030</v>
      </c>
    </row>
    <row r="14" spans="1:15" ht="21.95" customHeight="1" x14ac:dyDescent="0.25">
      <c r="B14" s="19" t="s">
        <v>78</v>
      </c>
      <c r="C14" s="20">
        <v>160</v>
      </c>
      <c r="D14" s="20">
        <v>160</v>
      </c>
      <c r="E14" s="20">
        <v>170</v>
      </c>
      <c r="F14" s="20">
        <v>170</v>
      </c>
      <c r="G14" s="20">
        <v>180</v>
      </c>
      <c r="H14" s="20">
        <v>180</v>
      </c>
      <c r="I14" s="20">
        <v>190</v>
      </c>
      <c r="J14" s="20">
        <v>190</v>
      </c>
      <c r="K14" s="20">
        <v>180</v>
      </c>
      <c r="L14" s="20">
        <v>180</v>
      </c>
      <c r="M14" s="20">
        <v>200</v>
      </c>
      <c r="N14" s="20">
        <v>220</v>
      </c>
      <c r="O14" s="12">
        <f t="shared" si="0"/>
        <v>2180</v>
      </c>
    </row>
    <row r="15" spans="1:15" ht="21.95" customHeight="1" x14ac:dyDescent="0.25">
      <c r="B15" s="14" t="s">
        <v>79</v>
      </c>
      <c r="C15" s="15">
        <f t="shared" ref="C15:O15" si="1">SUM(C8:C14)</f>
        <v>2700</v>
      </c>
      <c r="D15" s="15">
        <f t="shared" si="1"/>
        <v>2700</v>
      </c>
      <c r="E15" s="15">
        <f t="shared" si="1"/>
        <v>2740</v>
      </c>
      <c r="F15" s="15">
        <f t="shared" si="1"/>
        <v>2740</v>
      </c>
      <c r="G15" s="15">
        <f t="shared" si="1"/>
        <v>2780</v>
      </c>
      <c r="H15" s="15">
        <f t="shared" si="1"/>
        <v>2780</v>
      </c>
      <c r="I15" s="15">
        <f t="shared" si="1"/>
        <v>2950</v>
      </c>
      <c r="J15" s="15">
        <f t="shared" si="1"/>
        <v>2950</v>
      </c>
      <c r="K15" s="15">
        <f t="shared" si="1"/>
        <v>2800</v>
      </c>
      <c r="L15" s="15">
        <f t="shared" si="1"/>
        <v>2800</v>
      </c>
      <c r="M15" s="15">
        <f t="shared" si="1"/>
        <v>2880</v>
      </c>
      <c r="N15" s="15">
        <f t="shared" si="1"/>
        <v>3200</v>
      </c>
      <c r="O15" s="15">
        <f t="shared" si="1"/>
        <v>34020</v>
      </c>
    </row>
    <row r="16" spans="1:15" ht="21" customHeight="1" x14ac:dyDescent="0.25"/>
    <row r="17" spans="2:15" ht="21" customHeight="1" x14ac:dyDescent="0.25"/>
    <row r="18" spans="2:15" ht="21" customHeight="1" x14ac:dyDescent="0.25">
      <c r="B18" s="57" t="s">
        <v>80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2:15" ht="21" customHeight="1" x14ac:dyDescent="0.25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2:15" ht="21" customHeight="1" x14ac:dyDescent="0.25"/>
    <row r="21" spans="2:15" ht="21" customHeight="1" x14ac:dyDescent="0.25"/>
    <row r="22" spans="2:15" ht="21" customHeight="1" x14ac:dyDescent="0.25"/>
    <row r="23" spans="2:15" ht="21" customHeight="1" x14ac:dyDescent="0.25"/>
    <row r="24" spans="2:15" ht="21" customHeight="1" x14ac:dyDescent="0.25"/>
    <row r="25" spans="2:15" ht="21" customHeight="1" x14ac:dyDescent="0.25"/>
    <row r="26" spans="2:15" ht="21" customHeight="1" x14ac:dyDescent="0.25"/>
    <row r="27" spans="2:15" ht="21" customHeight="1" x14ac:dyDescent="0.25"/>
    <row r="28" spans="2:15" ht="21" customHeight="1" x14ac:dyDescent="0.25"/>
    <row r="29" spans="2:15" ht="21" customHeight="1" x14ac:dyDescent="0.25"/>
    <row r="30" spans="2:15" ht="21" customHeight="1" x14ac:dyDescent="0.25"/>
    <row r="31" spans="2:15" ht="21" customHeight="1" x14ac:dyDescent="0.25"/>
    <row r="32" spans="2:1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8:O19"/>
    <mergeCell ref="B4:O4"/>
    <mergeCell ref="B6:O6"/>
    <mergeCell ref="B2:O2"/>
    <mergeCell ref="B3:O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77D8E"/>
    <pageSetUpPr fitToPage="1"/>
  </sheetPr>
  <dimension ref="A1:O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14" width="11" customWidth="1"/>
    <col min="15" max="15" width="15" customWidth="1"/>
  </cols>
  <sheetData>
    <row r="1" spans="1:15" ht="26.1" customHeight="1" x14ac:dyDescent="0.25"/>
    <row r="2" spans="1:15" ht="21.95" customHeight="1" x14ac:dyDescent="0.25">
      <c r="B2" s="55" t="s">
        <v>81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ht="30" customHeight="1" x14ac:dyDescent="0.25">
      <c r="B3" s="52" t="s">
        <v>82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ht="21.95" customHeight="1" x14ac:dyDescent="0.25">
      <c r="B4" s="50" t="s">
        <v>83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5" ht="21" customHeight="1" x14ac:dyDescent="0.25"/>
    <row r="6" spans="1:15" ht="24" customHeight="1" x14ac:dyDescent="0.25">
      <c r="B6" s="51" t="s">
        <v>84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1:15" ht="32.1" customHeight="1" x14ac:dyDescent="0.25">
      <c r="A7" s="1"/>
      <c r="B7" s="18" t="s">
        <v>48</v>
      </c>
      <c r="C7" s="18" t="s">
        <v>59</v>
      </c>
      <c r="D7" s="18" t="s">
        <v>60</v>
      </c>
      <c r="E7" s="18" t="s">
        <v>61</v>
      </c>
      <c r="F7" s="18" t="s">
        <v>62</v>
      </c>
      <c r="G7" s="18" t="s">
        <v>63</v>
      </c>
      <c r="H7" s="18" t="s">
        <v>64</v>
      </c>
      <c r="I7" s="18" t="s">
        <v>65</v>
      </c>
      <c r="J7" s="18" t="s">
        <v>66</v>
      </c>
      <c r="K7" s="18" t="s">
        <v>67</v>
      </c>
      <c r="L7" s="18" t="s">
        <v>68</v>
      </c>
      <c r="M7" s="18" t="s">
        <v>69</v>
      </c>
      <c r="N7" s="18" t="s">
        <v>70</v>
      </c>
      <c r="O7" s="18" t="s">
        <v>71</v>
      </c>
    </row>
    <row r="8" spans="1:15" ht="21.95" customHeight="1" x14ac:dyDescent="0.25">
      <c r="B8" s="11" t="str">
        <f>Presupuesto!B8</f>
        <v>Vivienda</v>
      </c>
      <c r="C8" s="12">
        <f>SUMIFS(Movimientos!$G$8:$G$200,Movimientos!$D$8:$D$200,"Gasto",Movimientos!$E$8:$E$200,$B8,Movimientos!$C$8:$C$200,C$7)</f>
        <v>62</v>
      </c>
      <c r="D8" s="12">
        <f>SUMIFS(Movimientos!$G$8:$G$200,Movimientos!$D$8:$D$200,"Gasto",Movimientos!$E$8:$E$200,$B8,Movimientos!$C$8:$C$200,D$7)</f>
        <v>0</v>
      </c>
      <c r="E8" s="12">
        <f>SUMIFS(Movimientos!$G$8:$G$200,Movimientos!$D$8:$D$200,"Gasto",Movimientos!$E$8:$E$200,$B8,Movimientos!$C$8:$C$200,E$7)</f>
        <v>0</v>
      </c>
      <c r="F8" s="12">
        <f>SUMIFS(Movimientos!$G$8:$G$200,Movimientos!$D$8:$D$200,"Gasto",Movimientos!$E$8:$E$200,$B8,Movimientos!$C$8:$C$200,F$7)</f>
        <v>0</v>
      </c>
      <c r="G8" s="12">
        <f>SUMIFS(Movimientos!$G$8:$G$200,Movimientos!$D$8:$D$200,"Gasto",Movimientos!$E$8:$E$200,$B8,Movimientos!$C$8:$C$200,G$7)</f>
        <v>0</v>
      </c>
      <c r="H8" s="12">
        <f>SUMIFS(Movimientos!$G$8:$G$200,Movimientos!$D$8:$D$200,"Gasto",Movimientos!$E$8:$E$200,$B8,Movimientos!$C$8:$C$200,H$7)</f>
        <v>0</v>
      </c>
      <c r="I8" s="12">
        <f>SUMIFS(Movimientos!$G$8:$G$200,Movimientos!$D$8:$D$200,"Gasto",Movimientos!$E$8:$E$200,$B8,Movimientos!$C$8:$C$200,I$7)</f>
        <v>0</v>
      </c>
      <c r="J8" s="12">
        <f>SUMIFS(Movimientos!$G$8:$G$200,Movimientos!$D$8:$D$200,"Gasto",Movimientos!$E$8:$E$200,$B8,Movimientos!$C$8:$C$200,J$7)</f>
        <v>0</v>
      </c>
      <c r="K8" s="12">
        <f>SUMIFS(Movimientos!$G$8:$G$200,Movimientos!$D$8:$D$200,"Gasto",Movimientos!$E$8:$E$200,$B8,Movimientos!$C$8:$C$200,K$7)</f>
        <v>0</v>
      </c>
      <c r="L8" s="12">
        <f>SUMIFS(Movimientos!$G$8:$G$200,Movimientos!$D$8:$D$200,"Gasto",Movimientos!$E$8:$E$200,$B8,Movimientos!$C$8:$C$200,L$7)</f>
        <v>0</v>
      </c>
      <c r="M8" s="12">
        <f>SUMIFS(Movimientos!$G$8:$G$200,Movimientos!$D$8:$D$200,"Gasto",Movimientos!$E$8:$E$200,$B8,Movimientos!$C$8:$C$200,M$7)</f>
        <v>0</v>
      </c>
      <c r="N8" s="12">
        <f>SUMIFS(Movimientos!$G$8:$G$200,Movimientos!$D$8:$D$200,"Gasto",Movimientos!$E$8:$E$200,$B8,Movimientos!$C$8:$C$200,N$7)</f>
        <v>0</v>
      </c>
      <c r="O8" s="12">
        <f t="shared" ref="O8:O14" si="0">SUM(C8:N8)</f>
        <v>62</v>
      </c>
    </row>
    <row r="9" spans="1:15" ht="21.95" customHeight="1" x14ac:dyDescent="0.25">
      <c r="B9" s="11" t="str">
        <f>Presupuesto!B9</f>
        <v>Alimentación</v>
      </c>
      <c r="C9" s="12">
        <f>SUMIFS(Movimientos!$G$8:$G$200,Movimientos!$D$8:$D$200,"Gasto",Movimientos!$E$8:$E$200,$B9,Movimientos!$C$8:$C$200,C$7)</f>
        <v>86</v>
      </c>
      <c r="D9" s="12">
        <f>SUMIFS(Movimientos!$G$8:$G$200,Movimientos!$D$8:$D$200,"Gasto",Movimientos!$E$8:$E$200,$B9,Movimientos!$C$8:$C$200,D$7)</f>
        <v>0</v>
      </c>
      <c r="E9" s="12">
        <f>SUMIFS(Movimientos!$G$8:$G$200,Movimientos!$D$8:$D$200,"Gasto",Movimientos!$E$8:$E$200,$B9,Movimientos!$C$8:$C$200,E$7)</f>
        <v>0</v>
      </c>
      <c r="F9" s="12">
        <f>SUMIFS(Movimientos!$G$8:$G$200,Movimientos!$D$8:$D$200,"Gasto",Movimientos!$E$8:$E$200,$B9,Movimientos!$C$8:$C$200,F$7)</f>
        <v>0</v>
      </c>
      <c r="G9" s="12">
        <f>SUMIFS(Movimientos!$G$8:$G$200,Movimientos!$D$8:$D$200,"Gasto",Movimientos!$E$8:$E$200,$B9,Movimientos!$C$8:$C$200,G$7)</f>
        <v>0</v>
      </c>
      <c r="H9" s="12">
        <f>SUMIFS(Movimientos!$G$8:$G$200,Movimientos!$D$8:$D$200,"Gasto",Movimientos!$E$8:$E$200,$B9,Movimientos!$C$8:$C$200,H$7)</f>
        <v>0</v>
      </c>
      <c r="I9" s="12">
        <f>SUMIFS(Movimientos!$G$8:$G$200,Movimientos!$D$8:$D$200,"Gasto",Movimientos!$E$8:$E$200,$B9,Movimientos!$C$8:$C$200,I$7)</f>
        <v>0</v>
      </c>
      <c r="J9" s="12">
        <f>SUMIFS(Movimientos!$G$8:$G$200,Movimientos!$D$8:$D$200,"Gasto",Movimientos!$E$8:$E$200,$B9,Movimientos!$C$8:$C$200,J$7)</f>
        <v>0</v>
      </c>
      <c r="K9" s="12">
        <f>SUMIFS(Movimientos!$G$8:$G$200,Movimientos!$D$8:$D$200,"Gasto",Movimientos!$E$8:$E$200,$B9,Movimientos!$C$8:$C$200,K$7)</f>
        <v>0</v>
      </c>
      <c r="L9" s="12">
        <f>SUMIFS(Movimientos!$G$8:$G$200,Movimientos!$D$8:$D$200,"Gasto",Movimientos!$E$8:$E$200,$B9,Movimientos!$C$8:$C$200,L$7)</f>
        <v>0</v>
      </c>
      <c r="M9" s="12">
        <f>SUMIFS(Movimientos!$G$8:$G$200,Movimientos!$D$8:$D$200,"Gasto",Movimientos!$E$8:$E$200,$B9,Movimientos!$C$8:$C$200,M$7)</f>
        <v>0</v>
      </c>
      <c r="N9" s="12">
        <f>SUMIFS(Movimientos!$G$8:$G$200,Movimientos!$D$8:$D$200,"Gasto",Movimientos!$E$8:$E$200,$B9,Movimientos!$C$8:$C$200,N$7)</f>
        <v>0</v>
      </c>
      <c r="O9" s="12">
        <f t="shared" si="0"/>
        <v>86</v>
      </c>
    </row>
    <row r="10" spans="1:15" ht="21.95" customHeight="1" x14ac:dyDescent="0.25">
      <c r="B10" s="11" t="str">
        <f>Presupuesto!B10</f>
        <v>Transporte</v>
      </c>
      <c r="C10" s="12">
        <f>SUMIFS(Movimientos!$G$8:$G$200,Movimientos!$D$8:$D$200,"Gasto",Movimientos!$E$8:$E$200,$B10,Movimientos!$C$8:$C$200,C$7)</f>
        <v>48</v>
      </c>
      <c r="D10" s="12">
        <f>SUMIFS(Movimientos!$G$8:$G$200,Movimientos!$D$8:$D$200,"Gasto",Movimientos!$E$8:$E$200,$B10,Movimientos!$C$8:$C$200,D$7)</f>
        <v>0</v>
      </c>
      <c r="E10" s="12">
        <f>SUMIFS(Movimientos!$G$8:$G$200,Movimientos!$D$8:$D$200,"Gasto",Movimientos!$E$8:$E$200,$B10,Movimientos!$C$8:$C$200,E$7)</f>
        <v>0</v>
      </c>
      <c r="F10" s="12">
        <f>SUMIFS(Movimientos!$G$8:$G$200,Movimientos!$D$8:$D$200,"Gasto",Movimientos!$E$8:$E$200,$B10,Movimientos!$C$8:$C$200,F$7)</f>
        <v>0</v>
      </c>
      <c r="G10" s="12">
        <f>SUMIFS(Movimientos!$G$8:$G$200,Movimientos!$D$8:$D$200,"Gasto",Movimientos!$E$8:$E$200,$B10,Movimientos!$C$8:$C$200,G$7)</f>
        <v>0</v>
      </c>
      <c r="H10" s="12">
        <f>SUMIFS(Movimientos!$G$8:$G$200,Movimientos!$D$8:$D$200,"Gasto",Movimientos!$E$8:$E$200,$B10,Movimientos!$C$8:$C$200,H$7)</f>
        <v>0</v>
      </c>
      <c r="I10" s="12">
        <f>SUMIFS(Movimientos!$G$8:$G$200,Movimientos!$D$8:$D$200,"Gasto",Movimientos!$E$8:$E$200,$B10,Movimientos!$C$8:$C$200,I$7)</f>
        <v>0</v>
      </c>
      <c r="J10" s="12">
        <f>SUMIFS(Movimientos!$G$8:$G$200,Movimientos!$D$8:$D$200,"Gasto",Movimientos!$E$8:$E$200,$B10,Movimientos!$C$8:$C$200,J$7)</f>
        <v>0</v>
      </c>
      <c r="K10" s="12">
        <f>SUMIFS(Movimientos!$G$8:$G$200,Movimientos!$D$8:$D$200,"Gasto",Movimientos!$E$8:$E$200,$B10,Movimientos!$C$8:$C$200,K$7)</f>
        <v>0</v>
      </c>
      <c r="L10" s="12">
        <f>SUMIFS(Movimientos!$G$8:$G$200,Movimientos!$D$8:$D$200,"Gasto",Movimientos!$E$8:$E$200,$B10,Movimientos!$C$8:$C$200,L$7)</f>
        <v>0</v>
      </c>
      <c r="M10" s="12">
        <f>SUMIFS(Movimientos!$G$8:$G$200,Movimientos!$D$8:$D$200,"Gasto",Movimientos!$E$8:$E$200,$B10,Movimientos!$C$8:$C$200,M$7)</f>
        <v>0</v>
      </c>
      <c r="N10" s="12">
        <f>SUMIFS(Movimientos!$G$8:$G$200,Movimientos!$D$8:$D$200,"Gasto",Movimientos!$E$8:$E$200,$B10,Movimientos!$C$8:$C$200,N$7)</f>
        <v>0</v>
      </c>
      <c r="O10" s="12">
        <f t="shared" si="0"/>
        <v>48</v>
      </c>
    </row>
    <row r="11" spans="1:15" ht="21.95" customHeight="1" x14ac:dyDescent="0.25">
      <c r="B11" s="11" t="str">
        <f>Presupuesto!B11</f>
        <v>Salud</v>
      </c>
      <c r="C11" s="12">
        <f>SUMIFS(Movimientos!$G$8:$G$200,Movimientos!$D$8:$D$200,"Gasto",Movimientos!$E$8:$E$200,$B11,Movimientos!$C$8:$C$200,C$7)</f>
        <v>29</v>
      </c>
      <c r="D11" s="12">
        <f>SUMIFS(Movimientos!$G$8:$G$200,Movimientos!$D$8:$D$200,"Gasto",Movimientos!$E$8:$E$200,$B11,Movimientos!$C$8:$C$200,D$7)</f>
        <v>0</v>
      </c>
      <c r="E11" s="12">
        <f>SUMIFS(Movimientos!$G$8:$G$200,Movimientos!$D$8:$D$200,"Gasto",Movimientos!$E$8:$E$200,$B11,Movimientos!$C$8:$C$200,E$7)</f>
        <v>0</v>
      </c>
      <c r="F11" s="12">
        <f>SUMIFS(Movimientos!$G$8:$G$200,Movimientos!$D$8:$D$200,"Gasto",Movimientos!$E$8:$E$200,$B11,Movimientos!$C$8:$C$200,F$7)</f>
        <v>0</v>
      </c>
      <c r="G11" s="12">
        <f>SUMIFS(Movimientos!$G$8:$G$200,Movimientos!$D$8:$D$200,"Gasto",Movimientos!$E$8:$E$200,$B11,Movimientos!$C$8:$C$200,G$7)</f>
        <v>0</v>
      </c>
      <c r="H11" s="12">
        <f>SUMIFS(Movimientos!$G$8:$G$200,Movimientos!$D$8:$D$200,"Gasto",Movimientos!$E$8:$E$200,$B11,Movimientos!$C$8:$C$200,H$7)</f>
        <v>0</v>
      </c>
      <c r="I11" s="12">
        <f>SUMIFS(Movimientos!$G$8:$G$200,Movimientos!$D$8:$D$200,"Gasto",Movimientos!$E$8:$E$200,$B11,Movimientos!$C$8:$C$200,I$7)</f>
        <v>0</v>
      </c>
      <c r="J11" s="12">
        <f>SUMIFS(Movimientos!$G$8:$G$200,Movimientos!$D$8:$D$200,"Gasto",Movimientos!$E$8:$E$200,$B11,Movimientos!$C$8:$C$200,J$7)</f>
        <v>0</v>
      </c>
      <c r="K11" s="12">
        <f>SUMIFS(Movimientos!$G$8:$G$200,Movimientos!$D$8:$D$200,"Gasto",Movimientos!$E$8:$E$200,$B11,Movimientos!$C$8:$C$200,K$7)</f>
        <v>0</v>
      </c>
      <c r="L11" s="12">
        <f>SUMIFS(Movimientos!$G$8:$G$200,Movimientos!$D$8:$D$200,"Gasto",Movimientos!$E$8:$E$200,$B11,Movimientos!$C$8:$C$200,L$7)</f>
        <v>0</v>
      </c>
      <c r="M11" s="12">
        <f>SUMIFS(Movimientos!$G$8:$G$200,Movimientos!$D$8:$D$200,"Gasto",Movimientos!$E$8:$E$200,$B11,Movimientos!$C$8:$C$200,M$7)</f>
        <v>0</v>
      </c>
      <c r="N11" s="12">
        <f>SUMIFS(Movimientos!$G$8:$G$200,Movimientos!$D$8:$D$200,"Gasto",Movimientos!$E$8:$E$200,$B11,Movimientos!$C$8:$C$200,N$7)</f>
        <v>0</v>
      </c>
      <c r="O11" s="12">
        <f t="shared" si="0"/>
        <v>29</v>
      </c>
    </row>
    <row r="12" spans="1:15" ht="21.95" customHeight="1" x14ac:dyDescent="0.25">
      <c r="B12" s="11" t="str">
        <f>Presupuesto!B12</f>
        <v>Educación</v>
      </c>
      <c r="C12" s="12">
        <f>SUMIFS(Movimientos!$G$8:$G$200,Movimientos!$D$8:$D$200,"Gasto",Movimientos!$E$8:$E$200,$B12,Movimientos!$C$8:$C$200,C$7)</f>
        <v>0</v>
      </c>
      <c r="D12" s="12">
        <f>SUMIFS(Movimientos!$G$8:$G$200,Movimientos!$D$8:$D$200,"Gasto",Movimientos!$E$8:$E$200,$B12,Movimientos!$C$8:$C$200,D$7)</f>
        <v>0</v>
      </c>
      <c r="E12" s="12">
        <f>SUMIFS(Movimientos!$G$8:$G$200,Movimientos!$D$8:$D$200,"Gasto",Movimientos!$E$8:$E$200,$B12,Movimientos!$C$8:$C$200,E$7)</f>
        <v>0</v>
      </c>
      <c r="F12" s="12">
        <f>SUMIFS(Movimientos!$G$8:$G$200,Movimientos!$D$8:$D$200,"Gasto",Movimientos!$E$8:$E$200,$B12,Movimientos!$C$8:$C$200,F$7)</f>
        <v>0</v>
      </c>
      <c r="G12" s="12">
        <f>SUMIFS(Movimientos!$G$8:$G$200,Movimientos!$D$8:$D$200,"Gasto",Movimientos!$E$8:$E$200,$B12,Movimientos!$C$8:$C$200,G$7)</f>
        <v>0</v>
      </c>
      <c r="H12" s="12">
        <f>SUMIFS(Movimientos!$G$8:$G$200,Movimientos!$D$8:$D$200,"Gasto",Movimientos!$E$8:$E$200,$B12,Movimientos!$C$8:$C$200,H$7)</f>
        <v>0</v>
      </c>
      <c r="I12" s="12">
        <f>SUMIFS(Movimientos!$G$8:$G$200,Movimientos!$D$8:$D$200,"Gasto",Movimientos!$E$8:$E$200,$B12,Movimientos!$C$8:$C$200,I$7)</f>
        <v>0</v>
      </c>
      <c r="J12" s="12">
        <f>SUMIFS(Movimientos!$G$8:$G$200,Movimientos!$D$8:$D$200,"Gasto",Movimientos!$E$8:$E$200,$B12,Movimientos!$C$8:$C$200,J$7)</f>
        <v>0</v>
      </c>
      <c r="K12" s="12">
        <f>SUMIFS(Movimientos!$G$8:$G$200,Movimientos!$D$8:$D$200,"Gasto",Movimientos!$E$8:$E$200,$B12,Movimientos!$C$8:$C$200,K$7)</f>
        <v>0</v>
      </c>
      <c r="L12" s="12">
        <f>SUMIFS(Movimientos!$G$8:$G$200,Movimientos!$D$8:$D$200,"Gasto",Movimientos!$E$8:$E$200,$B12,Movimientos!$C$8:$C$200,L$7)</f>
        <v>0</v>
      </c>
      <c r="M12" s="12">
        <f>SUMIFS(Movimientos!$G$8:$G$200,Movimientos!$D$8:$D$200,"Gasto",Movimientos!$E$8:$E$200,$B12,Movimientos!$C$8:$C$200,M$7)</f>
        <v>0</v>
      </c>
      <c r="N12" s="12">
        <f>SUMIFS(Movimientos!$G$8:$G$200,Movimientos!$D$8:$D$200,"Gasto",Movimientos!$E$8:$E$200,$B12,Movimientos!$C$8:$C$200,N$7)</f>
        <v>0</v>
      </c>
      <c r="O12" s="12">
        <f t="shared" si="0"/>
        <v>0</v>
      </c>
    </row>
    <row r="13" spans="1:15" ht="21.95" customHeight="1" x14ac:dyDescent="0.25">
      <c r="B13" s="11" t="str">
        <f>Presupuesto!B13</f>
        <v>Ocio</v>
      </c>
      <c r="C13" s="12">
        <f>SUMIFS(Movimientos!$G$8:$G$200,Movimientos!$D$8:$D$200,"Gasto",Movimientos!$E$8:$E$200,$B13,Movimientos!$C$8:$C$200,C$7)</f>
        <v>0</v>
      </c>
      <c r="D13" s="12">
        <f>SUMIFS(Movimientos!$G$8:$G$200,Movimientos!$D$8:$D$200,"Gasto",Movimientos!$E$8:$E$200,$B13,Movimientos!$C$8:$C$200,D$7)</f>
        <v>0</v>
      </c>
      <c r="E13" s="12">
        <f>SUMIFS(Movimientos!$G$8:$G$200,Movimientos!$D$8:$D$200,"Gasto",Movimientos!$E$8:$E$200,$B13,Movimientos!$C$8:$C$200,E$7)</f>
        <v>0</v>
      </c>
      <c r="F13" s="12">
        <f>SUMIFS(Movimientos!$G$8:$G$200,Movimientos!$D$8:$D$200,"Gasto",Movimientos!$E$8:$E$200,$B13,Movimientos!$C$8:$C$200,F$7)</f>
        <v>0</v>
      </c>
      <c r="G13" s="12">
        <f>SUMIFS(Movimientos!$G$8:$G$200,Movimientos!$D$8:$D$200,"Gasto",Movimientos!$E$8:$E$200,$B13,Movimientos!$C$8:$C$200,G$7)</f>
        <v>0</v>
      </c>
      <c r="H13" s="12">
        <f>SUMIFS(Movimientos!$G$8:$G$200,Movimientos!$D$8:$D$200,"Gasto",Movimientos!$E$8:$E$200,$B13,Movimientos!$C$8:$C$200,H$7)</f>
        <v>0</v>
      </c>
      <c r="I13" s="12">
        <f>SUMIFS(Movimientos!$G$8:$G$200,Movimientos!$D$8:$D$200,"Gasto",Movimientos!$E$8:$E$200,$B13,Movimientos!$C$8:$C$200,I$7)</f>
        <v>0</v>
      </c>
      <c r="J13" s="12">
        <f>SUMIFS(Movimientos!$G$8:$G$200,Movimientos!$D$8:$D$200,"Gasto",Movimientos!$E$8:$E$200,$B13,Movimientos!$C$8:$C$200,J$7)</f>
        <v>0</v>
      </c>
      <c r="K13" s="12">
        <f>SUMIFS(Movimientos!$G$8:$G$200,Movimientos!$D$8:$D$200,"Gasto",Movimientos!$E$8:$E$200,$B13,Movimientos!$C$8:$C$200,K$7)</f>
        <v>0</v>
      </c>
      <c r="L13" s="12">
        <f>SUMIFS(Movimientos!$G$8:$G$200,Movimientos!$D$8:$D$200,"Gasto",Movimientos!$E$8:$E$200,$B13,Movimientos!$C$8:$C$200,L$7)</f>
        <v>0</v>
      </c>
      <c r="M13" s="12">
        <f>SUMIFS(Movimientos!$G$8:$G$200,Movimientos!$D$8:$D$200,"Gasto",Movimientos!$E$8:$E$200,$B13,Movimientos!$C$8:$C$200,M$7)</f>
        <v>0</v>
      </c>
      <c r="N13" s="12">
        <f>SUMIFS(Movimientos!$G$8:$G$200,Movimientos!$D$8:$D$200,"Gasto",Movimientos!$E$8:$E$200,$B13,Movimientos!$C$8:$C$200,N$7)</f>
        <v>0</v>
      </c>
      <c r="O13" s="12">
        <f t="shared" si="0"/>
        <v>0</v>
      </c>
    </row>
    <row r="14" spans="1:15" ht="21.95" customHeight="1" x14ac:dyDescent="0.25">
      <c r="B14" s="11" t="str">
        <f>Presupuesto!B14</f>
        <v>Otros</v>
      </c>
      <c r="C14" s="12">
        <f>SUMIFS(Movimientos!$G$8:$G$200,Movimientos!$D$8:$D$200,"Gasto",Movimientos!$E$8:$E$200,$B14,Movimientos!$C$8:$C$200,C$7)</f>
        <v>0</v>
      </c>
      <c r="D14" s="12">
        <f>SUMIFS(Movimientos!$G$8:$G$200,Movimientos!$D$8:$D$200,"Gasto",Movimientos!$E$8:$E$200,$B14,Movimientos!$C$8:$C$200,D$7)</f>
        <v>0</v>
      </c>
      <c r="E14" s="12">
        <f>SUMIFS(Movimientos!$G$8:$G$200,Movimientos!$D$8:$D$200,"Gasto",Movimientos!$E$8:$E$200,$B14,Movimientos!$C$8:$C$200,E$7)</f>
        <v>0</v>
      </c>
      <c r="F14" s="12">
        <f>SUMIFS(Movimientos!$G$8:$G$200,Movimientos!$D$8:$D$200,"Gasto",Movimientos!$E$8:$E$200,$B14,Movimientos!$C$8:$C$200,F$7)</f>
        <v>0</v>
      </c>
      <c r="G14" s="12">
        <f>SUMIFS(Movimientos!$G$8:$G$200,Movimientos!$D$8:$D$200,"Gasto",Movimientos!$E$8:$E$200,$B14,Movimientos!$C$8:$C$200,G$7)</f>
        <v>0</v>
      </c>
      <c r="H14" s="12">
        <f>SUMIFS(Movimientos!$G$8:$G$200,Movimientos!$D$8:$D$200,"Gasto",Movimientos!$E$8:$E$200,$B14,Movimientos!$C$8:$C$200,H$7)</f>
        <v>0</v>
      </c>
      <c r="I14" s="12">
        <f>SUMIFS(Movimientos!$G$8:$G$200,Movimientos!$D$8:$D$200,"Gasto",Movimientos!$E$8:$E$200,$B14,Movimientos!$C$8:$C$200,I$7)</f>
        <v>0</v>
      </c>
      <c r="J14" s="12">
        <f>SUMIFS(Movimientos!$G$8:$G$200,Movimientos!$D$8:$D$200,"Gasto",Movimientos!$E$8:$E$200,$B14,Movimientos!$C$8:$C$200,J$7)</f>
        <v>0</v>
      </c>
      <c r="K14" s="12">
        <f>SUMIFS(Movimientos!$G$8:$G$200,Movimientos!$D$8:$D$200,"Gasto",Movimientos!$E$8:$E$200,$B14,Movimientos!$C$8:$C$200,K$7)</f>
        <v>0</v>
      </c>
      <c r="L14" s="12">
        <f>SUMIFS(Movimientos!$G$8:$G$200,Movimientos!$D$8:$D$200,"Gasto",Movimientos!$E$8:$E$200,$B14,Movimientos!$C$8:$C$200,L$7)</f>
        <v>0</v>
      </c>
      <c r="M14" s="12">
        <f>SUMIFS(Movimientos!$G$8:$G$200,Movimientos!$D$8:$D$200,"Gasto",Movimientos!$E$8:$E$200,$B14,Movimientos!$C$8:$C$200,M$7)</f>
        <v>0</v>
      </c>
      <c r="N14" s="12">
        <f>SUMIFS(Movimientos!$G$8:$G$200,Movimientos!$D$8:$D$200,"Gasto",Movimientos!$E$8:$E$200,$B14,Movimientos!$C$8:$C$200,N$7)</f>
        <v>0</v>
      </c>
      <c r="O14" s="12">
        <f t="shared" si="0"/>
        <v>0</v>
      </c>
    </row>
    <row r="15" spans="1:15" ht="21.95" customHeight="1" x14ac:dyDescent="0.25">
      <c r="B15" s="21" t="s">
        <v>79</v>
      </c>
      <c r="C15" s="15">
        <f t="shared" ref="C15:O15" si="1">SUM(C8:C14)</f>
        <v>225</v>
      </c>
      <c r="D15" s="15">
        <f t="shared" si="1"/>
        <v>0</v>
      </c>
      <c r="E15" s="15">
        <f t="shared" si="1"/>
        <v>0</v>
      </c>
      <c r="F15" s="15">
        <f t="shared" si="1"/>
        <v>0</v>
      </c>
      <c r="G15" s="15">
        <f t="shared" si="1"/>
        <v>0</v>
      </c>
      <c r="H15" s="15">
        <f t="shared" si="1"/>
        <v>0</v>
      </c>
      <c r="I15" s="15">
        <f t="shared" si="1"/>
        <v>0</v>
      </c>
      <c r="J15" s="15">
        <f t="shared" si="1"/>
        <v>0</v>
      </c>
      <c r="K15" s="15">
        <f t="shared" si="1"/>
        <v>0</v>
      </c>
      <c r="L15" s="15">
        <f t="shared" si="1"/>
        <v>0</v>
      </c>
      <c r="M15" s="15">
        <f t="shared" si="1"/>
        <v>0</v>
      </c>
      <c r="N15" s="15">
        <f t="shared" si="1"/>
        <v>0</v>
      </c>
      <c r="O15" s="15">
        <f t="shared" si="1"/>
        <v>225</v>
      </c>
    </row>
    <row r="16" spans="1:15" ht="21" customHeight="1" x14ac:dyDescent="0.25"/>
    <row r="17" spans="2:15" ht="21" customHeight="1" x14ac:dyDescent="0.25"/>
    <row r="18" spans="2:15" ht="21" customHeight="1" x14ac:dyDescent="0.25">
      <c r="B18" s="63" t="s">
        <v>85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2:15" ht="21" customHeight="1" x14ac:dyDescent="0.25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2:15" ht="21" customHeight="1" x14ac:dyDescent="0.25"/>
    <row r="21" spans="2:15" ht="21" customHeight="1" x14ac:dyDescent="0.25"/>
    <row r="22" spans="2:15" ht="21" customHeight="1" x14ac:dyDescent="0.25"/>
    <row r="23" spans="2:15" ht="21" customHeight="1" x14ac:dyDescent="0.25"/>
    <row r="24" spans="2:15" ht="21" customHeight="1" x14ac:dyDescent="0.25"/>
    <row r="25" spans="2:15" ht="21" customHeight="1" x14ac:dyDescent="0.25"/>
    <row r="26" spans="2:15" ht="21" customHeight="1" x14ac:dyDescent="0.25"/>
    <row r="27" spans="2:15" ht="21" customHeight="1" x14ac:dyDescent="0.25"/>
    <row r="28" spans="2:15" ht="21" customHeight="1" x14ac:dyDescent="0.25"/>
    <row r="29" spans="2:15" ht="21" customHeight="1" x14ac:dyDescent="0.25"/>
    <row r="30" spans="2:15" ht="21" customHeight="1" x14ac:dyDescent="0.25"/>
    <row r="31" spans="2:15" ht="21" customHeight="1" x14ac:dyDescent="0.25"/>
    <row r="32" spans="2:1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8:O19"/>
    <mergeCell ref="B4:O4"/>
    <mergeCell ref="B6:O6"/>
    <mergeCell ref="B2:O2"/>
    <mergeCell ref="B3:O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  <pageSetUpPr fitToPage="1"/>
  </sheetPr>
  <dimension ref="A1:M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3" width="14" customWidth="1"/>
    <col min="4" max="4" width="12" customWidth="1"/>
    <col min="5" max="5" width="21" customWidth="1"/>
    <col min="6" max="6" width="24" customWidth="1"/>
    <col min="7" max="7" width="14" customWidth="1"/>
    <col min="8" max="9" width="15" customWidth="1"/>
    <col min="10" max="10" width="3" customWidth="1"/>
    <col min="11" max="13" width="18" customWidth="1"/>
  </cols>
  <sheetData>
    <row r="1" spans="1:13" ht="26.1" customHeight="1" x14ac:dyDescent="0.25"/>
    <row r="2" spans="1:13" ht="21.95" customHeight="1" x14ac:dyDescent="0.25">
      <c r="B2" s="55" t="s">
        <v>86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30" customHeight="1" x14ac:dyDescent="0.25">
      <c r="B3" s="52" t="s">
        <v>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ht="21.95" customHeight="1" x14ac:dyDescent="0.25">
      <c r="B4" s="50" t="s">
        <v>88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21" customHeight="1" x14ac:dyDescent="0.25"/>
    <row r="6" spans="1:13" ht="24" customHeight="1" x14ac:dyDescent="0.25">
      <c r="B6" s="40" t="s">
        <v>89</v>
      </c>
      <c r="C6" s="39"/>
      <c r="D6" s="39"/>
      <c r="E6" s="39"/>
      <c r="F6" s="39"/>
      <c r="G6" s="39"/>
      <c r="H6" s="39"/>
      <c r="I6" s="39"/>
      <c r="K6" s="51" t="s">
        <v>90</v>
      </c>
      <c r="L6" s="39"/>
      <c r="M6" s="39"/>
    </row>
    <row r="7" spans="1:13" ht="32.1" customHeight="1" x14ac:dyDescent="0.25">
      <c r="A7" s="1"/>
      <c r="B7" s="18" t="s">
        <v>91</v>
      </c>
      <c r="C7" s="18" t="s">
        <v>92</v>
      </c>
      <c r="D7" s="18" t="s">
        <v>93</v>
      </c>
      <c r="E7" s="18" t="s">
        <v>48</v>
      </c>
      <c r="F7" s="18" t="s">
        <v>94</v>
      </c>
      <c r="G7" s="18" t="s">
        <v>95</v>
      </c>
      <c r="H7" s="18" t="s">
        <v>96</v>
      </c>
      <c r="I7" s="18" t="s">
        <v>97</v>
      </c>
      <c r="J7" s="1"/>
      <c r="K7" s="65" t="s">
        <v>98</v>
      </c>
      <c r="L7" s="45"/>
      <c r="M7" s="45"/>
    </row>
    <row r="8" spans="1:13" ht="21.95" customHeight="1" x14ac:dyDescent="0.25">
      <c r="B8" s="22">
        <v>46392</v>
      </c>
      <c r="C8" s="23" t="s">
        <v>59</v>
      </c>
      <c r="D8" s="23" t="s">
        <v>99</v>
      </c>
      <c r="E8" s="23" t="s">
        <v>73</v>
      </c>
      <c r="F8" s="23" t="s">
        <v>100</v>
      </c>
      <c r="G8" s="20">
        <v>86</v>
      </c>
      <c r="H8" s="23" t="s">
        <v>101</v>
      </c>
      <c r="I8" s="23" t="s">
        <v>102</v>
      </c>
      <c r="K8" s="39"/>
      <c r="L8" s="39"/>
      <c r="M8" s="39"/>
    </row>
    <row r="9" spans="1:13" ht="21.95" customHeight="1" x14ac:dyDescent="0.25">
      <c r="B9" s="22">
        <v>46395</v>
      </c>
      <c r="C9" s="23" t="s">
        <v>59</v>
      </c>
      <c r="D9" s="23" t="s">
        <v>99</v>
      </c>
      <c r="E9" s="23" t="s">
        <v>72</v>
      </c>
      <c r="F9" s="23" t="s">
        <v>103</v>
      </c>
      <c r="G9" s="20">
        <v>62</v>
      </c>
      <c r="H9" s="23" t="s">
        <v>101</v>
      </c>
      <c r="I9" s="23" t="s">
        <v>102</v>
      </c>
      <c r="K9" s="39"/>
      <c r="L9" s="39"/>
      <c r="M9" s="39"/>
    </row>
    <row r="10" spans="1:13" ht="21.95" customHeight="1" x14ac:dyDescent="0.25">
      <c r="B10" s="22">
        <v>46399</v>
      </c>
      <c r="C10" s="23" t="s">
        <v>59</v>
      </c>
      <c r="D10" s="23" t="s">
        <v>99</v>
      </c>
      <c r="E10" s="23" t="s">
        <v>74</v>
      </c>
      <c r="F10" s="23" t="s">
        <v>104</v>
      </c>
      <c r="G10" s="20">
        <v>48</v>
      </c>
      <c r="H10" s="23" t="s">
        <v>105</v>
      </c>
      <c r="I10" s="23" t="s">
        <v>106</v>
      </c>
      <c r="K10" s="39"/>
      <c r="L10" s="39"/>
      <c r="M10" s="39"/>
    </row>
    <row r="11" spans="1:13" ht="21.95" customHeight="1" x14ac:dyDescent="0.25">
      <c r="B11" s="22">
        <v>46406</v>
      </c>
      <c r="C11" s="23" t="s">
        <v>59</v>
      </c>
      <c r="D11" s="23" t="s">
        <v>99</v>
      </c>
      <c r="E11" s="23" t="s">
        <v>75</v>
      </c>
      <c r="F11" s="23" t="s">
        <v>107</v>
      </c>
      <c r="G11" s="20">
        <v>29</v>
      </c>
      <c r="H11" s="23" t="s">
        <v>108</v>
      </c>
      <c r="I11" s="23" t="s">
        <v>102</v>
      </c>
    </row>
    <row r="12" spans="1:13" ht="21.95" customHeight="1" x14ac:dyDescent="0.25">
      <c r="B12" s="22">
        <v>46412</v>
      </c>
      <c r="C12" s="23" t="s">
        <v>59</v>
      </c>
      <c r="D12" s="23" t="s">
        <v>109</v>
      </c>
      <c r="E12" s="23" t="s">
        <v>78</v>
      </c>
      <c r="F12" s="23" t="s">
        <v>110</v>
      </c>
      <c r="G12" s="20">
        <v>3200</v>
      </c>
      <c r="H12" s="23" t="s">
        <v>101</v>
      </c>
      <c r="I12" s="23" t="s">
        <v>102</v>
      </c>
      <c r="K12" s="64" t="s">
        <v>111</v>
      </c>
      <c r="L12" s="39"/>
      <c r="M12" s="39"/>
    </row>
    <row r="13" spans="1:13" ht="21.95" customHeight="1" x14ac:dyDescent="0.25">
      <c r="B13" s="22">
        <v>46415</v>
      </c>
      <c r="C13" s="23" t="s">
        <v>59</v>
      </c>
      <c r="D13" s="23" t="s">
        <v>112</v>
      </c>
      <c r="E13" s="23" t="s">
        <v>78</v>
      </c>
      <c r="F13" s="23" t="s">
        <v>113</v>
      </c>
      <c r="G13" s="20">
        <v>250</v>
      </c>
      <c r="H13" s="23" t="s">
        <v>101</v>
      </c>
      <c r="I13" s="23" t="s">
        <v>106</v>
      </c>
      <c r="K13" s="39"/>
      <c r="L13" s="39"/>
      <c r="M13" s="39"/>
    </row>
    <row r="14" spans="1:13" ht="21.95" customHeight="1" x14ac:dyDescent="0.25">
      <c r="B14" s="22"/>
      <c r="C14" s="23"/>
      <c r="D14" s="23"/>
      <c r="E14" s="23"/>
      <c r="F14" s="23"/>
      <c r="G14" s="20"/>
      <c r="H14" s="23"/>
      <c r="I14" s="23"/>
      <c r="K14" s="39"/>
      <c r="L14" s="39"/>
      <c r="M14" s="39"/>
    </row>
    <row r="15" spans="1:13" ht="21.95" customHeight="1" x14ac:dyDescent="0.25">
      <c r="B15" s="22"/>
      <c r="C15" s="23"/>
      <c r="D15" s="23"/>
      <c r="E15" s="23"/>
      <c r="F15" s="23"/>
      <c r="G15" s="20"/>
      <c r="H15" s="23"/>
      <c r="I15" s="23"/>
      <c r="K15" s="39"/>
      <c r="L15" s="39"/>
      <c r="M15" s="39"/>
    </row>
    <row r="16" spans="1:13" ht="21.95" customHeight="1" x14ac:dyDescent="0.25">
      <c r="B16" s="22"/>
      <c r="C16" s="23"/>
      <c r="D16" s="23"/>
      <c r="E16" s="23"/>
      <c r="F16" s="23"/>
      <c r="G16" s="20"/>
      <c r="H16" s="23"/>
      <c r="I16" s="23"/>
    </row>
    <row r="17" spans="2:9" ht="21.95" customHeight="1" x14ac:dyDescent="0.25">
      <c r="B17" s="22"/>
      <c r="C17" s="23"/>
      <c r="D17" s="23"/>
      <c r="E17" s="23"/>
      <c r="F17" s="23"/>
      <c r="G17" s="20"/>
      <c r="H17" s="23"/>
      <c r="I17" s="23"/>
    </row>
    <row r="18" spans="2:9" ht="21.95" customHeight="1" x14ac:dyDescent="0.25">
      <c r="B18" s="22"/>
      <c r="C18" s="23"/>
      <c r="D18" s="23"/>
      <c r="E18" s="23"/>
      <c r="F18" s="23"/>
      <c r="G18" s="20"/>
      <c r="H18" s="23"/>
      <c r="I18" s="23"/>
    </row>
    <row r="19" spans="2:9" ht="21.95" customHeight="1" x14ac:dyDescent="0.25">
      <c r="B19" s="22"/>
      <c r="C19" s="23"/>
      <c r="D19" s="23"/>
      <c r="E19" s="23"/>
      <c r="F19" s="23"/>
      <c r="G19" s="20"/>
      <c r="H19" s="23"/>
      <c r="I19" s="23"/>
    </row>
    <row r="20" spans="2:9" ht="21.95" customHeight="1" x14ac:dyDescent="0.25">
      <c r="B20" s="22"/>
      <c r="C20" s="23"/>
      <c r="D20" s="23"/>
      <c r="E20" s="23"/>
      <c r="F20" s="23"/>
      <c r="G20" s="20"/>
      <c r="H20" s="23"/>
      <c r="I20" s="23"/>
    </row>
    <row r="21" spans="2:9" ht="21.95" customHeight="1" x14ac:dyDescent="0.25">
      <c r="B21" s="22"/>
      <c r="C21" s="23"/>
      <c r="D21" s="23"/>
      <c r="E21" s="23"/>
      <c r="F21" s="23"/>
      <c r="G21" s="20"/>
      <c r="H21" s="23"/>
      <c r="I21" s="23"/>
    </row>
    <row r="22" spans="2:9" ht="21.95" customHeight="1" x14ac:dyDescent="0.25">
      <c r="B22" s="22"/>
      <c r="C22" s="23"/>
      <c r="D22" s="23"/>
      <c r="E22" s="23"/>
      <c r="F22" s="23"/>
      <c r="G22" s="20"/>
      <c r="H22" s="23"/>
      <c r="I22" s="23"/>
    </row>
    <row r="23" spans="2:9" ht="21.95" customHeight="1" x14ac:dyDescent="0.25">
      <c r="B23" s="22"/>
      <c r="C23" s="23"/>
      <c r="D23" s="23"/>
      <c r="E23" s="23"/>
      <c r="F23" s="23"/>
      <c r="G23" s="20"/>
      <c r="H23" s="23"/>
      <c r="I23" s="23"/>
    </row>
    <row r="24" spans="2:9" ht="21.95" customHeight="1" x14ac:dyDescent="0.25">
      <c r="B24" s="22"/>
      <c r="C24" s="23"/>
      <c r="D24" s="23"/>
      <c r="E24" s="23"/>
      <c r="F24" s="23"/>
      <c r="G24" s="20"/>
      <c r="H24" s="23"/>
      <c r="I24" s="23"/>
    </row>
    <row r="25" spans="2:9" ht="21.95" customHeight="1" x14ac:dyDescent="0.25">
      <c r="B25" s="22"/>
      <c r="C25" s="23"/>
      <c r="D25" s="23"/>
      <c r="E25" s="23"/>
      <c r="F25" s="23"/>
      <c r="G25" s="20"/>
      <c r="H25" s="23"/>
      <c r="I25" s="23"/>
    </row>
    <row r="26" spans="2:9" ht="21.95" customHeight="1" x14ac:dyDescent="0.25">
      <c r="B26" s="22"/>
      <c r="C26" s="23"/>
      <c r="D26" s="23"/>
      <c r="E26" s="23"/>
      <c r="F26" s="23"/>
      <c r="G26" s="20"/>
      <c r="H26" s="23"/>
      <c r="I26" s="23"/>
    </row>
    <row r="27" spans="2:9" ht="21.95" customHeight="1" x14ac:dyDescent="0.25">
      <c r="B27" s="22"/>
      <c r="C27" s="23"/>
      <c r="D27" s="23"/>
      <c r="E27" s="23"/>
      <c r="F27" s="23"/>
      <c r="G27" s="20"/>
      <c r="H27" s="23"/>
      <c r="I27" s="23"/>
    </row>
    <row r="28" spans="2:9" ht="21" customHeight="1" x14ac:dyDescent="0.25"/>
    <row r="29" spans="2:9" ht="21" customHeight="1" x14ac:dyDescent="0.25"/>
    <row r="30" spans="2:9" ht="21" customHeight="1" x14ac:dyDescent="0.25"/>
    <row r="31" spans="2:9" ht="21" customHeight="1" x14ac:dyDescent="0.25"/>
    <row r="32" spans="2:9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7">
    <mergeCell ref="K12:M15"/>
    <mergeCell ref="B2:M2"/>
    <mergeCell ref="K7:M10"/>
    <mergeCell ref="B3:M3"/>
    <mergeCell ref="K6:M6"/>
    <mergeCell ref="B6:I6"/>
    <mergeCell ref="B4:M4"/>
  </mergeCells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Valor no válido" error="Selecciona un valor de la lista." promptTitle="Lista" prompt="Elige una opción para mantener los resúmenes consistentes." xr:uid="{00000000-0002-0000-0400-000000000000}">
          <x14:formula1>
            <xm:f>Listas!$E$7:$E$18</xm:f>
          </x14:formula1>
          <xm:sqref>C8:C200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1000000}">
          <x14:formula1>
            <xm:f>Listas!$G$7:$G$9</xm:f>
          </x14:formula1>
          <xm:sqref>D8:D200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2000000}">
          <x14:formula1>
            <xm:f>Listas!$I$7:$I$13</xm:f>
          </x14:formula1>
          <xm:sqref>E8:E200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3000000}">
          <x14:formula1>
            <xm:f>Listas!$K$7:$K$9</xm:f>
          </x14:formula1>
          <xm:sqref>H8:H200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4000000}">
          <x14:formula1>
            <xm:f>Listas!$M$7:$M$8</xm:f>
          </x14:formula1>
          <xm:sqref>I8:I200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4E63"/>
    <pageSetUpPr fitToPage="1"/>
  </sheetPr>
  <dimension ref="A1:Q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14" customWidth="1"/>
    <col min="3" max="9" width="15" customWidth="1"/>
    <col min="10" max="10" width="25" customWidth="1"/>
    <col min="11" max="11" width="3" customWidth="1"/>
    <col min="12" max="17" width="12" customWidth="1"/>
  </cols>
  <sheetData>
    <row r="1" spans="1:17" ht="26.1" customHeight="1" x14ac:dyDescent="0.25"/>
    <row r="2" spans="1:17" ht="21.95" customHeight="1" x14ac:dyDescent="0.25">
      <c r="B2" s="55" t="s">
        <v>114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30" customHeight="1" x14ac:dyDescent="0.25">
      <c r="B3" s="52" t="s">
        <v>115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ht="21.95" customHeight="1" x14ac:dyDescent="0.25">
      <c r="B4" s="50" t="s">
        <v>116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17" ht="21" customHeight="1" x14ac:dyDescent="0.25"/>
    <row r="6" spans="1:17" ht="24" customHeight="1" x14ac:dyDescent="0.25">
      <c r="B6" s="41" t="s">
        <v>117</v>
      </c>
      <c r="C6" s="39"/>
      <c r="D6" s="39"/>
      <c r="E6" s="39"/>
      <c r="F6" s="39"/>
      <c r="G6" s="39"/>
      <c r="H6" s="39"/>
      <c r="I6" s="39"/>
      <c r="J6" s="39"/>
    </row>
    <row r="7" spans="1:17" ht="32.1" customHeight="1" x14ac:dyDescent="0.25">
      <c r="A7" s="1"/>
      <c r="B7" s="18" t="s">
        <v>92</v>
      </c>
      <c r="C7" s="18" t="s">
        <v>118</v>
      </c>
      <c r="D7" s="18" t="s">
        <v>119</v>
      </c>
      <c r="E7" s="18" t="s">
        <v>120</v>
      </c>
      <c r="F7" s="18" t="s">
        <v>121</v>
      </c>
      <c r="G7" s="18" t="s">
        <v>122</v>
      </c>
      <c r="H7" s="18" t="s">
        <v>123</v>
      </c>
      <c r="I7" s="18" t="s">
        <v>124</v>
      </c>
      <c r="J7" s="18" t="s">
        <v>125</v>
      </c>
      <c r="K7" s="1"/>
      <c r="L7" s="1"/>
      <c r="M7" s="1"/>
      <c r="N7" s="1"/>
      <c r="O7" s="1"/>
      <c r="P7" s="1"/>
      <c r="Q7" s="1"/>
    </row>
    <row r="8" spans="1:17" ht="21.95" customHeight="1" x14ac:dyDescent="0.25">
      <c r="B8" s="19" t="s">
        <v>59</v>
      </c>
      <c r="C8" s="12">
        <f>Listas!$C$9</f>
        <v>3200</v>
      </c>
      <c r="D8" s="12">
        <f>SUMIFS(Movimientos!$G$8:$G$200,Movimientos!$D$8:$D$200,"Ingreso",Movimientos!$C$8:$C$200,$B8)</f>
        <v>3200</v>
      </c>
      <c r="E8" s="12">
        <f>SUM(INDEX(Presupuesto!$C$8:$N$14,0,ROW()-7))</f>
        <v>2700</v>
      </c>
      <c r="F8" s="12">
        <f>SUM(INDEX('Gastos reales'!$C$8:$N$14,0,ROW()-7))</f>
        <v>225</v>
      </c>
      <c r="G8" s="12">
        <f>Listas!$C$10</f>
        <v>300</v>
      </c>
      <c r="H8" s="12">
        <f>SUMIFS(Movimientos!$G$8:$G$200,Movimientos!$D$8:$D$200,"Ahorro",Movimientos!$C$8:$C$200,$B8)</f>
        <v>250</v>
      </c>
      <c r="I8" s="12">
        <f t="shared" ref="I8:I19" si="0">D8-F8-H8</f>
        <v>2725</v>
      </c>
      <c r="J8" s="23"/>
    </row>
    <row r="9" spans="1:17" ht="21.95" customHeight="1" x14ac:dyDescent="0.25">
      <c r="B9" s="19" t="s">
        <v>60</v>
      </c>
      <c r="C9" s="12">
        <f>Listas!$C$9</f>
        <v>3200</v>
      </c>
      <c r="D9" s="12">
        <f>SUMIFS(Movimientos!$G$8:$G$200,Movimientos!$D$8:$D$200,"Ingreso",Movimientos!$C$8:$C$200,$B9)</f>
        <v>0</v>
      </c>
      <c r="E9" s="12">
        <f>SUM(INDEX(Presupuesto!$C$8:$N$14,0,ROW()-7))</f>
        <v>2700</v>
      </c>
      <c r="F9" s="12">
        <f>SUM(INDEX('Gastos reales'!$C$8:$N$14,0,ROW()-7))</f>
        <v>0</v>
      </c>
      <c r="G9" s="12">
        <f>Listas!$C$10</f>
        <v>300</v>
      </c>
      <c r="H9" s="12">
        <f>SUMIFS(Movimientos!$G$8:$G$200,Movimientos!$D$8:$D$200,"Ahorro",Movimientos!$C$8:$C$200,$B9)</f>
        <v>0</v>
      </c>
      <c r="I9" s="12">
        <f t="shared" si="0"/>
        <v>0</v>
      </c>
      <c r="J9" s="23"/>
    </row>
    <row r="10" spans="1:17" ht="21.95" customHeight="1" x14ac:dyDescent="0.25">
      <c r="B10" s="19" t="s">
        <v>61</v>
      </c>
      <c r="C10" s="12">
        <f>Listas!$C$9</f>
        <v>3200</v>
      </c>
      <c r="D10" s="12">
        <f>SUMIFS(Movimientos!$G$8:$G$200,Movimientos!$D$8:$D$200,"Ingreso",Movimientos!$C$8:$C$200,$B10)</f>
        <v>0</v>
      </c>
      <c r="E10" s="12">
        <f>SUM(INDEX(Presupuesto!$C$8:$N$14,0,ROW()-7))</f>
        <v>2740</v>
      </c>
      <c r="F10" s="12">
        <f>SUM(INDEX('Gastos reales'!$C$8:$N$14,0,ROW()-7))</f>
        <v>0</v>
      </c>
      <c r="G10" s="12">
        <f>Listas!$C$10</f>
        <v>300</v>
      </c>
      <c r="H10" s="12">
        <f>SUMIFS(Movimientos!$G$8:$G$200,Movimientos!$D$8:$D$200,"Ahorro",Movimientos!$C$8:$C$200,$B10)</f>
        <v>0</v>
      </c>
      <c r="I10" s="12">
        <f t="shared" si="0"/>
        <v>0</v>
      </c>
      <c r="J10" s="23"/>
    </row>
    <row r="11" spans="1:17" ht="21.95" customHeight="1" x14ac:dyDescent="0.25">
      <c r="B11" s="19" t="s">
        <v>62</v>
      </c>
      <c r="C11" s="12">
        <f>Listas!$C$9</f>
        <v>3200</v>
      </c>
      <c r="D11" s="12">
        <f>SUMIFS(Movimientos!$G$8:$G$200,Movimientos!$D$8:$D$200,"Ingreso",Movimientos!$C$8:$C$200,$B11)</f>
        <v>0</v>
      </c>
      <c r="E11" s="12">
        <f>SUM(INDEX(Presupuesto!$C$8:$N$14,0,ROW()-7))</f>
        <v>2740</v>
      </c>
      <c r="F11" s="12">
        <f>SUM(INDEX('Gastos reales'!$C$8:$N$14,0,ROW()-7))</f>
        <v>0</v>
      </c>
      <c r="G11" s="12">
        <f>Listas!$C$10</f>
        <v>300</v>
      </c>
      <c r="H11" s="12">
        <f>SUMIFS(Movimientos!$G$8:$G$200,Movimientos!$D$8:$D$200,"Ahorro",Movimientos!$C$8:$C$200,$B11)</f>
        <v>0</v>
      </c>
      <c r="I11" s="12">
        <f t="shared" si="0"/>
        <v>0</v>
      </c>
      <c r="J11" s="23"/>
    </row>
    <row r="12" spans="1:17" ht="21.95" customHeight="1" x14ac:dyDescent="0.25">
      <c r="B12" s="19" t="s">
        <v>63</v>
      </c>
      <c r="C12" s="12">
        <f>Listas!$C$9</f>
        <v>3200</v>
      </c>
      <c r="D12" s="12">
        <f>SUMIFS(Movimientos!$G$8:$G$200,Movimientos!$D$8:$D$200,"Ingreso",Movimientos!$C$8:$C$200,$B12)</f>
        <v>0</v>
      </c>
      <c r="E12" s="12">
        <f>SUM(INDEX(Presupuesto!$C$8:$N$14,0,ROW()-7))</f>
        <v>2780</v>
      </c>
      <c r="F12" s="12">
        <f>SUM(INDEX('Gastos reales'!$C$8:$N$14,0,ROW()-7))</f>
        <v>0</v>
      </c>
      <c r="G12" s="12">
        <f>Listas!$C$10</f>
        <v>300</v>
      </c>
      <c r="H12" s="12">
        <f>SUMIFS(Movimientos!$G$8:$G$200,Movimientos!$D$8:$D$200,"Ahorro",Movimientos!$C$8:$C$200,$B12)</f>
        <v>0</v>
      </c>
      <c r="I12" s="12">
        <f t="shared" si="0"/>
        <v>0</v>
      </c>
      <c r="J12" s="23"/>
    </row>
    <row r="13" spans="1:17" ht="21.95" customHeight="1" x14ac:dyDescent="0.25">
      <c r="B13" s="19" t="s">
        <v>64</v>
      </c>
      <c r="C13" s="12">
        <f>Listas!$C$9</f>
        <v>3200</v>
      </c>
      <c r="D13" s="12">
        <f>SUMIFS(Movimientos!$G$8:$G$200,Movimientos!$D$8:$D$200,"Ingreso",Movimientos!$C$8:$C$200,$B13)</f>
        <v>0</v>
      </c>
      <c r="E13" s="12">
        <f>SUM(INDEX(Presupuesto!$C$8:$N$14,0,ROW()-7))</f>
        <v>2780</v>
      </c>
      <c r="F13" s="12">
        <f>SUM(INDEX('Gastos reales'!$C$8:$N$14,0,ROW()-7))</f>
        <v>0</v>
      </c>
      <c r="G13" s="12">
        <f>Listas!$C$10</f>
        <v>300</v>
      </c>
      <c r="H13" s="12">
        <f>SUMIFS(Movimientos!$G$8:$G$200,Movimientos!$D$8:$D$200,"Ahorro",Movimientos!$C$8:$C$200,$B13)</f>
        <v>0</v>
      </c>
      <c r="I13" s="12">
        <f t="shared" si="0"/>
        <v>0</v>
      </c>
      <c r="J13" s="23"/>
    </row>
    <row r="14" spans="1:17" ht="21.95" customHeight="1" x14ac:dyDescent="0.25">
      <c r="B14" s="19" t="s">
        <v>65</v>
      </c>
      <c r="C14" s="12">
        <f>Listas!$C$9</f>
        <v>3200</v>
      </c>
      <c r="D14" s="12">
        <f>SUMIFS(Movimientos!$G$8:$G$200,Movimientos!$D$8:$D$200,"Ingreso",Movimientos!$C$8:$C$200,$B14)</f>
        <v>0</v>
      </c>
      <c r="E14" s="12">
        <f>SUM(INDEX(Presupuesto!$C$8:$N$14,0,ROW()-7))</f>
        <v>2950</v>
      </c>
      <c r="F14" s="12">
        <f>SUM(INDEX('Gastos reales'!$C$8:$N$14,0,ROW()-7))</f>
        <v>0</v>
      </c>
      <c r="G14" s="12">
        <f>Listas!$C$10</f>
        <v>300</v>
      </c>
      <c r="H14" s="12">
        <f>SUMIFS(Movimientos!$G$8:$G$200,Movimientos!$D$8:$D$200,"Ahorro",Movimientos!$C$8:$C$200,$B14)</f>
        <v>0</v>
      </c>
      <c r="I14" s="12">
        <f t="shared" si="0"/>
        <v>0</v>
      </c>
      <c r="J14" s="23"/>
    </row>
    <row r="15" spans="1:17" ht="21.95" customHeight="1" x14ac:dyDescent="0.25">
      <c r="B15" s="19" t="s">
        <v>66</v>
      </c>
      <c r="C15" s="12">
        <f>Listas!$C$9</f>
        <v>3200</v>
      </c>
      <c r="D15" s="12">
        <f>SUMIFS(Movimientos!$G$8:$G$200,Movimientos!$D$8:$D$200,"Ingreso",Movimientos!$C$8:$C$200,$B15)</f>
        <v>0</v>
      </c>
      <c r="E15" s="12">
        <f>SUM(INDEX(Presupuesto!$C$8:$N$14,0,ROW()-7))</f>
        <v>2950</v>
      </c>
      <c r="F15" s="12">
        <f>SUM(INDEX('Gastos reales'!$C$8:$N$14,0,ROW()-7))</f>
        <v>0</v>
      </c>
      <c r="G15" s="12">
        <f>Listas!$C$10</f>
        <v>300</v>
      </c>
      <c r="H15" s="12">
        <f>SUMIFS(Movimientos!$G$8:$G$200,Movimientos!$D$8:$D$200,"Ahorro",Movimientos!$C$8:$C$200,$B15)</f>
        <v>0</v>
      </c>
      <c r="I15" s="12">
        <f t="shared" si="0"/>
        <v>0</v>
      </c>
      <c r="J15" s="23"/>
    </row>
    <row r="16" spans="1:17" ht="21.95" customHeight="1" x14ac:dyDescent="0.25">
      <c r="B16" s="19" t="s">
        <v>67</v>
      </c>
      <c r="C16" s="12">
        <f>Listas!$C$9</f>
        <v>3200</v>
      </c>
      <c r="D16" s="12">
        <f>SUMIFS(Movimientos!$G$8:$G$200,Movimientos!$D$8:$D$200,"Ingreso",Movimientos!$C$8:$C$200,$B16)</f>
        <v>0</v>
      </c>
      <c r="E16" s="12">
        <f>SUM(INDEX(Presupuesto!$C$8:$N$14,0,ROW()-7))</f>
        <v>2800</v>
      </c>
      <c r="F16" s="12">
        <f>SUM(INDEX('Gastos reales'!$C$8:$N$14,0,ROW()-7))</f>
        <v>0</v>
      </c>
      <c r="G16" s="12">
        <f>Listas!$C$10</f>
        <v>300</v>
      </c>
      <c r="H16" s="12">
        <f>SUMIFS(Movimientos!$G$8:$G$200,Movimientos!$D$8:$D$200,"Ahorro",Movimientos!$C$8:$C$200,$B16)</f>
        <v>0</v>
      </c>
      <c r="I16" s="12">
        <f t="shared" si="0"/>
        <v>0</v>
      </c>
      <c r="J16" s="23"/>
    </row>
    <row r="17" spans="2:10" ht="21.95" customHeight="1" x14ac:dyDescent="0.25">
      <c r="B17" s="19" t="s">
        <v>68</v>
      </c>
      <c r="C17" s="12">
        <f>Listas!$C$9</f>
        <v>3200</v>
      </c>
      <c r="D17" s="12">
        <f>SUMIFS(Movimientos!$G$8:$G$200,Movimientos!$D$8:$D$200,"Ingreso",Movimientos!$C$8:$C$200,$B17)</f>
        <v>0</v>
      </c>
      <c r="E17" s="12">
        <f>SUM(INDEX(Presupuesto!$C$8:$N$14,0,ROW()-7))</f>
        <v>2800</v>
      </c>
      <c r="F17" s="12">
        <f>SUM(INDEX('Gastos reales'!$C$8:$N$14,0,ROW()-7))</f>
        <v>0</v>
      </c>
      <c r="G17" s="12">
        <f>Listas!$C$10</f>
        <v>300</v>
      </c>
      <c r="H17" s="12">
        <f>SUMIFS(Movimientos!$G$8:$G$200,Movimientos!$D$8:$D$200,"Ahorro",Movimientos!$C$8:$C$200,$B17)</f>
        <v>0</v>
      </c>
      <c r="I17" s="12">
        <f t="shared" si="0"/>
        <v>0</v>
      </c>
      <c r="J17" s="23"/>
    </row>
    <row r="18" spans="2:10" ht="21.95" customHeight="1" x14ac:dyDescent="0.25">
      <c r="B18" s="19" t="s">
        <v>69</v>
      </c>
      <c r="C18" s="12">
        <f>Listas!$C$9</f>
        <v>3200</v>
      </c>
      <c r="D18" s="12">
        <f>SUMIFS(Movimientos!$G$8:$G$200,Movimientos!$D$8:$D$200,"Ingreso",Movimientos!$C$8:$C$200,$B18)</f>
        <v>0</v>
      </c>
      <c r="E18" s="12">
        <f>SUM(INDEX(Presupuesto!$C$8:$N$14,0,ROW()-7))</f>
        <v>2880</v>
      </c>
      <c r="F18" s="12">
        <f>SUM(INDEX('Gastos reales'!$C$8:$N$14,0,ROW()-7))</f>
        <v>0</v>
      </c>
      <c r="G18" s="12">
        <f>Listas!$C$10</f>
        <v>300</v>
      </c>
      <c r="H18" s="12">
        <f>SUMIFS(Movimientos!$G$8:$G$200,Movimientos!$D$8:$D$200,"Ahorro",Movimientos!$C$8:$C$200,$B18)</f>
        <v>0</v>
      </c>
      <c r="I18" s="12">
        <f t="shared" si="0"/>
        <v>0</v>
      </c>
      <c r="J18" s="23"/>
    </row>
    <row r="19" spans="2:10" ht="21.95" customHeight="1" x14ac:dyDescent="0.25">
      <c r="B19" s="19" t="s">
        <v>70</v>
      </c>
      <c r="C19" s="12">
        <f>Listas!$C$9</f>
        <v>3200</v>
      </c>
      <c r="D19" s="12">
        <f>SUMIFS(Movimientos!$G$8:$G$200,Movimientos!$D$8:$D$200,"Ingreso",Movimientos!$C$8:$C$200,$B19)</f>
        <v>0</v>
      </c>
      <c r="E19" s="12">
        <f>SUM(INDEX(Presupuesto!$C$8:$N$14,0,ROW()-7))</f>
        <v>3200</v>
      </c>
      <c r="F19" s="12">
        <f>SUM(INDEX('Gastos reales'!$C$8:$N$14,0,ROW()-7))</f>
        <v>0</v>
      </c>
      <c r="G19" s="12">
        <f>Listas!$C$10</f>
        <v>300</v>
      </c>
      <c r="H19" s="12">
        <f>SUMIFS(Movimientos!$G$8:$G$200,Movimientos!$D$8:$D$200,"Ahorro",Movimientos!$C$8:$C$200,$B19)</f>
        <v>0</v>
      </c>
      <c r="I19" s="12">
        <f t="shared" si="0"/>
        <v>0</v>
      </c>
      <c r="J19" s="23"/>
    </row>
    <row r="20" spans="2:10" ht="21.95" customHeight="1" x14ac:dyDescent="0.25">
      <c r="B20" s="25" t="s">
        <v>126</v>
      </c>
      <c r="C20" s="15">
        <f t="shared" ref="C20:I20" si="1">SUM(C8:C19)</f>
        <v>38400</v>
      </c>
      <c r="D20" s="15">
        <f t="shared" si="1"/>
        <v>3200</v>
      </c>
      <c r="E20" s="15">
        <f t="shared" si="1"/>
        <v>34020</v>
      </c>
      <c r="F20" s="15">
        <f t="shared" si="1"/>
        <v>225</v>
      </c>
      <c r="G20" s="15">
        <f t="shared" si="1"/>
        <v>3600</v>
      </c>
      <c r="H20" s="15">
        <f t="shared" si="1"/>
        <v>250</v>
      </c>
      <c r="I20" s="15">
        <f t="shared" si="1"/>
        <v>2725</v>
      </c>
      <c r="J20" s="26"/>
    </row>
    <row r="21" spans="2:10" ht="21" customHeight="1" x14ac:dyDescent="0.25"/>
    <row r="22" spans="2:10" ht="21" customHeight="1" x14ac:dyDescent="0.25"/>
    <row r="23" spans="2:10" ht="21" customHeight="1" x14ac:dyDescent="0.25">
      <c r="B23" s="57" t="s">
        <v>127</v>
      </c>
      <c r="C23" s="39"/>
      <c r="D23" s="39"/>
      <c r="E23" s="39"/>
      <c r="F23" s="39"/>
      <c r="G23" s="39"/>
      <c r="H23" s="39"/>
      <c r="I23" s="39"/>
      <c r="J23" s="39"/>
    </row>
    <row r="24" spans="2:10" ht="21" customHeight="1" x14ac:dyDescent="0.25">
      <c r="B24" s="39"/>
      <c r="C24" s="39"/>
      <c r="D24" s="39"/>
      <c r="E24" s="39"/>
      <c r="F24" s="39"/>
      <c r="G24" s="39"/>
      <c r="H24" s="39"/>
      <c r="I24" s="39"/>
      <c r="J24" s="39"/>
    </row>
    <row r="25" spans="2:10" ht="21" customHeight="1" x14ac:dyDescent="0.25"/>
    <row r="26" spans="2:10" ht="21" customHeight="1" x14ac:dyDescent="0.25"/>
    <row r="27" spans="2:10" ht="21" customHeight="1" x14ac:dyDescent="0.25"/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23:J24"/>
    <mergeCell ref="B4:Q4"/>
    <mergeCell ref="B2:Q2"/>
    <mergeCell ref="B6:J6"/>
    <mergeCell ref="B3:Q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C8D94"/>
    <pageSetUpPr fitToPage="1"/>
  </sheetPr>
  <dimension ref="A1:J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3" width="14" customWidth="1"/>
    <col min="4" max="4" width="11" customWidth="1"/>
    <col min="5" max="5" width="15" customWidth="1"/>
    <col min="6" max="7" width="14" customWidth="1"/>
    <col min="8" max="8" width="12" customWidth="1"/>
    <col min="9" max="9" width="15" customWidth="1"/>
    <col min="10" max="10" width="14" customWidth="1"/>
  </cols>
  <sheetData>
    <row r="1" spans="1:10" ht="26.1" customHeight="1" x14ac:dyDescent="0.25"/>
    <row r="2" spans="1:10" ht="21.95" customHeight="1" x14ac:dyDescent="0.25">
      <c r="B2" s="55" t="s">
        <v>128</v>
      </c>
      <c r="C2" s="39"/>
      <c r="D2" s="39"/>
      <c r="E2" s="39"/>
      <c r="F2" s="39"/>
      <c r="G2" s="39"/>
      <c r="H2" s="39"/>
      <c r="I2" s="39"/>
      <c r="J2" s="39"/>
    </row>
    <row r="3" spans="1:10" ht="30" customHeight="1" x14ac:dyDescent="0.25">
      <c r="B3" s="52" t="s">
        <v>129</v>
      </c>
      <c r="C3" s="39"/>
      <c r="D3" s="39"/>
      <c r="E3" s="39"/>
      <c r="F3" s="39"/>
      <c r="G3" s="39"/>
      <c r="H3" s="39"/>
      <c r="I3" s="39"/>
      <c r="J3" s="39"/>
    </row>
    <row r="4" spans="1:10" ht="21.95" customHeight="1" x14ac:dyDescent="0.25">
      <c r="B4" s="50" t="s">
        <v>130</v>
      </c>
      <c r="C4" s="39"/>
      <c r="D4" s="39"/>
      <c r="E4" s="39"/>
      <c r="F4" s="39"/>
      <c r="G4" s="39"/>
      <c r="H4" s="39"/>
      <c r="I4" s="39"/>
      <c r="J4" s="39"/>
    </row>
    <row r="5" spans="1:10" ht="21" customHeight="1" x14ac:dyDescent="0.25"/>
    <row r="6" spans="1:10" ht="24" customHeight="1" x14ac:dyDescent="0.25">
      <c r="B6" s="66" t="s">
        <v>131</v>
      </c>
      <c r="C6" s="39"/>
      <c r="D6" s="39"/>
      <c r="E6" s="39"/>
      <c r="F6" s="39"/>
      <c r="G6" s="39"/>
      <c r="H6" s="39"/>
      <c r="I6" s="39"/>
      <c r="J6" s="39"/>
    </row>
    <row r="7" spans="1:10" ht="21" customHeight="1" x14ac:dyDescent="0.25">
      <c r="A7" s="1"/>
      <c r="B7" s="27" t="s">
        <v>132</v>
      </c>
      <c r="C7" s="28" t="str">
        <f>Listas!$C$8</f>
        <v>Enero</v>
      </c>
      <c r="D7" s="1"/>
      <c r="E7" s="27" t="s">
        <v>133</v>
      </c>
      <c r="F7" s="29">
        <v>0.02</v>
      </c>
      <c r="G7" s="1"/>
      <c r="H7" s="27" t="s">
        <v>134</v>
      </c>
      <c r="I7" s="30">
        <f>Listas!$C$10</f>
        <v>300</v>
      </c>
      <c r="J7" s="1"/>
    </row>
    <row r="8" spans="1:10" ht="21" customHeight="1" x14ac:dyDescent="0.25"/>
    <row r="9" spans="1:10" ht="32.1" customHeight="1" x14ac:dyDescent="0.25"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106</v>
      </c>
      <c r="H9" s="10" t="s">
        <v>140</v>
      </c>
      <c r="I9" s="10" t="s">
        <v>141</v>
      </c>
      <c r="J9" s="10" t="s">
        <v>97</v>
      </c>
    </row>
    <row r="10" spans="1:10" ht="21.95" customHeight="1" x14ac:dyDescent="0.25">
      <c r="B10" s="17" t="s">
        <v>113</v>
      </c>
      <c r="C10" s="20">
        <v>2400</v>
      </c>
      <c r="D10" s="31">
        <v>6</v>
      </c>
      <c r="E10" s="12">
        <f>C10*D10</f>
        <v>14400</v>
      </c>
      <c r="F10" s="20">
        <v>2500</v>
      </c>
      <c r="G10" s="12">
        <f>MAX(E10-F10,0)</f>
        <v>11900</v>
      </c>
      <c r="H10" s="13">
        <f>IFERROR(F10/E10,0)</f>
        <v>0.1736111111111111</v>
      </c>
      <c r="I10" s="32">
        <v>46752</v>
      </c>
      <c r="J10" s="33" t="str">
        <f>IF(H10&gt;=1,"Completa","En curso")</f>
        <v>En curso</v>
      </c>
    </row>
    <row r="11" spans="1:10" ht="21.95" customHeight="1" x14ac:dyDescent="0.25">
      <c r="B11" s="17" t="s">
        <v>142</v>
      </c>
      <c r="C11" s="20">
        <v>450</v>
      </c>
      <c r="D11" s="31">
        <v>4</v>
      </c>
      <c r="E11" s="12">
        <f>C11*D11</f>
        <v>1800</v>
      </c>
      <c r="F11" s="20">
        <v>650</v>
      </c>
      <c r="G11" s="12">
        <f>MAX(E11-F11,0)</f>
        <v>1150</v>
      </c>
      <c r="H11" s="13">
        <f>IFERROR(F11/E11,0)</f>
        <v>0.3611111111111111</v>
      </c>
      <c r="I11" s="32">
        <v>46568</v>
      </c>
      <c r="J11" s="33" t="str">
        <f>IF(H11&gt;=1,"Completa","En curso")</f>
        <v>En curso</v>
      </c>
    </row>
    <row r="12" spans="1:10" ht="21.95" customHeight="1" x14ac:dyDescent="0.25">
      <c r="B12" s="17" t="s">
        <v>143</v>
      </c>
      <c r="C12" s="20">
        <v>300</v>
      </c>
      <c r="D12" s="31">
        <v>4</v>
      </c>
      <c r="E12" s="12">
        <f>C12*D12</f>
        <v>1200</v>
      </c>
      <c r="F12" s="20">
        <v>300</v>
      </c>
      <c r="G12" s="12">
        <f>MAX(E12-F12,0)</f>
        <v>900</v>
      </c>
      <c r="H12" s="13">
        <f>IFERROR(F12/E12,0)</f>
        <v>0.25</v>
      </c>
      <c r="I12" s="32">
        <v>46691</v>
      </c>
      <c r="J12" s="33" t="str">
        <f>IF(H12&gt;=1,"Completa","En curso")</f>
        <v>En curso</v>
      </c>
    </row>
    <row r="13" spans="1:10" ht="21.95" customHeight="1" x14ac:dyDescent="0.25">
      <c r="B13" s="24" t="s">
        <v>53</v>
      </c>
      <c r="C13" s="34"/>
      <c r="D13" s="34"/>
      <c r="E13" s="12">
        <f>SUM(E10:E12)</f>
        <v>17400</v>
      </c>
      <c r="F13" s="12">
        <f>SUM(F10:F12)</f>
        <v>3450</v>
      </c>
      <c r="G13" s="12">
        <f>SUM(G10:G12)</f>
        <v>13950</v>
      </c>
      <c r="H13" s="13">
        <f>IFERROR(F13/E13,0)</f>
        <v>0.19827586206896552</v>
      </c>
      <c r="I13" s="34"/>
      <c r="J13" s="34"/>
    </row>
    <row r="14" spans="1:10" ht="21" customHeight="1" x14ac:dyDescent="0.25"/>
    <row r="15" spans="1:10" ht="21" customHeight="1" x14ac:dyDescent="0.25"/>
    <row r="16" spans="1:10" ht="21" customHeight="1" x14ac:dyDescent="0.25">
      <c r="B16" s="57" t="s">
        <v>144</v>
      </c>
      <c r="C16" s="39"/>
      <c r="D16" s="39"/>
      <c r="E16" s="39"/>
      <c r="F16" s="39"/>
      <c r="G16" s="39"/>
      <c r="H16" s="39"/>
      <c r="I16" s="39"/>
      <c r="J16" s="39"/>
    </row>
    <row r="17" spans="2:10" ht="21" customHeight="1" x14ac:dyDescent="0.25">
      <c r="B17" s="39"/>
      <c r="C17" s="39"/>
      <c r="D17" s="39"/>
      <c r="E17" s="39"/>
      <c r="F17" s="39"/>
      <c r="G17" s="39"/>
      <c r="H17" s="39"/>
      <c r="I17" s="39"/>
      <c r="J17" s="39"/>
    </row>
    <row r="18" spans="2:10" ht="21" customHeight="1" x14ac:dyDescent="0.25">
      <c r="B18" s="39"/>
      <c r="C18" s="39"/>
      <c r="D18" s="39"/>
      <c r="E18" s="39"/>
      <c r="F18" s="39"/>
      <c r="G18" s="39"/>
      <c r="H18" s="39"/>
      <c r="I18" s="39"/>
      <c r="J18" s="39"/>
    </row>
    <row r="19" spans="2:10" ht="21" customHeight="1" x14ac:dyDescent="0.25"/>
    <row r="20" spans="2:10" ht="21" customHeight="1" x14ac:dyDescent="0.25"/>
    <row r="21" spans="2:10" ht="21" customHeight="1" x14ac:dyDescent="0.25"/>
    <row r="22" spans="2:10" ht="21" customHeight="1" x14ac:dyDescent="0.25"/>
    <row r="23" spans="2:10" ht="21" customHeight="1" x14ac:dyDescent="0.25"/>
    <row r="24" spans="2:10" ht="21" customHeight="1" x14ac:dyDescent="0.25"/>
    <row r="25" spans="2:10" ht="21" customHeight="1" x14ac:dyDescent="0.25"/>
    <row r="26" spans="2:10" ht="21" customHeight="1" x14ac:dyDescent="0.25"/>
    <row r="27" spans="2:10" ht="21" customHeight="1" x14ac:dyDescent="0.25"/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6:J18"/>
    <mergeCell ref="B3:J3"/>
    <mergeCell ref="B4:J4"/>
    <mergeCell ref="B6:J6"/>
    <mergeCell ref="B2:J2"/>
  </mergeCells>
  <conditionalFormatting sqref="H10:H12">
    <cfRule type="dataBar" priority="1">
      <dataBar>
        <cfvo type="num" val="0"/>
        <cfvo type="num" val="1"/>
        <color rgb="FF0F766E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promptTitle="Lista" prompt="Elige una opción para mantener los resúmenes consistentes." xr:uid="{00000000-0002-0000-0600-000000000000}">
          <x14:formula1>
            <xm:f>Listas!$I$7:$I$13</xm:f>
          </x14:formula1>
          <xm:sqref>B10:B100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77D8E"/>
    <pageSetUpPr fitToPage="1"/>
  </sheetPr>
  <dimension ref="A1:H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3" width="15" customWidth="1"/>
    <col min="4" max="4" width="14" customWidth="1"/>
    <col min="5" max="6" width="15" customWidth="1"/>
    <col min="7" max="7" width="18" customWidth="1"/>
    <col min="8" max="8" width="15" customWidth="1"/>
  </cols>
  <sheetData>
    <row r="1" spans="1:8" ht="26.1" customHeight="1" x14ac:dyDescent="0.25"/>
    <row r="2" spans="1:8" ht="21.95" customHeight="1" x14ac:dyDescent="0.25">
      <c r="B2" s="55" t="s">
        <v>145</v>
      </c>
      <c r="C2" s="39"/>
      <c r="D2" s="39"/>
      <c r="E2" s="39"/>
      <c r="F2" s="39"/>
      <c r="G2" s="39"/>
      <c r="H2" s="39"/>
    </row>
    <row r="3" spans="1:8" ht="30" customHeight="1" x14ac:dyDescent="0.25">
      <c r="B3" s="52" t="s">
        <v>146</v>
      </c>
      <c r="C3" s="39"/>
      <c r="D3" s="39"/>
      <c r="E3" s="39"/>
      <c r="F3" s="39"/>
      <c r="G3" s="39"/>
      <c r="H3" s="39"/>
    </row>
    <row r="4" spans="1:8" ht="21.95" customHeight="1" x14ac:dyDescent="0.25">
      <c r="B4" s="50" t="s">
        <v>147</v>
      </c>
      <c r="C4" s="39"/>
      <c r="D4" s="39"/>
      <c r="E4" s="39"/>
      <c r="F4" s="39"/>
      <c r="G4" s="39"/>
      <c r="H4" s="39"/>
    </row>
    <row r="5" spans="1:8" ht="21" customHeight="1" x14ac:dyDescent="0.25"/>
    <row r="6" spans="1:8" ht="24" customHeight="1" x14ac:dyDescent="0.25">
      <c r="B6" s="51" t="s">
        <v>148</v>
      </c>
      <c r="C6" s="39"/>
      <c r="D6" s="39"/>
      <c r="E6" s="39"/>
      <c r="F6" s="39"/>
      <c r="G6" s="39"/>
      <c r="H6" s="39"/>
    </row>
    <row r="7" spans="1:8" ht="32.1" customHeight="1" x14ac:dyDescent="0.25">
      <c r="A7" s="1"/>
      <c r="B7" s="18" t="s">
        <v>149</v>
      </c>
      <c r="C7" s="18" t="s">
        <v>150</v>
      </c>
      <c r="D7" s="18" t="s">
        <v>151</v>
      </c>
      <c r="E7" s="18" t="s">
        <v>152</v>
      </c>
      <c r="F7" s="18" t="s">
        <v>153</v>
      </c>
      <c r="G7" s="18" t="s">
        <v>154</v>
      </c>
      <c r="H7" s="18" t="s">
        <v>97</v>
      </c>
    </row>
    <row r="8" spans="1:8" ht="21.95" customHeight="1" x14ac:dyDescent="0.25">
      <c r="B8" s="17" t="s">
        <v>155</v>
      </c>
      <c r="C8" s="20">
        <v>180000</v>
      </c>
      <c r="D8" s="35">
        <v>3.5000000000000003E-2</v>
      </c>
      <c r="E8" s="20">
        <v>850</v>
      </c>
      <c r="F8" s="31">
        <v>240</v>
      </c>
      <c r="G8" s="12">
        <f>C8*D8*E8/12</f>
        <v>446250.00000000006</v>
      </c>
      <c r="H8" s="33" t="str">
        <f>IF(E8&gt;0,"Activa","Pagada")</f>
        <v>Activa</v>
      </c>
    </row>
    <row r="9" spans="1:8" ht="21.95" customHeight="1" x14ac:dyDescent="0.25">
      <c r="B9" s="17" t="s">
        <v>156</v>
      </c>
      <c r="C9" s="20">
        <v>9200</v>
      </c>
      <c r="D9" s="35">
        <v>7.0000000000000007E-2</v>
      </c>
      <c r="E9" s="20">
        <v>280</v>
      </c>
      <c r="F9" s="31">
        <v>36</v>
      </c>
      <c r="G9" s="12">
        <f>C9*D9*E9/12</f>
        <v>15026.66666666667</v>
      </c>
      <c r="H9" s="33" t="str">
        <f>IF(E9&gt;0,"Activa","Pagada")</f>
        <v>Activa</v>
      </c>
    </row>
    <row r="10" spans="1:8" ht="21.95" customHeight="1" x14ac:dyDescent="0.25">
      <c r="B10" s="17" t="s">
        <v>157</v>
      </c>
      <c r="C10" s="20">
        <v>2400</v>
      </c>
      <c r="D10" s="35">
        <v>0.19</v>
      </c>
      <c r="E10" s="20">
        <v>150</v>
      </c>
      <c r="F10" s="31">
        <v>18</v>
      </c>
      <c r="G10" s="12">
        <f>C10*D10*E10/12</f>
        <v>5700</v>
      </c>
      <c r="H10" s="33" t="str">
        <f>IF(E10&gt;0,"Activa","Pagada")</f>
        <v>Activa</v>
      </c>
    </row>
    <row r="11" spans="1:8" ht="21.95" customHeight="1" x14ac:dyDescent="0.25">
      <c r="B11" s="21" t="s">
        <v>53</v>
      </c>
      <c r="C11" s="15">
        <f>SUM(C8:C10)</f>
        <v>191600</v>
      </c>
      <c r="D11" s="26"/>
      <c r="E11" s="15">
        <f>SUM(E8:E10)</f>
        <v>1280</v>
      </c>
      <c r="F11" s="26"/>
      <c r="G11" s="15">
        <f>SUM(G8:G10)</f>
        <v>466976.66666666674</v>
      </c>
      <c r="H11" s="26"/>
    </row>
    <row r="12" spans="1:8" ht="21" customHeight="1" x14ac:dyDescent="0.25"/>
    <row r="13" spans="1:8" ht="21" customHeight="1" x14ac:dyDescent="0.25"/>
    <row r="14" spans="1:8" ht="21" customHeight="1" x14ac:dyDescent="0.25">
      <c r="B14" s="63" t="s">
        <v>158</v>
      </c>
      <c r="C14" s="39"/>
      <c r="D14" s="39"/>
      <c r="E14" s="39"/>
      <c r="F14" s="39"/>
      <c r="G14" s="39"/>
      <c r="H14" s="39"/>
    </row>
    <row r="15" spans="1:8" ht="21" customHeight="1" x14ac:dyDescent="0.25">
      <c r="B15" s="39"/>
      <c r="C15" s="39"/>
      <c r="D15" s="39"/>
      <c r="E15" s="39"/>
      <c r="F15" s="39"/>
      <c r="G15" s="39"/>
      <c r="H15" s="39"/>
    </row>
    <row r="16" spans="1:8" ht="21" customHeight="1" x14ac:dyDescent="0.25">
      <c r="B16" s="39"/>
      <c r="C16" s="39"/>
      <c r="D16" s="39"/>
      <c r="E16" s="39"/>
      <c r="F16" s="39"/>
      <c r="G16" s="39"/>
      <c r="H16" s="39"/>
    </row>
    <row r="17" spans="2:8" ht="21" customHeight="1" x14ac:dyDescent="0.25">
      <c r="B17" s="39"/>
      <c r="C17" s="39"/>
      <c r="D17" s="39"/>
      <c r="E17" s="39"/>
      <c r="F17" s="39"/>
      <c r="G17" s="39"/>
      <c r="H17" s="39"/>
    </row>
    <row r="18" spans="2:8" ht="21" customHeight="1" x14ac:dyDescent="0.25"/>
    <row r="19" spans="2:8" ht="21" customHeight="1" x14ac:dyDescent="0.25"/>
    <row r="20" spans="2:8" ht="21" customHeight="1" x14ac:dyDescent="0.25"/>
    <row r="21" spans="2:8" ht="21" customHeight="1" x14ac:dyDescent="0.25"/>
    <row r="22" spans="2:8" ht="21" customHeight="1" x14ac:dyDescent="0.25"/>
    <row r="23" spans="2:8" ht="21" customHeight="1" x14ac:dyDescent="0.25"/>
    <row r="24" spans="2:8" ht="21" customHeight="1" x14ac:dyDescent="0.25"/>
    <row r="25" spans="2:8" ht="21" customHeight="1" x14ac:dyDescent="0.25"/>
    <row r="26" spans="2:8" ht="21" customHeight="1" x14ac:dyDescent="0.25"/>
    <row r="27" spans="2:8" ht="21" customHeight="1" x14ac:dyDescent="0.25"/>
    <row r="28" spans="2:8" ht="21" customHeight="1" x14ac:dyDescent="0.25"/>
    <row r="29" spans="2:8" ht="21" customHeight="1" x14ac:dyDescent="0.25"/>
    <row r="30" spans="2:8" ht="21" customHeight="1" x14ac:dyDescent="0.25"/>
    <row r="31" spans="2:8" ht="21" customHeight="1" x14ac:dyDescent="0.25"/>
    <row r="32" spans="2:8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4:H17"/>
    <mergeCell ref="B4:H4"/>
    <mergeCell ref="B6:H6"/>
    <mergeCell ref="B2:H2"/>
    <mergeCell ref="B3:H3"/>
  </mergeCells>
  <conditionalFormatting sqref="C8:C10">
    <cfRule type="dataBar" priority="1">
      <dataBar>
        <cfvo type="min"/>
        <cfvo type="max"/>
        <color rgb="FF477D8E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C8D94"/>
    <pageSetUpPr fitToPage="1"/>
  </sheetPr>
  <dimension ref="A1:M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5" customWidth="1"/>
    <col min="3" max="3" width="19" customWidth="1"/>
    <col min="4" max="4" width="3" customWidth="1"/>
    <col min="5" max="5" width="16" customWidth="1"/>
    <col min="6" max="6" width="3" customWidth="1"/>
    <col min="7" max="7" width="14" customWidth="1"/>
    <col min="8" max="8" width="3" customWidth="1"/>
    <col min="9" max="9" width="21" customWidth="1"/>
    <col min="10" max="10" width="3" customWidth="1"/>
    <col min="11" max="11" width="14" customWidth="1"/>
    <col min="12" max="12" width="3" customWidth="1"/>
    <col min="13" max="13" width="15" customWidth="1"/>
  </cols>
  <sheetData>
    <row r="1" spans="1:13" ht="26.1" customHeight="1" x14ac:dyDescent="0.25"/>
    <row r="2" spans="1:13" ht="21.95" customHeight="1" x14ac:dyDescent="0.25">
      <c r="B2" s="55" t="s">
        <v>159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30" customHeight="1" x14ac:dyDescent="0.25">
      <c r="B3" s="52" t="s">
        <v>160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ht="21.95" customHeight="1" x14ac:dyDescent="0.25">
      <c r="B4" s="50" t="s">
        <v>161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21" customHeight="1" x14ac:dyDescent="0.25"/>
    <row r="6" spans="1:13" ht="24" customHeight="1" x14ac:dyDescent="0.25">
      <c r="B6" s="66" t="s">
        <v>162</v>
      </c>
      <c r="C6" s="39"/>
      <c r="E6" s="40" t="s">
        <v>163</v>
      </c>
      <c r="G6" s="40" t="s">
        <v>164</v>
      </c>
      <c r="I6" s="40" t="s">
        <v>165</v>
      </c>
      <c r="K6" s="40" t="s">
        <v>166</v>
      </c>
      <c r="M6" s="40" t="s">
        <v>167</v>
      </c>
    </row>
    <row r="7" spans="1:13" ht="32.1" customHeight="1" x14ac:dyDescent="0.25">
      <c r="A7" s="1"/>
      <c r="B7" s="18" t="s">
        <v>168</v>
      </c>
      <c r="C7" s="18" t="s">
        <v>169</v>
      </c>
      <c r="D7" s="1"/>
      <c r="E7" s="36" t="s">
        <v>59</v>
      </c>
      <c r="F7" s="1"/>
      <c r="G7" s="36" t="s">
        <v>109</v>
      </c>
      <c r="H7" s="1"/>
      <c r="I7" s="36" t="s">
        <v>72</v>
      </c>
      <c r="J7" s="1"/>
      <c r="K7" s="36" t="s">
        <v>105</v>
      </c>
      <c r="L7" s="1"/>
      <c r="M7" s="36" t="s">
        <v>102</v>
      </c>
    </row>
    <row r="8" spans="1:13" ht="21.95" customHeight="1" x14ac:dyDescent="0.25">
      <c r="B8" s="19" t="s">
        <v>8</v>
      </c>
      <c r="C8" s="23" t="s">
        <v>59</v>
      </c>
      <c r="E8" s="37" t="s">
        <v>60</v>
      </c>
      <c r="G8" s="37" t="s">
        <v>99</v>
      </c>
      <c r="I8" s="37" t="s">
        <v>73</v>
      </c>
      <c r="K8" s="37" t="s">
        <v>108</v>
      </c>
      <c r="M8" s="37" t="s">
        <v>106</v>
      </c>
    </row>
    <row r="9" spans="1:13" ht="21.95" customHeight="1" x14ac:dyDescent="0.25">
      <c r="B9" s="19" t="s">
        <v>170</v>
      </c>
      <c r="C9" s="20">
        <v>3200</v>
      </c>
      <c r="E9" s="37" t="s">
        <v>61</v>
      </c>
      <c r="G9" s="37" t="s">
        <v>112</v>
      </c>
      <c r="I9" s="37" t="s">
        <v>74</v>
      </c>
      <c r="K9" s="37" t="s">
        <v>101</v>
      </c>
    </row>
    <row r="10" spans="1:13" ht="21.95" customHeight="1" x14ac:dyDescent="0.25">
      <c r="B10" s="19" t="s">
        <v>171</v>
      </c>
      <c r="C10" s="20">
        <v>300</v>
      </c>
      <c r="E10" s="37" t="s">
        <v>62</v>
      </c>
      <c r="I10" s="37" t="s">
        <v>75</v>
      </c>
    </row>
    <row r="11" spans="1:13" ht="21.95" customHeight="1" x14ac:dyDescent="0.25">
      <c r="B11" s="19" t="s">
        <v>20</v>
      </c>
      <c r="C11" s="23" t="s">
        <v>105</v>
      </c>
      <c r="E11" s="37" t="s">
        <v>63</v>
      </c>
      <c r="I11" s="37" t="s">
        <v>76</v>
      </c>
    </row>
    <row r="12" spans="1:13" ht="21.95" customHeight="1" x14ac:dyDescent="0.25">
      <c r="B12" s="19" t="s">
        <v>21</v>
      </c>
      <c r="C12" s="23" t="s">
        <v>108</v>
      </c>
      <c r="E12" s="37" t="s">
        <v>64</v>
      </c>
      <c r="I12" s="37" t="s">
        <v>77</v>
      </c>
    </row>
    <row r="13" spans="1:13" ht="21.95" customHeight="1" x14ac:dyDescent="0.25">
      <c r="B13" s="19" t="s">
        <v>172</v>
      </c>
      <c r="C13" s="23" t="s">
        <v>173</v>
      </c>
      <c r="E13" s="37" t="s">
        <v>65</v>
      </c>
      <c r="I13" s="37" t="s">
        <v>78</v>
      </c>
    </row>
    <row r="14" spans="1:13" ht="21" customHeight="1" x14ac:dyDescent="0.25">
      <c r="E14" s="37" t="s">
        <v>66</v>
      </c>
    </row>
    <row r="15" spans="1:13" ht="21" customHeight="1" x14ac:dyDescent="0.25">
      <c r="E15" s="37" t="s">
        <v>67</v>
      </c>
    </row>
    <row r="16" spans="1:13" ht="21" customHeight="1" x14ac:dyDescent="0.25">
      <c r="E16" s="37" t="s">
        <v>68</v>
      </c>
    </row>
    <row r="17" spans="5:13" ht="21" customHeight="1" x14ac:dyDescent="0.25">
      <c r="E17" s="37" t="s">
        <v>69</v>
      </c>
    </row>
    <row r="18" spans="5:13" ht="21" customHeight="1" x14ac:dyDescent="0.25">
      <c r="E18" s="37" t="s">
        <v>70</v>
      </c>
    </row>
    <row r="19" spans="5:13" ht="21" customHeight="1" x14ac:dyDescent="0.25"/>
    <row r="20" spans="5:13" ht="21" customHeight="1" x14ac:dyDescent="0.25"/>
    <row r="21" spans="5:13" ht="21" customHeight="1" x14ac:dyDescent="0.25">
      <c r="E21" s="57" t="s">
        <v>174</v>
      </c>
      <c r="F21" s="39"/>
      <c r="G21" s="39"/>
      <c r="H21" s="39"/>
      <c r="I21" s="39"/>
      <c r="J21" s="39"/>
      <c r="K21" s="39"/>
      <c r="L21" s="39"/>
      <c r="M21" s="39"/>
    </row>
    <row r="22" spans="5:13" ht="21" customHeight="1" x14ac:dyDescent="0.25">
      <c r="E22" s="39"/>
      <c r="F22" s="39"/>
      <c r="G22" s="39"/>
      <c r="H22" s="39"/>
      <c r="I22" s="39"/>
      <c r="J22" s="39"/>
      <c r="K22" s="39"/>
      <c r="L22" s="39"/>
      <c r="M22" s="39"/>
    </row>
    <row r="23" spans="5:13" ht="21" customHeight="1" x14ac:dyDescent="0.25">
      <c r="E23" s="39"/>
      <c r="F23" s="39"/>
      <c r="G23" s="39"/>
      <c r="H23" s="39"/>
      <c r="I23" s="39"/>
      <c r="J23" s="39"/>
      <c r="K23" s="39"/>
      <c r="L23" s="39"/>
      <c r="M23" s="39"/>
    </row>
    <row r="24" spans="5:13" ht="21" customHeight="1" x14ac:dyDescent="0.25"/>
    <row r="25" spans="5:13" ht="21" customHeight="1" x14ac:dyDescent="0.25"/>
    <row r="26" spans="5:13" ht="21" customHeight="1" x14ac:dyDescent="0.25"/>
    <row r="27" spans="5:13" ht="21" customHeight="1" x14ac:dyDescent="0.25"/>
    <row r="28" spans="5:13" ht="21" customHeight="1" x14ac:dyDescent="0.25"/>
    <row r="29" spans="5:13" ht="21" customHeight="1" x14ac:dyDescent="0.25"/>
    <row r="30" spans="5:13" ht="21" customHeight="1" x14ac:dyDescent="0.25"/>
    <row r="31" spans="5:13" ht="21" customHeight="1" x14ac:dyDescent="0.25"/>
    <row r="32" spans="5:13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10">
    <mergeCell ref="B2:M2"/>
    <mergeCell ref="B6:C6"/>
    <mergeCell ref="B3:M3"/>
    <mergeCell ref="E21:M23"/>
    <mergeCell ref="I6"/>
    <mergeCell ref="M6"/>
    <mergeCell ref="E6"/>
    <mergeCell ref="B4:M4"/>
    <mergeCell ref="G6"/>
    <mergeCell ref="K6"/>
  </mergeCells>
  <dataValidations count="3">
    <dataValidation type="list" allowBlank="1" errorTitle="Valor no válido" error="Selecciona un valor de la lista." promptTitle="Lista" prompt="Elige una opción para mantener los resúmenes consistentes." sqref="C8" xr:uid="{00000000-0002-0000-0800-000000000000}">
      <formula1>$E$7:$E$18</formula1>
    </dataValidation>
    <dataValidation type="list" allowBlank="1" errorTitle="Valor no válido" error="Selecciona un valor de la lista." promptTitle="Lista" prompt="Elige una opción para mantener los resúmenes consistentes." sqref="C11:C12" xr:uid="{00000000-0002-0000-0800-000001000000}">
      <formula1>$K$7:$K$9</formula1>
    </dataValidation>
    <dataValidation type="list" allowBlank="1" errorTitle="Valor no válido" error="Selecciona un valor de la lista." promptTitle="Lista" prompt="Elige una opción para mantener los resúmenes consistentes." sqref="C13" xr:uid="{00000000-0002-0000-0800-000002000000}">
      <formula1>$M$7:$M$8</formula1>
    </dataValidation>
  </dataValidations>
  <pageMargins left="0.25" right="0.25" top="0.35" bottom="0.35" header="0.5" footer="0.5"/>
  <pageSetup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Inicio</vt:lpstr>
      <vt:lpstr>Resumen</vt:lpstr>
      <vt:lpstr>Presupuesto</vt:lpstr>
      <vt:lpstr>Gastos reales</vt:lpstr>
      <vt:lpstr>Movimientos</vt:lpstr>
      <vt:lpstr>Flujo de caja</vt:lpstr>
      <vt:lpstr>Metas y fondo</vt:lpstr>
      <vt:lpstr>Deudas</vt:lpstr>
      <vt:lpstr>Listas</vt:lpstr>
      <vt:lpstr>Deudas!Área_de_impresión</vt:lpstr>
      <vt:lpstr>'Flujo de caja'!Área_de_impresión</vt:lpstr>
      <vt:lpstr>'Gastos reales'!Área_de_impresión</vt:lpstr>
      <vt:lpstr>Inicio!Área_de_impresión</vt:lpstr>
      <vt:lpstr>Listas!Área_de_impresión</vt:lpstr>
      <vt:lpstr>'Metas y fondo'!Área_de_impresión</vt:lpstr>
      <vt:lpstr>Movimientos!Área_de_impresión</vt:lpstr>
      <vt:lpstr>Presupuesto!Área_de_impresión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familiar · base construida desde sources</dc:title>
  <dc:subject>Planificación mensual, movimientos, flujo de caja, metas y deudas</dc:subject>
  <dc:creator>Creador de Excels</dc:creator>
  <cp:lastModifiedBy>Santiago García Guardia</cp:lastModifiedBy>
  <dcterms:created xsi:type="dcterms:W3CDTF">2026-10-14T10:57:29Z</dcterms:created>
  <dcterms:modified xsi:type="dcterms:W3CDTF">2026-10-14T10:57:34Z</dcterms:modified>
</cp:coreProperties>
</file>