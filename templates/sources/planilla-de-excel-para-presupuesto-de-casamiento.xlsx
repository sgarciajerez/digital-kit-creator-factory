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/>
  <bookViews>
    <workbookView xWindow="18465" yWindow="-15" windowWidth="15480" windowHeight="8985" tabRatio="826"/>
  </bookViews>
  <sheets>
    <sheet name="Planificado boda 2010" sheetId="3" r:id="rId1"/>
  </sheets>
  <definedNames>
    <definedName name="_xlnm._FilterDatabase" localSheetId="0" hidden="1">'Planificado boda 2010'!$G$78:$H$90</definedName>
    <definedName name="_xlnm.Print_Area" localSheetId="0">'Planificado boda 2010'!$A$1:$F$49</definedName>
  </definedNames>
  <calcPr calcId="125725"/>
</workbook>
</file>

<file path=xl/calcChain.xml><?xml version="1.0" encoding="utf-8"?>
<calcChain xmlns="http://schemas.openxmlformats.org/spreadsheetml/2006/main">
  <c r="K88" i="3"/>
  <c r="K87"/>
  <c r="K86"/>
  <c r="K85"/>
  <c r="K84"/>
  <c r="K83"/>
  <c r="K82"/>
  <c r="K81"/>
  <c r="K80"/>
  <c r="K79"/>
  <c r="I25" l="1"/>
  <c r="D57"/>
  <c r="D58"/>
  <c r="D59"/>
  <c r="D60"/>
  <c r="D61"/>
  <c r="D62"/>
  <c r="D63"/>
  <c r="D64"/>
  <c r="D65"/>
  <c r="D66"/>
  <c r="D56"/>
  <c r="I70"/>
  <c r="I71"/>
  <c r="I72"/>
  <c r="I69"/>
  <c r="I55"/>
  <c r="I56"/>
  <c r="I57"/>
  <c r="I58"/>
  <c r="I59"/>
  <c r="I60"/>
  <c r="I61"/>
  <c r="I62"/>
  <c r="I63"/>
  <c r="I54"/>
  <c r="I33"/>
  <c r="I34"/>
  <c r="I35"/>
  <c r="I36"/>
  <c r="I37"/>
  <c r="I32"/>
  <c r="D9"/>
  <c r="D10"/>
  <c r="D11"/>
  <c r="D12"/>
  <c r="D13"/>
  <c r="D14"/>
  <c r="D15"/>
  <c r="D16"/>
  <c r="D17"/>
  <c r="D18"/>
  <c r="D8"/>
  <c r="D25"/>
  <c r="D26"/>
  <c r="D27"/>
  <c r="D28"/>
  <c r="D24"/>
  <c r="I22"/>
  <c r="I23"/>
  <c r="I24"/>
  <c r="I26"/>
  <c r="I21"/>
  <c r="D35"/>
  <c r="D36"/>
  <c r="D34"/>
  <c r="I43"/>
  <c r="I45"/>
  <c r="I46"/>
  <c r="I47"/>
  <c r="I48"/>
  <c r="I44"/>
  <c r="D43"/>
  <c r="D44"/>
  <c r="D45"/>
  <c r="D46"/>
  <c r="D47"/>
  <c r="D48"/>
  <c r="D49"/>
  <c r="D50"/>
  <c r="D42"/>
  <c r="C67"/>
  <c r="H88" s="1"/>
  <c r="B67"/>
  <c r="D67" s="1"/>
  <c r="H73"/>
  <c r="H87" s="1"/>
  <c r="G73"/>
  <c r="H64"/>
  <c r="H86" s="1"/>
  <c r="G64"/>
  <c r="C51"/>
  <c r="H85" s="1"/>
  <c r="B51"/>
  <c r="D51" s="1"/>
  <c r="H49"/>
  <c r="G49"/>
  <c r="C37"/>
  <c r="H83" s="1"/>
  <c r="B37"/>
  <c r="H38"/>
  <c r="H82" s="1"/>
  <c r="G38"/>
  <c r="C29"/>
  <c r="H81" s="1"/>
  <c r="B29"/>
  <c r="H27"/>
  <c r="H80" s="1"/>
  <c r="G27"/>
  <c r="C19"/>
  <c r="H79" s="1"/>
  <c r="B19"/>
  <c r="I27" l="1"/>
  <c r="D37"/>
  <c r="D29"/>
  <c r="I49"/>
  <c r="I38"/>
  <c r="B3"/>
  <c r="I64"/>
  <c r="C3"/>
  <c r="D19"/>
  <c r="I73"/>
  <c r="H84"/>
  <c r="H94" l="1"/>
  <c r="L79" s="1"/>
  <c r="D3"/>
  <c r="L83" l="1"/>
  <c r="L82"/>
  <c r="L85"/>
  <c r="L88"/>
  <c r="L81"/>
  <c r="L86"/>
  <c r="L80"/>
  <c r="L87"/>
  <c r="L84"/>
</calcChain>
</file>

<file path=xl/sharedStrings.xml><?xml version="1.0" encoding="utf-8"?>
<sst xmlns="http://schemas.openxmlformats.org/spreadsheetml/2006/main" count="140" uniqueCount="94">
  <si>
    <t>Parking</t>
  </si>
  <si>
    <t>Taxis</t>
  </si>
  <si>
    <t>Estimado</t>
  </si>
  <si>
    <t>Real</t>
  </si>
  <si>
    <t>Gastos totales</t>
  </si>
  <si>
    <t>Ropa</t>
  </si>
  <si>
    <t>Anillo de compromiso</t>
  </si>
  <si>
    <t>Anillos de boda</t>
  </si>
  <si>
    <t>Vestido de novia</t>
  </si>
  <si>
    <t>Velo</t>
  </si>
  <si>
    <t>Zapatos</t>
  </si>
  <si>
    <t>Joyas</t>
  </si>
  <si>
    <t>Liga</t>
  </si>
  <si>
    <t>Medias</t>
  </si>
  <si>
    <t>Esmoquin del novio</t>
  </si>
  <si>
    <t>Zapatos del novio</t>
  </si>
  <si>
    <t>Otros_______________________</t>
  </si>
  <si>
    <t>Total ropa</t>
  </si>
  <si>
    <t>Regalos</t>
  </si>
  <si>
    <t>Asistentes</t>
  </si>
  <si>
    <t>Novios</t>
  </si>
  <si>
    <t>Padres</t>
  </si>
  <si>
    <t>Lectores/otros participantes</t>
  </si>
  <si>
    <t>Otros________________</t>
  </si>
  <si>
    <t>Total regalos</t>
  </si>
  <si>
    <t>Músicos de la ceremonia</t>
  </si>
  <si>
    <t>Música</t>
  </si>
  <si>
    <t>Banda/DJ del banquete</t>
  </si>
  <si>
    <t>Total música</t>
  </si>
  <si>
    <t>Tarifas de la sala</t>
  </si>
  <si>
    <t>Mesas y sillas</t>
  </si>
  <si>
    <t>Comida</t>
  </si>
  <si>
    <t>Bebida</t>
  </si>
  <si>
    <t>Mantelería</t>
  </si>
  <si>
    <t>Pastel</t>
  </si>
  <si>
    <t>Propinas</t>
  </si>
  <si>
    <t>Personal y gratificaciones</t>
  </si>
  <si>
    <t>Total recepción</t>
  </si>
  <si>
    <t>Otros gastos</t>
  </si>
  <si>
    <t>Oficiante</t>
  </si>
  <si>
    <t>Comisión lugar ceremonia/iglesia</t>
  </si>
  <si>
    <t>Coordinador de la boda</t>
  </si>
  <si>
    <t>Despedida de soltero/a</t>
  </si>
  <si>
    <t>Desayuno almuerzo</t>
  </si>
  <si>
    <t>Habitaciones de hotel</t>
  </si>
  <si>
    <t>Total otros gastos</t>
  </si>
  <si>
    <t>Decoraciones</t>
  </si>
  <si>
    <t>Centros de mesa (flores excluidas)</t>
  </si>
  <si>
    <t>Velas</t>
  </si>
  <si>
    <t>Iluminación</t>
  </si>
  <si>
    <t>Globos</t>
  </si>
  <si>
    <t>Total decoraciones</t>
  </si>
  <si>
    <t>Flores</t>
  </si>
  <si>
    <t>Ramos</t>
  </si>
  <si>
    <t>Ojales</t>
  </si>
  <si>
    <t>Ceremonia</t>
  </si>
  <si>
    <t>Banquete</t>
  </si>
  <si>
    <t>Total flores</t>
  </si>
  <si>
    <t>Ramilletes</t>
  </si>
  <si>
    <t>Fotografía</t>
  </si>
  <si>
    <t>Impresiones adicionales</t>
  </si>
  <si>
    <t>Álbumes de fotos</t>
  </si>
  <si>
    <t>Videografía</t>
  </si>
  <si>
    <t>Otros_________________</t>
  </si>
  <si>
    <t>Total fotografía</t>
  </si>
  <si>
    <t>Papelería/impresión</t>
  </si>
  <si>
    <t>Invitaciones</t>
  </si>
  <si>
    <t>Anuncios</t>
  </si>
  <si>
    <t>Tarjetas de agradecimiento</t>
  </si>
  <si>
    <t>Art. papelería personales</t>
  </si>
  <si>
    <t>Libro de invitados</t>
  </si>
  <si>
    <t>Programas</t>
  </si>
  <si>
    <t>Servilletas del banquete</t>
  </si>
  <si>
    <t>Cajas de cerillas</t>
  </si>
  <si>
    <t>Caligrafía</t>
  </si>
  <si>
    <t>Total papelería/impresión</t>
  </si>
  <si>
    <t>Transporte</t>
  </si>
  <si>
    <t>Limusinas/carros</t>
  </si>
  <si>
    <t>Total transporte</t>
  </si>
  <si>
    <t>Categoría</t>
  </si>
  <si>
    <t>Importe</t>
  </si>
  <si>
    <t>Papelería</t>
  </si>
  <si>
    <t>Otros</t>
  </si>
  <si>
    <t>Fiesta de compromiso</t>
  </si>
  <si>
    <t>Fiesta homenaje a la novia</t>
  </si>
  <si>
    <t>Citas con las salas de banquetes</t>
  </si>
  <si>
    <t>Formales</t>
  </si>
  <si>
    <t>Espontáneas</t>
  </si>
  <si>
    <t>Diferencia</t>
  </si>
  <si>
    <t>Lazos bancos iglesia/otros asientos</t>
  </si>
  <si>
    <t>Banquete (excl. música y decoración)</t>
  </si>
  <si>
    <t>Cena de ensayo</t>
  </si>
  <si>
    <t>Total</t>
  </si>
  <si>
    <t>Proporción del gasto total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</si>
</sst>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5">
    <font>
      <sz val="10"/>
      <name val="Arial"/>
    </font>
    <font>
      <sz val="10"/>
      <name val="Tahoma"/>
      <family val="2"/>
    </font>
    <font>
      <sz val="10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9"/>
      <name val="Verdana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</font>
    <font>
      <sz val="22"/>
      <name val="Marlett"/>
      <charset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indexed="23"/>
      <name val="Calibri"/>
      <family val="2"/>
    </font>
    <font>
      <sz val="12"/>
      <name val="Tahoma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2"/>
      </bottom>
      <diagonal/>
    </border>
    <border>
      <left/>
      <right/>
      <top style="medium">
        <color indexed="62"/>
      </top>
      <bottom/>
      <diagonal/>
    </border>
    <border>
      <left style="thin">
        <color indexed="62"/>
      </left>
      <right/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/>
      <bottom style="thin">
        <color indexed="62"/>
      </bottom>
      <diagonal/>
    </border>
    <border>
      <left style="medium">
        <color theme="8" tint="-0.249977111117893"/>
      </left>
      <right/>
      <top/>
      <bottom/>
      <diagonal/>
    </border>
  </borders>
  <cellStyleXfs count="3">
    <xf numFmtId="0" fontId="0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right" vertical="center" indent="1"/>
    </xf>
    <xf numFmtId="0" fontId="2" fillId="0" borderId="0" xfId="0" applyFont="1" applyFill="1" applyBorder="1"/>
    <xf numFmtId="0" fontId="2" fillId="0" borderId="0" xfId="0" applyFont="1" applyFill="1" applyAlignment="1">
      <alignment horizontal="left" vertical="center" indent="1"/>
    </xf>
    <xf numFmtId="0" fontId="4" fillId="0" borderId="0" xfId="0" applyFont="1" applyFill="1" applyBorder="1"/>
    <xf numFmtId="0" fontId="5" fillId="0" borderId="0" xfId="0" applyNumberFormat="1" applyFont="1" applyFill="1" applyBorder="1" applyAlignment="1" applyProtection="1"/>
    <xf numFmtId="8" fontId="3" fillId="0" borderId="0" xfId="0" applyNumberFormat="1" applyFont="1" applyFill="1" applyBorder="1"/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44" fontId="7" fillId="0" borderId="0" xfId="1" applyFont="1" applyFill="1"/>
    <xf numFmtId="44" fontId="2" fillId="0" borderId="0" xfId="1" applyFont="1" applyFill="1" applyAlignment="1">
      <alignment horizontal="left" vertical="top"/>
    </xf>
    <xf numFmtId="44" fontId="7" fillId="0" borderId="0" xfId="1" applyFont="1" applyFill="1" applyAlignment="1">
      <alignment horizontal="left"/>
    </xf>
    <xf numFmtId="9" fontId="2" fillId="0" borderId="0" xfId="2" applyFont="1" applyFill="1"/>
    <xf numFmtId="44" fontId="2" fillId="0" borderId="0" xfId="1" applyFont="1" applyFill="1" applyBorder="1" applyAlignment="1">
      <alignment horizontal="left" vertical="center"/>
    </xf>
    <xf numFmtId="44" fontId="2" fillId="0" borderId="0" xfId="1" applyFont="1" applyFill="1" applyBorder="1" applyAlignment="1">
      <alignment horizontal="left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 applyProtection="1">
      <alignment horizontal="right"/>
    </xf>
    <xf numFmtId="8" fontId="10" fillId="0" borderId="0" xfId="0" applyNumberFormat="1" applyFont="1" applyFill="1" applyBorder="1" applyAlignment="1" applyProtection="1">
      <alignment horizontal="right"/>
    </xf>
    <xf numFmtId="0" fontId="11" fillId="0" borderId="0" xfId="0" applyFont="1" applyFill="1" applyBorder="1" applyAlignment="1">
      <alignment horizontal="right" vertical="center" indent="1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wrapText="1"/>
    </xf>
    <xf numFmtId="0" fontId="11" fillId="0" borderId="0" xfId="0" applyFont="1" applyFill="1" applyAlignment="1">
      <alignment horizontal="right" vertical="center" indent="1"/>
    </xf>
    <xf numFmtId="0" fontId="12" fillId="0" borderId="0" xfId="0" applyNumberFormat="1" applyFont="1" applyFill="1" applyBorder="1" applyAlignment="1" applyProtection="1">
      <alignment horizontal="right" vertical="center" indent="1"/>
    </xf>
    <xf numFmtId="44" fontId="10" fillId="0" borderId="3" xfId="1" applyFont="1" applyFill="1" applyBorder="1" applyAlignment="1" applyProtection="1">
      <alignment horizontal="right" vertical="center" indent="1"/>
    </xf>
    <xf numFmtId="44" fontId="10" fillId="2" borderId="3" xfId="1" applyFont="1" applyFill="1" applyBorder="1" applyAlignment="1" applyProtection="1">
      <alignment horizontal="right" vertical="center" indent="1"/>
    </xf>
    <xf numFmtId="44" fontId="11" fillId="0" borderId="4" xfId="1" applyFont="1" applyFill="1" applyBorder="1" applyAlignment="1" applyProtection="1">
      <alignment horizontal="center" vertical="center"/>
    </xf>
    <xf numFmtId="0" fontId="11" fillId="0" borderId="0" xfId="0" applyFont="1" applyFill="1" applyBorder="1"/>
    <xf numFmtId="0" fontId="11" fillId="0" borderId="0" xfId="0" applyFont="1" applyFill="1"/>
    <xf numFmtId="0" fontId="11" fillId="0" borderId="0" xfId="0" applyFont="1" applyFill="1" applyBorder="1" applyAlignment="1">
      <alignment horizontal="center"/>
    </xf>
    <xf numFmtId="0" fontId="11" fillId="0" borderId="1" xfId="0" applyFont="1" applyFill="1" applyBorder="1"/>
    <xf numFmtId="0" fontId="12" fillId="0" borderId="1" xfId="0" applyFont="1" applyFill="1" applyBorder="1" applyAlignment="1">
      <alignment horizontal="right" vertical="center" indent="1"/>
    </xf>
    <xf numFmtId="0" fontId="12" fillId="0" borderId="1" xfId="0" applyFont="1" applyFill="1" applyBorder="1" applyAlignment="1">
      <alignment vertical="center"/>
    </xf>
    <xf numFmtId="0" fontId="10" fillId="0" borderId="0" xfId="0" applyNumberFormat="1" applyFont="1" applyFill="1" applyBorder="1" applyAlignment="1" applyProtection="1">
      <alignment horizontal="left" vertical="center" indent="1"/>
    </xf>
    <xf numFmtId="0" fontId="11" fillId="0" borderId="0" xfId="0" applyNumberFormat="1" applyFont="1" applyFill="1" applyBorder="1" applyAlignment="1" applyProtection="1">
      <alignment horizontal="right"/>
    </xf>
    <xf numFmtId="0" fontId="11" fillId="0" borderId="0" xfId="0" applyFont="1" applyBorder="1" applyAlignment="1">
      <alignment vertical="center" wrapText="1"/>
    </xf>
    <xf numFmtId="0" fontId="11" fillId="0" borderId="0" xfId="0" applyFont="1" applyFill="1" applyBorder="1" applyAlignment="1">
      <alignment horizontal="left" vertical="center" indent="1"/>
    </xf>
    <xf numFmtId="44" fontId="11" fillId="4" borderId="4" xfId="1" applyFont="1" applyFill="1" applyBorder="1" applyAlignment="1" applyProtection="1">
      <alignment horizontal="right" vertical="center" indent="1"/>
    </xf>
    <xf numFmtId="44" fontId="11" fillId="4" borderId="3" xfId="1" applyFont="1" applyFill="1" applyBorder="1" applyAlignment="1" applyProtection="1">
      <alignment horizontal="right" vertical="center" indent="1"/>
    </xf>
    <xf numFmtId="44" fontId="11" fillId="4" borderId="4" xfId="1" applyFont="1" applyFill="1" applyBorder="1" applyAlignment="1" applyProtection="1">
      <alignment horizontal="center" vertical="center"/>
    </xf>
    <xf numFmtId="0" fontId="11" fillId="0" borderId="0" xfId="0" applyFont="1" applyFill="1" applyAlignment="1">
      <alignment horizontal="left" vertical="center" indent="1"/>
    </xf>
    <xf numFmtId="0" fontId="11" fillId="0" borderId="0" xfId="0" applyNumberFormat="1" applyFont="1" applyFill="1" applyBorder="1" applyAlignment="1" applyProtection="1">
      <alignment horizontal="left" vertical="center" indent="1"/>
    </xf>
    <xf numFmtId="44" fontId="11" fillId="4" borderId="5" xfId="1" applyFont="1" applyFill="1" applyBorder="1" applyAlignment="1" applyProtection="1">
      <alignment horizontal="right" vertical="center" indent="1"/>
    </xf>
    <xf numFmtId="0" fontId="11" fillId="0" borderId="0" xfId="0" applyFont="1" applyFill="1" applyBorder="1" applyAlignment="1">
      <alignment vertical="center" textRotation="68"/>
    </xf>
    <xf numFmtId="44" fontId="10" fillId="0" borderId="0" xfId="1" applyFont="1" applyFill="1" applyBorder="1" applyAlignment="1" applyProtection="1">
      <alignment horizontal="right" vertical="center" indent="1"/>
    </xf>
    <xf numFmtId="44" fontId="10" fillId="0" borderId="4" xfId="1" applyFont="1" applyFill="1" applyBorder="1" applyAlignment="1" applyProtection="1">
      <alignment horizontal="right" vertical="center" indent="1"/>
    </xf>
    <xf numFmtId="44" fontId="11" fillId="0" borderId="5" xfId="1" applyFont="1" applyFill="1" applyBorder="1" applyAlignment="1">
      <alignment horizontal="center"/>
    </xf>
    <xf numFmtId="0" fontId="10" fillId="0" borderId="0" xfId="0" applyNumberFormat="1" applyFont="1" applyFill="1" applyBorder="1" applyAlignment="1" applyProtection="1"/>
    <xf numFmtId="44" fontId="10" fillId="0" borderId="0" xfId="1" applyFont="1" applyFill="1" applyBorder="1" applyAlignment="1" applyProtection="1">
      <alignment horizontal="right"/>
    </xf>
    <xf numFmtId="44" fontId="11" fillId="0" borderId="0" xfId="1" applyFont="1" applyFill="1" applyBorder="1" applyAlignment="1">
      <alignment horizontal="center"/>
    </xf>
    <xf numFmtId="0" fontId="10" fillId="0" borderId="2" xfId="0" applyNumberFormat="1" applyFont="1" applyFill="1" applyBorder="1" applyAlignment="1" applyProtection="1">
      <alignment horizontal="left" vertical="center" indent="1"/>
    </xf>
    <xf numFmtId="44" fontId="11" fillId="0" borderId="0" xfId="1" applyFont="1" applyFill="1"/>
    <xf numFmtId="44" fontId="11" fillId="0" borderId="0" xfId="1" applyFont="1" applyFill="1" applyAlignment="1">
      <alignment horizontal="center"/>
    </xf>
    <xf numFmtId="44" fontId="12" fillId="0" borderId="1" xfId="1" applyFont="1" applyFill="1" applyBorder="1" applyAlignment="1">
      <alignment horizontal="right" vertical="center" indent="1"/>
    </xf>
    <xf numFmtId="44" fontId="12" fillId="0" borderId="1" xfId="1" applyFont="1" applyFill="1" applyBorder="1" applyAlignment="1">
      <alignment vertical="center"/>
    </xf>
    <xf numFmtId="44" fontId="11" fillId="0" borderId="0" xfId="1" applyFont="1" applyFill="1" applyBorder="1" applyAlignment="1" applyProtection="1">
      <alignment horizontal="right"/>
    </xf>
    <xf numFmtId="44" fontId="11" fillId="0" borderId="0" xfId="1" applyFont="1" applyFill="1" applyBorder="1" applyAlignment="1" applyProtection="1">
      <alignment horizontal="right" vertical="center" indent="1"/>
    </xf>
    <xf numFmtId="44" fontId="11" fillId="0" borderId="0" xfId="1" applyFont="1" applyBorder="1" applyAlignment="1">
      <alignment vertical="center" wrapText="1"/>
    </xf>
    <xf numFmtId="44" fontId="11" fillId="0" borderId="0" xfId="1" applyFont="1" applyFill="1" applyBorder="1" applyAlignment="1">
      <alignment horizontal="left" vertical="center" indent="1"/>
    </xf>
    <xf numFmtId="44" fontId="11" fillId="0" borderId="0" xfId="1" applyFont="1" applyFill="1" applyAlignment="1">
      <alignment horizontal="left" vertical="center" indent="1"/>
    </xf>
    <xf numFmtId="0" fontId="10" fillId="0" borderId="0" xfId="0" applyFont="1" applyFill="1" applyBorder="1"/>
    <xf numFmtId="0" fontId="11" fillId="0" borderId="0" xfId="0" applyFont="1" applyFill="1" applyBorder="1" applyAlignment="1">
      <alignment vertical="center"/>
    </xf>
    <xf numFmtId="44" fontId="12" fillId="0" borderId="1" xfId="1" applyFont="1" applyFill="1" applyBorder="1" applyAlignment="1">
      <alignment horizontal="right" vertical="center"/>
    </xf>
    <xf numFmtId="44" fontId="11" fillId="0" borderId="0" xfId="1" applyFont="1" applyFill="1" applyBorder="1" applyAlignment="1" applyProtection="1">
      <alignment horizontal="right" vertical="center"/>
    </xf>
    <xf numFmtId="44" fontId="10" fillId="0" borderId="0" xfId="1" applyFont="1" applyFill="1" applyBorder="1" applyAlignment="1">
      <alignment horizontal="right" vertical="center" indent="1"/>
    </xf>
    <xf numFmtId="44" fontId="10" fillId="0" borderId="0" xfId="1" applyFont="1" applyFill="1" applyBorder="1" applyAlignment="1" applyProtection="1">
      <alignment horizontal="right" vertical="center"/>
    </xf>
    <xf numFmtId="0" fontId="11" fillId="0" borderId="0" xfId="0" applyFont="1" applyFill="1" applyAlignment="1">
      <alignment horizontal="center"/>
    </xf>
    <xf numFmtId="44" fontId="10" fillId="0" borderId="0" xfId="1" applyFont="1" applyFill="1" applyAlignment="1">
      <alignment horizontal="left"/>
    </xf>
    <xf numFmtId="44" fontId="10" fillId="0" borderId="0" xfId="1" applyFont="1" applyFill="1"/>
    <xf numFmtId="44" fontId="11" fillId="0" borderId="0" xfId="1" applyFont="1" applyFill="1" applyAlignment="1">
      <alignment horizontal="left" vertical="top"/>
    </xf>
    <xf numFmtId="44" fontId="11" fillId="0" borderId="0" xfId="1" applyFont="1" applyFill="1" applyAlignment="1">
      <alignment horizontal="left"/>
    </xf>
    <xf numFmtId="44" fontId="11" fillId="0" borderId="0" xfId="1" applyFont="1" applyFill="1" applyAlignment="1">
      <alignment horizontal="left" vertical="center"/>
    </xf>
    <xf numFmtId="0" fontId="13" fillId="0" borderId="0" xfId="0" applyFont="1" applyFill="1"/>
    <xf numFmtId="0" fontId="14" fillId="0" borderId="0" xfId="0" applyFont="1" applyFill="1"/>
    <xf numFmtId="44" fontId="14" fillId="0" borderId="0" xfId="1" applyFont="1" applyFill="1" applyAlignment="1">
      <alignment horizontal="left" vertical="center"/>
    </xf>
    <xf numFmtId="44" fontId="14" fillId="0" borderId="0" xfId="1" applyFont="1" applyFill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EAEAE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C37D8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AR"/>
  <c:chart>
    <c:title>
      <c:layout/>
      <c:txPr>
        <a:bodyPr/>
        <a:lstStyle/>
        <a:p>
          <a:pPr>
            <a:defRPr>
              <a:latin typeface="Calibri" pitchFamily="34" charset="0"/>
            </a:defRPr>
          </a:pPr>
          <a:endParaRPr lang="es-AR"/>
        </a:p>
      </c:txPr>
    </c:title>
    <c:plotArea>
      <c:layout/>
      <c:pieChart>
        <c:varyColors val="1"/>
        <c:ser>
          <c:idx val="0"/>
          <c:order val="0"/>
          <c:tx>
            <c:strRef>
              <c:f>'Planificado boda 2010'!$L$78</c:f>
              <c:strCache>
                <c:ptCount val="1"/>
                <c:pt idx="0">
                  <c:v>Proporción del gasto total</c:v>
                </c:pt>
              </c:strCache>
            </c:strRef>
          </c:tx>
          <c:dLbls>
            <c:dLbl>
              <c:idx val="1"/>
              <c:layout>
                <c:manualLayout>
                  <c:x val="7.0000000000000007E-2"/>
                  <c:y val="6.2597751929293968E-2"/>
                </c:manualLayout>
              </c:layout>
              <c:showCatName val="1"/>
              <c:showPercent val="1"/>
            </c:dLbl>
            <c:showCatName val="1"/>
            <c:showPercent val="1"/>
            <c:showLeaderLines val="1"/>
          </c:dLbls>
          <c:cat>
            <c:strRef>
              <c:f>'Planificado boda 2010'!$K$79:$K$88</c:f>
              <c:strCache>
                <c:ptCount val="10"/>
                <c:pt idx="0">
                  <c:v> Ropa </c:v>
                </c:pt>
                <c:pt idx="1">
                  <c:v> Decoraciones </c:v>
                </c:pt>
                <c:pt idx="2">
                  <c:v> Regalos </c:v>
                </c:pt>
                <c:pt idx="3">
                  <c:v> Flores </c:v>
                </c:pt>
                <c:pt idx="4">
                  <c:v> Música </c:v>
                </c:pt>
                <c:pt idx="5">
                  <c:v> Fotografía </c:v>
                </c:pt>
                <c:pt idx="6">
                  <c:v> Banquete </c:v>
                </c:pt>
                <c:pt idx="7">
                  <c:v> Papelería </c:v>
                </c:pt>
                <c:pt idx="8">
                  <c:v> Transporte </c:v>
                </c:pt>
                <c:pt idx="9">
                  <c:v> Otros </c:v>
                </c:pt>
              </c:strCache>
            </c:strRef>
          </c:cat>
          <c:val>
            <c:numRef>
              <c:f>'Planificado boda 2010'!$L$79:$L$88</c:f>
              <c:numCache>
                <c:formatCode>0%</c:formatCode>
                <c:ptCount val="1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</c:numCache>
            </c:numRef>
          </c:val>
        </c:ser>
        <c:dLbls>
          <c:showCatName val="1"/>
          <c:showPercent val="1"/>
        </c:dLbls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107157</xdr:colOff>
      <xdr:row>0</xdr:row>
      <xdr:rowOff>35720</xdr:rowOff>
    </xdr:from>
    <xdr:ext cx="4500565" cy="1119187"/>
    <xdr:sp macro="" textlink="">
      <xdr:nvSpPr>
        <xdr:cNvPr id="4" name="Rectangle 3"/>
        <xdr:cNvSpPr/>
      </xdr:nvSpPr>
      <xdr:spPr>
        <a:xfrm>
          <a:off x="107157" y="35720"/>
          <a:ext cx="4500565" cy="1119187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r" rtl="0">
            <a:defRPr sz="1000"/>
          </a:pPr>
          <a:r>
            <a:rPr lang="es-ES" sz="4800" b="0" i="0" u="none" strike="noStrike" baseline="0">
              <a:solidFill>
                <a:sysClr val="windowText" lastClr="000000"/>
              </a:solidFill>
              <a:latin typeface="Lucida Handwriting" pitchFamily="66" charset="0"/>
            </a:rPr>
            <a:t>Presupuesto</a:t>
          </a:r>
          <a:r>
            <a:rPr lang="es-ES" sz="6600" b="0" i="0" u="none" strike="noStrike" baseline="0">
              <a:solidFill>
                <a:srgbClr val="FFFFFF"/>
              </a:solidFill>
              <a:latin typeface="Edwardian Script ITC"/>
            </a:rPr>
            <a:t> </a:t>
          </a:r>
        </a:p>
      </xdr:txBody>
    </xdr:sp>
    <xdr:clientData/>
  </xdr:oneCellAnchor>
  <xdr:oneCellAnchor>
    <xdr:from>
      <xdr:col>2</xdr:col>
      <xdr:colOff>845344</xdr:colOff>
      <xdr:row>0</xdr:row>
      <xdr:rowOff>80963</xdr:rowOff>
    </xdr:from>
    <xdr:ext cx="7322344" cy="1119187"/>
    <xdr:sp macro="" textlink="">
      <xdr:nvSpPr>
        <xdr:cNvPr id="6" name="Rectangle 5"/>
        <xdr:cNvSpPr/>
      </xdr:nvSpPr>
      <xdr:spPr>
        <a:xfrm>
          <a:off x="4857750" y="80963"/>
          <a:ext cx="7322344" cy="1119187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 rtl="0">
            <a:defRPr sz="1000"/>
          </a:pPr>
          <a:r>
            <a:rPr lang="es-ES" sz="4800" b="0" i="0" u="none" strike="noStrike" baseline="0">
              <a:solidFill>
                <a:sysClr val="windowText" lastClr="000000"/>
              </a:solidFill>
              <a:latin typeface="Lucida Handwriting" pitchFamily="66" charset="0"/>
            </a:rPr>
            <a:t>para  Casamiento</a:t>
          </a:r>
        </a:p>
      </xdr:txBody>
    </xdr:sp>
    <xdr:clientData/>
  </xdr:oneCellAnchor>
  <xdr:twoCellAnchor>
    <xdr:from>
      <xdr:col>5</xdr:col>
      <xdr:colOff>1178719</xdr:colOff>
      <xdr:row>2</xdr:row>
      <xdr:rowOff>333375</xdr:rowOff>
    </xdr:from>
    <xdr:to>
      <xdr:col>8</xdr:col>
      <xdr:colOff>809625</xdr:colOff>
      <xdr:row>17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G78:H90" totalsRowShown="0" headerRowDxfId="14" headerRowCellStyle="Currency" dataCellStyle="Currency">
  <autoFilter ref="G78:H90"/>
  <tableColumns count="2">
    <tableColumn id="1" name="Categoría" dataDxfId="13" dataCellStyle="Currency"/>
    <tableColumn id="2" name="Importe" dataDxfId="12" dataCellStyle="Currency">
      <calculatedColumnFormula>C58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ummer">
  <a:themeElements>
    <a:clrScheme name="Apex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Summer">
      <a:majorFont>
        <a:latin typeface="Verdana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ajorFont>
      <a:minorFont>
        <a:latin typeface="Verdana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Summer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90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satMod val="120000"/>
                <a:lumMod val="110000"/>
              </a:schemeClr>
            </a:gs>
            <a:gs pos="100000">
              <a:schemeClr val="phClr">
                <a:shade val="90000"/>
                <a:lumMod val="90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88900" dist="38100" dir="5400000" algn="ctr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5400000"/>
            </a:lightRig>
          </a:scene3d>
          <a:sp3d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shade val="80000"/>
                <a:hueMod val="110000"/>
                <a:satMod val="120000"/>
              </a:schemeClr>
            </a:gs>
            <a:gs pos="100000">
              <a:schemeClr val="phClr">
                <a:shade val="60000"/>
                <a:hueMod val="40000"/>
                <a:satMod val="120000"/>
                <a:lumMod val="103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7000"/>
                <a:shade val="80000"/>
                <a:hueMod val="110000"/>
                <a:satMod val="130000"/>
                <a:lumMod val="100000"/>
              </a:schemeClr>
            </a:gs>
            <a:gs pos="100000">
              <a:schemeClr val="phClr">
                <a:shade val="60000"/>
                <a:hueMod val="40000"/>
                <a:satMod val="120000"/>
                <a:lumMod val="103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7"/>
  <sheetViews>
    <sheetView showGridLines="0" tabSelected="1" zoomScale="80" zoomScaleNormal="80" workbookViewId="0">
      <selection sqref="A1:I73"/>
    </sheetView>
  </sheetViews>
  <sheetFormatPr defaultRowHeight="12.75"/>
  <cols>
    <col min="1" max="1" width="39.7109375" style="2" customWidth="1"/>
    <col min="2" max="2" width="20.5703125" style="2" customWidth="1"/>
    <col min="3" max="3" width="18.5703125" style="2" customWidth="1"/>
    <col min="4" max="4" width="15.28515625" style="11" customWidth="1"/>
    <col min="5" max="5" width="6" style="2" customWidth="1"/>
    <col min="6" max="6" width="40.140625" style="2" customWidth="1"/>
    <col min="7" max="7" width="17.5703125" style="2" customWidth="1"/>
    <col min="8" max="8" width="16.42578125" style="2" customWidth="1"/>
    <col min="9" max="9" width="16.28515625" style="2" customWidth="1"/>
    <col min="10" max="10" width="9.140625" style="2"/>
    <col min="11" max="11" width="11.140625" style="2" customWidth="1"/>
    <col min="12" max="12" width="14" style="2" customWidth="1"/>
    <col min="13" max="16384" width="9.140625" style="2"/>
  </cols>
  <sheetData>
    <row r="1" spans="1:9" ht="90.75" customHeight="1">
      <c r="A1" s="18"/>
      <c r="B1" s="19"/>
      <c r="C1" s="19"/>
      <c r="D1" s="19"/>
      <c r="E1" s="19"/>
      <c r="F1" s="19"/>
      <c r="G1" s="19"/>
      <c r="H1" s="19"/>
      <c r="I1" s="19"/>
    </row>
    <row r="2" spans="1:9" s="3" customFormat="1" ht="39" customHeight="1">
      <c r="A2" s="22"/>
      <c r="B2" s="23" t="s">
        <v>2</v>
      </c>
      <c r="C2" s="23" t="s">
        <v>3</v>
      </c>
      <c r="D2" s="24" t="s">
        <v>88</v>
      </c>
      <c r="E2" s="25"/>
      <c r="F2" s="25"/>
      <c r="G2" s="25"/>
      <c r="H2" s="25"/>
      <c r="I2" s="25"/>
    </row>
    <row r="3" spans="1:9" ht="27" customHeight="1">
      <c r="A3" s="26" t="s">
        <v>4</v>
      </c>
      <c r="B3" s="27">
        <f>SUM(B19,G27,B29,G38,B37,G49,B51,G64,G73,B67)</f>
        <v>100</v>
      </c>
      <c r="C3" s="28">
        <f>SUM(C19,H27,C29,H38,C37,H49,C51,H64,H73,C67)</f>
        <v>100</v>
      </c>
      <c r="D3" s="29">
        <f>B3-C3</f>
        <v>0</v>
      </c>
      <c r="E3" s="30"/>
      <c r="F3" s="31"/>
      <c r="G3" s="31"/>
      <c r="H3" s="31"/>
      <c r="I3" s="31"/>
    </row>
    <row r="4" spans="1:9" ht="15.75" customHeight="1">
      <c r="A4" s="20"/>
      <c r="B4" s="21"/>
      <c r="C4" s="21"/>
      <c r="D4" s="32"/>
      <c r="E4" s="30"/>
      <c r="F4" s="30"/>
      <c r="G4" s="30"/>
      <c r="H4" s="30"/>
      <c r="I4" s="31"/>
    </row>
    <row r="5" spans="1:9" ht="18.75" customHeight="1">
      <c r="A5" s="30"/>
      <c r="B5" s="30"/>
      <c r="C5" s="30"/>
      <c r="D5" s="32"/>
      <c r="E5" s="30"/>
      <c r="F5" s="30"/>
      <c r="G5" s="30"/>
      <c r="H5" s="30"/>
      <c r="I5" s="31"/>
    </row>
    <row r="6" spans="1:9" ht="15" customHeight="1" thickBot="1">
      <c r="A6" s="33"/>
      <c r="B6" s="34" t="s">
        <v>2</v>
      </c>
      <c r="C6" s="34" t="s">
        <v>3</v>
      </c>
      <c r="D6" s="35" t="s">
        <v>88</v>
      </c>
      <c r="E6" s="30"/>
      <c r="F6" s="31"/>
      <c r="G6" s="31"/>
      <c r="H6" s="31"/>
      <c r="I6" s="31"/>
    </row>
    <row r="7" spans="1:9" ht="15" customHeight="1">
      <c r="A7" s="36" t="s">
        <v>5</v>
      </c>
      <c r="B7" s="37"/>
      <c r="C7" s="37"/>
      <c r="D7" s="32"/>
      <c r="E7" s="38"/>
      <c r="F7" s="31"/>
      <c r="G7" s="31"/>
      <c r="H7" s="31"/>
      <c r="I7" s="31"/>
    </row>
    <row r="8" spans="1:9" s="5" customFormat="1" ht="15" customHeight="1">
      <c r="A8" s="39" t="s">
        <v>6</v>
      </c>
      <c r="B8" s="40">
        <v>10</v>
      </c>
      <c r="C8" s="41">
        <v>10</v>
      </c>
      <c r="D8" s="42">
        <f>B8-C8</f>
        <v>0</v>
      </c>
      <c r="E8" s="38"/>
      <c r="F8" s="43"/>
      <c r="G8" s="43"/>
      <c r="H8" s="43"/>
      <c r="I8" s="43"/>
    </row>
    <row r="9" spans="1:9" s="5" customFormat="1" ht="15" customHeight="1">
      <c r="A9" s="39" t="s">
        <v>7</v>
      </c>
      <c r="B9" s="40">
        <v>0</v>
      </c>
      <c r="C9" s="41">
        <v>0</v>
      </c>
      <c r="D9" s="42">
        <f t="shared" ref="D9:D19" si="0">B9-C9</f>
        <v>0</v>
      </c>
      <c r="E9" s="38"/>
      <c r="F9" s="43"/>
      <c r="G9" s="43"/>
      <c r="H9" s="43"/>
      <c r="I9" s="43"/>
    </row>
    <row r="10" spans="1:9" s="5" customFormat="1" ht="15" customHeight="1">
      <c r="A10" s="44" t="s">
        <v>8</v>
      </c>
      <c r="B10" s="40">
        <v>0</v>
      </c>
      <c r="C10" s="41">
        <v>0</v>
      </c>
      <c r="D10" s="42">
        <f t="shared" si="0"/>
        <v>0</v>
      </c>
      <c r="E10" s="38"/>
      <c r="F10" s="43"/>
      <c r="G10" s="43"/>
      <c r="H10" s="43"/>
      <c r="I10" s="43"/>
    </row>
    <row r="11" spans="1:9" s="5" customFormat="1" ht="15" customHeight="1">
      <c r="A11" s="44" t="s">
        <v>9</v>
      </c>
      <c r="B11" s="40">
        <v>0</v>
      </c>
      <c r="C11" s="41">
        <v>0</v>
      </c>
      <c r="D11" s="42">
        <f t="shared" si="0"/>
        <v>0</v>
      </c>
      <c r="E11" s="38"/>
      <c r="F11" s="43"/>
      <c r="G11" s="43"/>
      <c r="H11" s="43"/>
      <c r="I11" s="43"/>
    </row>
    <row r="12" spans="1:9" s="5" customFormat="1" ht="15" customHeight="1">
      <c r="A12" s="44" t="s">
        <v>10</v>
      </c>
      <c r="B12" s="40">
        <v>0</v>
      </c>
      <c r="C12" s="41">
        <v>0</v>
      </c>
      <c r="D12" s="42">
        <f t="shared" si="0"/>
        <v>0</v>
      </c>
      <c r="E12" s="38"/>
      <c r="F12" s="43"/>
      <c r="G12" s="43"/>
      <c r="H12" s="43"/>
      <c r="I12" s="43"/>
    </row>
    <row r="13" spans="1:9" s="5" customFormat="1" ht="15" customHeight="1">
      <c r="A13" s="44" t="s">
        <v>11</v>
      </c>
      <c r="B13" s="40">
        <v>0</v>
      </c>
      <c r="C13" s="41">
        <v>0</v>
      </c>
      <c r="D13" s="42">
        <f t="shared" si="0"/>
        <v>0</v>
      </c>
      <c r="E13" s="38"/>
      <c r="F13" s="43"/>
      <c r="G13" s="43"/>
      <c r="H13" s="43"/>
      <c r="I13" s="43"/>
    </row>
    <row r="14" spans="1:9" s="5" customFormat="1" ht="15" customHeight="1">
      <c r="A14" s="44" t="s">
        <v>12</v>
      </c>
      <c r="B14" s="40">
        <v>0</v>
      </c>
      <c r="C14" s="41">
        <v>0</v>
      </c>
      <c r="D14" s="42">
        <f t="shared" si="0"/>
        <v>0</v>
      </c>
      <c r="E14" s="38"/>
      <c r="F14" s="43"/>
      <c r="G14" s="43"/>
      <c r="H14" s="43"/>
      <c r="I14" s="43"/>
    </row>
    <row r="15" spans="1:9" s="5" customFormat="1" ht="15" customHeight="1">
      <c r="A15" s="44" t="s">
        <v>13</v>
      </c>
      <c r="B15" s="40">
        <v>0</v>
      </c>
      <c r="C15" s="41">
        <v>0</v>
      </c>
      <c r="D15" s="42">
        <f t="shared" si="0"/>
        <v>0</v>
      </c>
      <c r="E15" s="38"/>
      <c r="F15" s="43"/>
      <c r="G15" s="43"/>
      <c r="H15" s="43"/>
      <c r="I15" s="43"/>
    </row>
    <row r="16" spans="1:9" s="5" customFormat="1" ht="15" customHeight="1">
      <c r="A16" s="44" t="s">
        <v>14</v>
      </c>
      <c r="B16" s="40">
        <v>0</v>
      </c>
      <c r="C16" s="41">
        <v>0</v>
      </c>
      <c r="D16" s="42">
        <f t="shared" si="0"/>
        <v>0</v>
      </c>
      <c r="E16" s="38"/>
      <c r="F16" s="43"/>
      <c r="G16" s="43"/>
      <c r="H16" s="43"/>
      <c r="I16" s="43"/>
    </row>
    <row r="17" spans="1:9" s="5" customFormat="1" ht="15" customHeight="1">
      <c r="A17" s="44" t="s">
        <v>15</v>
      </c>
      <c r="B17" s="40">
        <v>0</v>
      </c>
      <c r="C17" s="41">
        <v>0</v>
      </c>
      <c r="D17" s="42">
        <f t="shared" si="0"/>
        <v>0</v>
      </c>
      <c r="E17" s="38"/>
      <c r="F17" s="43"/>
      <c r="G17" s="43"/>
      <c r="H17" s="43"/>
      <c r="I17" s="43"/>
    </row>
    <row r="18" spans="1:9" s="5" customFormat="1" ht="15" customHeight="1">
      <c r="A18" s="44" t="s">
        <v>16</v>
      </c>
      <c r="B18" s="45">
        <v>0</v>
      </c>
      <c r="C18" s="41">
        <v>0</v>
      </c>
      <c r="D18" s="42">
        <f t="shared" si="0"/>
        <v>0</v>
      </c>
      <c r="E18" s="46"/>
      <c r="F18" s="43"/>
      <c r="G18" s="43"/>
      <c r="H18" s="43"/>
      <c r="I18" s="43"/>
    </row>
    <row r="19" spans="1:9" s="5" customFormat="1" ht="19.5" customHeight="1" thickBot="1">
      <c r="A19" s="36" t="s">
        <v>17</v>
      </c>
      <c r="B19" s="47">
        <f>SUM(B8:B18)</f>
        <v>10</v>
      </c>
      <c r="C19" s="48">
        <f>SUM(C8:C18)</f>
        <v>10</v>
      </c>
      <c r="D19" s="49">
        <f t="shared" si="0"/>
        <v>0</v>
      </c>
      <c r="E19" s="46"/>
      <c r="F19" s="33"/>
      <c r="G19" s="34" t="s">
        <v>2</v>
      </c>
      <c r="H19" s="34" t="s">
        <v>3</v>
      </c>
      <c r="I19" s="35" t="s">
        <v>88</v>
      </c>
    </row>
    <row r="20" spans="1:9" ht="17.100000000000001" customHeight="1">
      <c r="A20" s="50"/>
      <c r="B20" s="51"/>
      <c r="C20" s="51"/>
      <c r="D20" s="52"/>
      <c r="E20" s="31"/>
      <c r="F20" s="53" t="s">
        <v>46</v>
      </c>
      <c r="G20" s="37"/>
      <c r="H20" s="37"/>
      <c r="I20" s="32"/>
    </row>
    <row r="21" spans="1:9" ht="15" customHeight="1">
      <c r="A21" s="31"/>
      <c r="B21" s="54"/>
      <c r="C21" s="54"/>
      <c r="D21" s="55"/>
      <c r="E21" s="31"/>
      <c r="F21" s="39" t="s">
        <v>89</v>
      </c>
      <c r="G21" s="40">
        <v>10</v>
      </c>
      <c r="H21" s="41">
        <v>10</v>
      </c>
      <c r="I21" s="42">
        <f>G21-H21</f>
        <v>0</v>
      </c>
    </row>
    <row r="22" spans="1:9" ht="15" customHeight="1" thickBot="1">
      <c r="A22" s="33"/>
      <c r="B22" s="56" t="s">
        <v>2</v>
      </c>
      <c r="C22" s="56" t="s">
        <v>3</v>
      </c>
      <c r="D22" s="57" t="s">
        <v>88</v>
      </c>
      <c r="E22" s="31"/>
      <c r="F22" s="44" t="s">
        <v>47</v>
      </c>
      <c r="G22" s="40">
        <v>0</v>
      </c>
      <c r="H22" s="40">
        <v>0</v>
      </c>
      <c r="I22" s="42">
        <f t="shared" ref="I22:I27" si="1">G22-H22</f>
        <v>0</v>
      </c>
    </row>
    <row r="23" spans="1:9" ht="15" customHeight="1">
      <c r="A23" s="36" t="s">
        <v>18</v>
      </c>
      <c r="B23" s="58"/>
      <c r="C23" s="58"/>
      <c r="D23" s="52"/>
      <c r="E23" s="31"/>
      <c r="F23" s="44" t="s">
        <v>48</v>
      </c>
      <c r="G23" s="40">
        <v>0</v>
      </c>
      <c r="H23" s="40">
        <v>0</v>
      </c>
      <c r="I23" s="42">
        <f t="shared" si="1"/>
        <v>0</v>
      </c>
    </row>
    <row r="24" spans="1:9" ht="15" customHeight="1">
      <c r="A24" s="44" t="s">
        <v>19</v>
      </c>
      <c r="B24" s="40">
        <v>10</v>
      </c>
      <c r="C24" s="41">
        <v>10</v>
      </c>
      <c r="D24" s="42">
        <f t="shared" ref="D24:D29" si="2">B24-C24</f>
        <v>0</v>
      </c>
      <c r="E24" s="31"/>
      <c r="F24" s="44" t="s">
        <v>49</v>
      </c>
      <c r="G24" s="40">
        <v>0</v>
      </c>
      <c r="H24" s="40">
        <v>0</v>
      </c>
      <c r="I24" s="42">
        <f t="shared" si="1"/>
        <v>0</v>
      </c>
    </row>
    <row r="25" spans="1:9" ht="15" customHeight="1">
      <c r="A25" s="44" t="s">
        <v>20</v>
      </c>
      <c r="B25" s="40">
        <v>0</v>
      </c>
      <c r="C25" s="40">
        <v>0</v>
      </c>
      <c r="D25" s="42">
        <f t="shared" si="2"/>
        <v>0</v>
      </c>
      <c r="E25" s="31"/>
      <c r="F25" s="44" t="s">
        <v>50</v>
      </c>
      <c r="G25" s="40">
        <v>0</v>
      </c>
      <c r="H25" s="40">
        <v>0</v>
      </c>
      <c r="I25" s="42">
        <f t="shared" si="1"/>
        <v>0</v>
      </c>
    </row>
    <row r="26" spans="1:9" ht="15" customHeight="1">
      <c r="A26" s="44" t="s">
        <v>21</v>
      </c>
      <c r="B26" s="40">
        <v>0</v>
      </c>
      <c r="C26" s="40">
        <v>0</v>
      </c>
      <c r="D26" s="42">
        <f t="shared" si="2"/>
        <v>0</v>
      </c>
      <c r="E26" s="31"/>
      <c r="F26" s="44" t="s">
        <v>23</v>
      </c>
      <c r="G26" s="40">
        <v>0</v>
      </c>
      <c r="H26" s="40">
        <v>0</v>
      </c>
      <c r="I26" s="42">
        <f t="shared" si="1"/>
        <v>0</v>
      </c>
    </row>
    <row r="27" spans="1:9" ht="15" customHeight="1">
      <c r="A27" s="44" t="s">
        <v>22</v>
      </c>
      <c r="B27" s="40">
        <v>0</v>
      </c>
      <c r="C27" s="40">
        <v>0</v>
      </c>
      <c r="D27" s="42">
        <f t="shared" si="2"/>
        <v>0</v>
      </c>
      <c r="E27" s="31"/>
      <c r="F27" s="36" t="s">
        <v>51</v>
      </c>
      <c r="G27" s="59">
        <f>SUM(G21:G26)</f>
        <v>10</v>
      </c>
      <c r="H27" s="48">
        <f>SUM(H21:H26)</f>
        <v>10</v>
      </c>
      <c r="I27" s="49">
        <f t="shared" si="1"/>
        <v>0</v>
      </c>
    </row>
    <row r="28" spans="1:9" ht="15" customHeight="1">
      <c r="A28" s="44" t="s">
        <v>23</v>
      </c>
      <c r="B28" s="40">
        <v>0</v>
      </c>
      <c r="C28" s="40">
        <v>0</v>
      </c>
      <c r="D28" s="42">
        <f t="shared" si="2"/>
        <v>0</v>
      </c>
      <c r="E28" s="31"/>
      <c r="F28" s="38"/>
      <c r="G28" s="60"/>
      <c r="H28" s="61"/>
      <c r="I28" s="62"/>
    </row>
    <row r="29" spans="1:9" ht="19.5" customHeight="1">
      <c r="A29" s="36" t="s">
        <v>24</v>
      </c>
      <c r="B29" s="47">
        <f>SUM(B24:B28)</f>
        <v>10</v>
      </c>
      <c r="C29" s="48">
        <f>SUM(C24:C28)</f>
        <v>10</v>
      </c>
      <c r="D29" s="49">
        <f t="shared" si="2"/>
        <v>0</v>
      </c>
      <c r="E29" s="31"/>
      <c r="F29" s="38"/>
      <c r="G29" s="60"/>
      <c r="H29" s="61"/>
      <c r="I29" s="62"/>
    </row>
    <row r="30" spans="1:9" ht="17.100000000000001" customHeight="1" thickBot="1">
      <c r="A30" s="50"/>
      <c r="B30" s="51"/>
      <c r="C30" s="51"/>
      <c r="D30" s="52"/>
      <c r="E30" s="31"/>
      <c r="F30" s="30"/>
      <c r="G30" s="56" t="s">
        <v>2</v>
      </c>
      <c r="H30" s="56" t="s">
        <v>3</v>
      </c>
      <c r="I30" s="57" t="s">
        <v>88</v>
      </c>
    </row>
    <row r="31" spans="1:9" ht="15" customHeight="1">
      <c r="A31" s="31"/>
      <c r="B31" s="54"/>
      <c r="C31" s="54"/>
      <c r="D31" s="55"/>
      <c r="E31" s="31"/>
      <c r="F31" s="53" t="s">
        <v>52</v>
      </c>
      <c r="G31" s="58"/>
      <c r="H31" s="58"/>
      <c r="I31" s="52"/>
    </row>
    <row r="32" spans="1:9" ht="15" customHeight="1" thickBot="1">
      <c r="A32" s="30"/>
      <c r="B32" s="56" t="s">
        <v>2</v>
      </c>
      <c r="C32" s="56" t="s">
        <v>3</v>
      </c>
      <c r="D32" s="57" t="s">
        <v>88</v>
      </c>
      <c r="E32" s="31"/>
      <c r="F32" s="44" t="s">
        <v>53</v>
      </c>
      <c r="G32" s="40">
        <v>10</v>
      </c>
      <c r="H32" s="41">
        <v>10</v>
      </c>
      <c r="I32" s="42">
        <f t="shared" ref="I32:I38" si="3">G32-H32</f>
        <v>0</v>
      </c>
    </row>
    <row r="33" spans="1:9" ht="15" customHeight="1">
      <c r="A33" s="53" t="s">
        <v>26</v>
      </c>
      <c r="B33" s="58"/>
      <c r="C33" s="58"/>
      <c r="D33" s="52"/>
      <c r="E33" s="31"/>
      <c r="F33" s="44" t="s">
        <v>54</v>
      </c>
      <c r="G33" s="40">
        <v>0</v>
      </c>
      <c r="H33" s="40">
        <v>0</v>
      </c>
      <c r="I33" s="42">
        <f t="shared" si="3"/>
        <v>0</v>
      </c>
    </row>
    <row r="34" spans="1:9" ht="15" customHeight="1">
      <c r="A34" s="39" t="s">
        <v>25</v>
      </c>
      <c r="B34" s="40">
        <v>10</v>
      </c>
      <c r="C34" s="41">
        <v>10</v>
      </c>
      <c r="D34" s="42">
        <f>B34-C34</f>
        <v>0</v>
      </c>
      <c r="E34" s="31"/>
      <c r="F34" s="44" t="s">
        <v>58</v>
      </c>
      <c r="G34" s="40">
        <v>0</v>
      </c>
      <c r="H34" s="40">
        <v>0</v>
      </c>
      <c r="I34" s="42">
        <f t="shared" si="3"/>
        <v>0</v>
      </c>
    </row>
    <row r="35" spans="1:9" ht="15" customHeight="1">
      <c r="A35" s="44" t="s">
        <v>27</v>
      </c>
      <c r="B35" s="40">
        <v>0</v>
      </c>
      <c r="C35" s="40">
        <v>0</v>
      </c>
      <c r="D35" s="42">
        <f>B35-C35</f>
        <v>0</v>
      </c>
      <c r="E35" s="31"/>
      <c r="F35" s="44" t="s">
        <v>55</v>
      </c>
      <c r="G35" s="40">
        <v>0</v>
      </c>
      <c r="H35" s="40">
        <v>0</v>
      </c>
      <c r="I35" s="42">
        <f t="shared" si="3"/>
        <v>0</v>
      </c>
    </row>
    <row r="36" spans="1:9" ht="15" customHeight="1">
      <c r="A36" s="44" t="s">
        <v>23</v>
      </c>
      <c r="B36" s="40">
        <v>0</v>
      </c>
      <c r="C36" s="40">
        <v>0</v>
      </c>
      <c r="D36" s="42">
        <f>B36-C36</f>
        <v>0</v>
      </c>
      <c r="E36" s="31"/>
      <c r="F36" s="44" t="s">
        <v>56</v>
      </c>
      <c r="G36" s="40">
        <v>0</v>
      </c>
      <c r="H36" s="40">
        <v>0</v>
      </c>
      <c r="I36" s="42">
        <f t="shared" si="3"/>
        <v>0</v>
      </c>
    </row>
    <row r="37" spans="1:9" ht="15" customHeight="1">
      <c r="A37" s="36" t="s">
        <v>28</v>
      </c>
      <c r="B37" s="47">
        <f>SUM(B34:B36)</f>
        <v>10</v>
      </c>
      <c r="C37" s="48">
        <f>SUM(C34:C36)</f>
        <v>10</v>
      </c>
      <c r="D37" s="49">
        <f>B37-C37</f>
        <v>0</v>
      </c>
      <c r="E37" s="31"/>
      <c r="F37" s="44" t="s">
        <v>23</v>
      </c>
      <c r="G37" s="40">
        <v>0</v>
      </c>
      <c r="H37" s="40">
        <v>0</v>
      </c>
      <c r="I37" s="42">
        <f t="shared" si="3"/>
        <v>0</v>
      </c>
    </row>
    <row r="38" spans="1:9" ht="19.5" customHeight="1">
      <c r="A38" s="31"/>
      <c r="B38" s="54"/>
      <c r="C38" s="54"/>
      <c r="D38" s="55"/>
      <c r="E38" s="31"/>
      <c r="F38" s="36" t="s">
        <v>57</v>
      </c>
      <c r="G38" s="47">
        <f>SUM(G32:G37)</f>
        <v>10</v>
      </c>
      <c r="H38" s="48">
        <f>SUM(H32:H37)</f>
        <v>10</v>
      </c>
      <c r="I38" s="49">
        <f t="shared" si="3"/>
        <v>0</v>
      </c>
    </row>
    <row r="39" spans="1:9" ht="17.100000000000001" customHeight="1">
      <c r="A39" s="50"/>
      <c r="B39" s="51"/>
      <c r="C39" s="51"/>
      <c r="D39" s="52"/>
      <c r="E39" s="31"/>
      <c r="F39" s="31"/>
      <c r="G39" s="54"/>
      <c r="H39" s="54"/>
      <c r="I39" s="54"/>
    </row>
    <row r="40" spans="1:9" ht="15" customHeight="1" thickBot="1">
      <c r="A40" s="30"/>
      <c r="B40" s="56" t="s">
        <v>2</v>
      </c>
      <c r="C40" s="56" t="s">
        <v>3</v>
      </c>
      <c r="D40" s="57" t="s">
        <v>88</v>
      </c>
      <c r="E40" s="31"/>
      <c r="F40" s="31"/>
      <c r="G40" s="54"/>
      <c r="H40" s="54"/>
      <c r="I40" s="54"/>
    </row>
    <row r="41" spans="1:9" ht="15" customHeight="1" thickBot="1">
      <c r="A41" s="53" t="s">
        <v>90</v>
      </c>
      <c r="B41" s="58"/>
      <c r="C41" s="58"/>
      <c r="D41" s="52"/>
      <c r="E41" s="31"/>
      <c r="F41" s="30"/>
      <c r="G41" s="56" t="s">
        <v>2</v>
      </c>
      <c r="H41" s="56" t="s">
        <v>3</v>
      </c>
      <c r="I41" s="57" t="s">
        <v>88</v>
      </c>
    </row>
    <row r="42" spans="1:9" ht="15" customHeight="1">
      <c r="A42" s="39" t="s">
        <v>29</v>
      </c>
      <c r="B42" s="40">
        <v>10</v>
      </c>
      <c r="C42" s="41">
        <v>10</v>
      </c>
      <c r="D42" s="42">
        <f>B42-C42</f>
        <v>0</v>
      </c>
      <c r="E42" s="31"/>
      <c r="F42" s="53" t="s">
        <v>59</v>
      </c>
      <c r="G42" s="58"/>
      <c r="H42" s="58"/>
      <c r="I42" s="52"/>
    </row>
    <row r="43" spans="1:9" ht="15" customHeight="1">
      <c r="A43" s="39" t="s">
        <v>30</v>
      </c>
      <c r="B43" s="40">
        <v>0</v>
      </c>
      <c r="C43" s="40">
        <v>0</v>
      </c>
      <c r="D43" s="42">
        <f t="shared" ref="D43:D51" si="4">B43-C43</f>
        <v>0</v>
      </c>
      <c r="E43" s="31"/>
      <c r="F43" s="44" t="s">
        <v>86</v>
      </c>
      <c r="G43" s="40">
        <v>10</v>
      </c>
      <c r="H43" s="41">
        <v>10</v>
      </c>
      <c r="I43" s="42">
        <f t="shared" ref="I43:I49" si="5">G43-H43</f>
        <v>0</v>
      </c>
    </row>
    <row r="44" spans="1:9" ht="15" customHeight="1">
      <c r="A44" s="44" t="s">
        <v>31</v>
      </c>
      <c r="B44" s="40">
        <v>0</v>
      </c>
      <c r="C44" s="40">
        <v>0</v>
      </c>
      <c r="D44" s="42">
        <f t="shared" si="4"/>
        <v>0</v>
      </c>
      <c r="E44" s="31"/>
      <c r="F44" s="44" t="s">
        <v>87</v>
      </c>
      <c r="G44" s="40">
        <v>0</v>
      </c>
      <c r="H44" s="40">
        <v>0</v>
      </c>
      <c r="I44" s="42">
        <f t="shared" si="5"/>
        <v>0</v>
      </c>
    </row>
    <row r="45" spans="1:9" ht="15" customHeight="1">
      <c r="A45" s="44" t="s">
        <v>32</v>
      </c>
      <c r="B45" s="40">
        <v>0</v>
      </c>
      <c r="C45" s="40">
        <v>0</v>
      </c>
      <c r="D45" s="42">
        <f t="shared" si="4"/>
        <v>0</v>
      </c>
      <c r="E45" s="31"/>
      <c r="F45" s="44" t="s">
        <v>60</v>
      </c>
      <c r="G45" s="40">
        <v>0</v>
      </c>
      <c r="H45" s="40">
        <v>0</v>
      </c>
      <c r="I45" s="42">
        <f t="shared" si="5"/>
        <v>0</v>
      </c>
    </row>
    <row r="46" spans="1:9" ht="15" customHeight="1">
      <c r="A46" s="44" t="s">
        <v>33</v>
      </c>
      <c r="B46" s="40">
        <v>0</v>
      </c>
      <c r="C46" s="40">
        <v>0</v>
      </c>
      <c r="D46" s="42">
        <f t="shared" si="4"/>
        <v>0</v>
      </c>
      <c r="E46" s="31"/>
      <c r="F46" s="44" t="s">
        <v>61</v>
      </c>
      <c r="G46" s="40">
        <v>0</v>
      </c>
      <c r="H46" s="40">
        <v>0</v>
      </c>
      <c r="I46" s="42">
        <f t="shared" si="5"/>
        <v>0</v>
      </c>
    </row>
    <row r="47" spans="1:9" ht="15" customHeight="1">
      <c r="A47" s="44" t="s">
        <v>34</v>
      </c>
      <c r="B47" s="40">
        <v>0</v>
      </c>
      <c r="C47" s="40">
        <v>0</v>
      </c>
      <c r="D47" s="42">
        <f t="shared" si="4"/>
        <v>0</v>
      </c>
      <c r="E47" s="31"/>
      <c r="F47" s="44" t="s">
        <v>62</v>
      </c>
      <c r="G47" s="40">
        <v>0</v>
      </c>
      <c r="H47" s="40">
        <v>0</v>
      </c>
      <c r="I47" s="42">
        <f t="shared" si="5"/>
        <v>0</v>
      </c>
    </row>
    <row r="48" spans="1:9" ht="19.5" customHeight="1">
      <c r="A48" s="44" t="s">
        <v>35</v>
      </c>
      <c r="B48" s="40">
        <v>0</v>
      </c>
      <c r="C48" s="40">
        <v>0</v>
      </c>
      <c r="D48" s="42">
        <f t="shared" si="4"/>
        <v>0</v>
      </c>
      <c r="E48" s="31"/>
      <c r="F48" s="44" t="s">
        <v>63</v>
      </c>
      <c r="G48" s="40">
        <v>0</v>
      </c>
      <c r="H48" s="40">
        <v>0</v>
      </c>
      <c r="I48" s="42">
        <f t="shared" si="5"/>
        <v>0</v>
      </c>
    </row>
    <row r="49" spans="1:9" ht="17.100000000000001" customHeight="1">
      <c r="A49" s="44" t="s">
        <v>36</v>
      </c>
      <c r="B49" s="40">
        <v>0</v>
      </c>
      <c r="C49" s="40">
        <v>0</v>
      </c>
      <c r="D49" s="42">
        <f t="shared" si="4"/>
        <v>0</v>
      </c>
      <c r="E49" s="31"/>
      <c r="F49" s="36" t="s">
        <v>64</v>
      </c>
      <c r="G49" s="47">
        <f>SUM(G43:G48)</f>
        <v>10</v>
      </c>
      <c r="H49" s="48">
        <f>SUM(H43:H48)</f>
        <v>10</v>
      </c>
      <c r="I49" s="49">
        <f t="shared" si="5"/>
        <v>0</v>
      </c>
    </row>
    <row r="50" spans="1:9" ht="15" customHeight="1">
      <c r="A50" s="44" t="s">
        <v>23</v>
      </c>
      <c r="B50" s="40">
        <v>0</v>
      </c>
      <c r="C50" s="40">
        <v>0</v>
      </c>
      <c r="D50" s="42">
        <f t="shared" si="4"/>
        <v>0</v>
      </c>
      <c r="E50" s="31"/>
      <c r="F50" s="31"/>
      <c r="G50" s="54"/>
      <c r="H50" s="54"/>
      <c r="I50" s="54"/>
    </row>
    <row r="51" spans="1:9" ht="15" customHeight="1">
      <c r="A51" s="36" t="s">
        <v>37</v>
      </c>
      <c r="B51" s="47">
        <f>SUM(B42:B50)</f>
        <v>10</v>
      </c>
      <c r="C51" s="48">
        <f>SUM(C42:C50)</f>
        <v>10</v>
      </c>
      <c r="D51" s="49">
        <f t="shared" si="4"/>
        <v>0</v>
      </c>
      <c r="E51" s="31"/>
      <c r="F51" s="31"/>
      <c r="G51" s="54"/>
      <c r="H51" s="54"/>
      <c r="I51" s="54"/>
    </row>
    <row r="52" spans="1:9" ht="15" customHeight="1" thickBot="1">
      <c r="A52" s="31"/>
      <c r="B52" s="54"/>
      <c r="C52" s="54"/>
      <c r="D52" s="55"/>
      <c r="E52" s="31"/>
      <c r="F52" s="63"/>
      <c r="G52" s="56" t="s">
        <v>2</v>
      </c>
      <c r="H52" s="56" t="s">
        <v>3</v>
      </c>
      <c r="I52" s="57" t="s">
        <v>88</v>
      </c>
    </row>
    <row r="53" spans="1:9" ht="15" customHeight="1">
      <c r="A53" s="31"/>
      <c r="B53" s="54"/>
      <c r="C53" s="54"/>
      <c r="D53" s="55"/>
      <c r="E53" s="31"/>
      <c r="F53" s="53" t="s">
        <v>65</v>
      </c>
      <c r="G53" s="58"/>
      <c r="H53" s="58"/>
      <c r="I53" s="52"/>
    </row>
    <row r="54" spans="1:9" ht="15" customHeight="1" thickBot="1">
      <c r="A54" s="64"/>
      <c r="B54" s="65" t="s">
        <v>2</v>
      </c>
      <c r="C54" s="65" t="s">
        <v>3</v>
      </c>
      <c r="D54" s="65" t="s">
        <v>88</v>
      </c>
      <c r="E54" s="31"/>
      <c r="F54" s="44" t="s">
        <v>66</v>
      </c>
      <c r="G54" s="40">
        <v>10</v>
      </c>
      <c r="H54" s="41">
        <v>10</v>
      </c>
      <c r="I54" s="42">
        <f t="shared" ref="I54:I64" si="6">G54-H54</f>
        <v>0</v>
      </c>
    </row>
    <row r="55" spans="1:9" ht="19.5" customHeight="1">
      <c r="A55" s="53" t="s">
        <v>38</v>
      </c>
      <c r="B55" s="66"/>
      <c r="C55" s="66"/>
      <c r="D55" s="52"/>
      <c r="E55" s="31"/>
      <c r="F55" s="44" t="s">
        <v>67</v>
      </c>
      <c r="G55" s="40">
        <v>0</v>
      </c>
      <c r="H55" s="40">
        <v>0</v>
      </c>
      <c r="I55" s="42">
        <f t="shared" si="6"/>
        <v>0</v>
      </c>
    </row>
    <row r="56" spans="1:9" ht="17.100000000000001" customHeight="1">
      <c r="A56" s="39" t="s">
        <v>39</v>
      </c>
      <c r="B56" s="40">
        <v>10</v>
      </c>
      <c r="C56" s="41">
        <v>10</v>
      </c>
      <c r="D56" s="42">
        <f t="shared" ref="D56:D67" si="7">B56-C56</f>
        <v>0</v>
      </c>
      <c r="E56" s="31"/>
      <c r="F56" s="44" t="s">
        <v>68</v>
      </c>
      <c r="G56" s="40">
        <v>0</v>
      </c>
      <c r="H56" s="40">
        <v>0</v>
      </c>
      <c r="I56" s="42">
        <f t="shared" si="6"/>
        <v>0</v>
      </c>
    </row>
    <row r="57" spans="1:9" ht="15" customHeight="1">
      <c r="A57" s="44" t="s">
        <v>40</v>
      </c>
      <c r="B57" s="40">
        <v>0</v>
      </c>
      <c r="C57" s="40">
        <v>0</v>
      </c>
      <c r="D57" s="42">
        <f t="shared" si="7"/>
        <v>0</v>
      </c>
      <c r="E57" s="31"/>
      <c r="F57" s="44" t="s">
        <v>69</v>
      </c>
      <c r="G57" s="40">
        <v>0</v>
      </c>
      <c r="H57" s="40">
        <v>0</v>
      </c>
      <c r="I57" s="42">
        <f t="shared" si="6"/>
        <v>0</v>
      </c>
    </row>
    <row r="58" spans="1:9" ht="15" customHeight="1">
      <c r="A58" s="39" t="s">
        <v>41</v>
      </c>
      <c r="B58" s="40">
        <v>0</v>
      </c>
      <c r="C58" s="40">
        <v>0</v>
      </c>
      <c r="D58" s="42">
        <f t="shared" si="7"/>
        <v>0</v>
      </c>
      <c r="E58" s="31"/>
      <c r="F58" s="44" t="s">
        <v>70</v>
      </c>
      <c r="G58" s="40">
        <v>0</v>
      </c>
      <c r="H58" s="40">
        <v>0</v>
      </c>
      <c r="I58" s="42">
        <f t="shared" si="6"/>
        <v>0</v>
      </c>
    </row>
    <row r="59" spans="1:9" ht="15" customHeight="1">
      <c r="A59" s="44" t="s">
        <v>91</v>
      </c>
      <c r="B59" s="40">
        <v>0</v>
      </c>
      <c r="C59" s="40">
        <v>0</v>
      </c>
      <c r="D59" s="42">
        <f t="shared" si="7"/>
        <v>0</v>
      </c>
      <c r="E59" s="31"/>
      <c r="F59" s="44" t="s">
        <v>71</v>
      </c>
      <c r="G59" s="40">
        <v>0</v>
      </c>
      <c r="H59" s="40">
        <v>0</v>
      </c>
      <c r="I59" s="42">
        <f t="shared" si="6"/>
        <v>0</v>
      </c>
    </row>
    <row r="60" spans="1:9" ht="15" customHeight="1">
      <c r="A60" s="44" t="s">
        <v>83</v>
      </c>
      <c r="B60" s="40">
        <v>0</v>
      </c>
      <c r="C60" s="40">
        <v>0</v>
      </c>
      <c r="D60" s="42">
        <f t="shared" si="7"/>
        <v>0</v>
      </c>
      <c r="E60" s="31"/>
      <c r="F60" s="44" t="s">
        <v>72</v>
      </c>
      <c r="G60" s="40">
        <v>0</v>
      </c>
      <c r="H60" s="40">
        <v>0</v>
      </c>
      <c r="I60" s="42">
        <f t="shared" si="6"/>
        <v>0</v>
      </c>
    </row>
    <row r="61" spans="1:9" ht="15" customHeight="1">
      <c r="A61" s="44" t="s">
        <v>84</v>
      </c>
      <c r="B61" s="40">
        <v>0</v>
      </c>
      <c r="C61" s="40">
        <v>0</v>
      </c>
      <c r="D61" s="42">
        <f t="shared" si="7"/>
        <v>0</v>
      </c>
      <c r="E61" s="31"/>
      <c r="F61" s="44" t="s">
        <v>73</v>
      </c>
      <c r="G61" s="40">
        <v>0</v>
      </c>
      <c r="H61" s="40">
        <v>0</v>
      </c>
      <c r="I61" s="42">
        <f t="shared" si="6"/>
        <v>0</v>
      </c>
    </row>
    <row r="62" spans="1:9" ht="15" customHeight="1">
      <c r="A62" s="44" t="s">
        <v>85</v>
      </c>
      <c r="B62" s="40">
        <v>0</v>
      </c>
      <c r="C62" s="40">
        <v>0</v>
      </c>
      <c r="D62" s="42">
        <f t="shared" si="7"/>
        <v>0</v>
      </c>
      <c r="E62" s="31"/>
      <c r="F62" s="44" t="s">
        <v>74</v>
      </c>
      <c r="G62" s="40">
        <v>0</v>
      </c>
      <c r="H62" s="40">
        <v>0</v>
      </c>
      <c r="I62" s="42">
        <f t="shared" si="6"/>
        <v>0</v>
      </c>
    </row>
    <row r="63" spans="1:9" ht="15" customHeight="1">
      <c r="A63" s="44" t="s">
        <v>42</v>
      </c>
      <c r="B63" s="40">
        <v>0</v>
      </c>
      <c r="C63" s="40">
        <v>0</v>
      </c>
      <c r="D63" s="42">
        <f t="shared" si="7"/>
        <v>0</v>
      </c>
      <c r="E63" s="31"/>
      <c r="F63" s="44" t="s">
        <v>63</v>
      </c>
      <c r="G63" s="40">
        <v>0</v>
      </c>
      <c r="H63" s="40">
        <v>0</v>
      </c>
      <c r="I63" s="42">
        <f t="shared" si="6"/>
        <v>0</v>
      </c>
    </row>
    <row r="64" spans="1:9" ht="15" customHeight="1">
      <c r="A64" s="44" t="s">
        <v>43</v>
      </c>
      <c r="B64" s="40">
        <v>0</v>
      </c>
      <c r="C64" s="40">
        <v>0</v>
      </c>
      <c r="D64" s="42">
        <f t="shared" si="7"/>
        <v>0</v>
      </c>
      <c r="E64" s="31"/>
      <c r="F64" s="36" t="s">
        <v>75</v>
      </c>
      <c r="G64" s="67">
        <f>SUM(G54:G63)</f>
        <v>10</v>
      </c>
      <c r="H64" s="48">
        <f>SUM(H54:H63)</f>
        <v>10</v>
      </c>
      <c r="I64" s="49">
        <f t="shared" si="6"/>
        <v>0</v>
      </c>
    </row>
    <row r="65" spans="1:12" ht="19.5" customHeight="1">
      <c r="A65" s="44" t="s">
        <v>44</v>
      </c>
      <c r="B65" s="40">
        <v>0</v>
      </c>
      <c r="C65" s="40">
        <v>0</v>
      </c>
      <c r="D65" s="42">
        <f t="shared" si="7"/>
        <v>0</v>
      </c>
      <c r="E65" s="31"/>
      <c r="F65" s="31"/>
      <c r="G65" s="54"/>
      <c r="H65" s="54"/>
      <c r="I65" s="54"/>
    </row>
    <row r="66" spans="1:12" ht="17.100000000000001" customHeight="1">
      <c r="A66" s="44" t="s">
        <v>23</v>
      </c>
      <c r="B66" s="40">
        <v>0</v>
      </c>
      <c r="C66" s="40">
        <v>0</v>
      </c>
      <c r="D66" s="42">
        <f t="shared" si="7"/>
        <v>0</v>
      </c>
      <c r="E66" s="31"/>
      <c r="F66" s="31"/>
      <c r="G66" s="54"/>
      <c r="H66" s="54"/>
      <c r="I66" s="54"/>
    </row>
    <row r="67" spans="1:12" ht="15" customHeight="1" thickBot="1">
      <c r="A67" s="36" t="s">
        <v>45</v>
      </c>
      <c r="B67" s="68">
        <f>SUM(B56:B66)</f>
        <v>10</v>
      </c>
      <c r="C67" s="48">
        <f>SUM(C56:C66)</f>
        <v>10</v>
      </c>
      <c r="D67" s="49">
        <f t="shared" si="7"/>
        <v>0</v>
      </c>
      <c r="E67" s="31"/>
      <c r="F67" s="30"/>
      <c r="G67" s="56" t="s">
        <v>2</v>
      </c>
      <c r="H67" s="56" t="s">
        <v>3</v>
      </c>
      <c r="I67" s="57" t="s">
        <v>88</v>
      </c>
    </row>
    <row r="68" spans="1:12" ht="15" customHeight="1">
      <c r="A68" s="31"/>
      <c r="B68" s="54"/>
      <c r="C68" s="54"/>
      <c r="D68" s="54"/>
      <c r="E68" s="31"/>
      <c r="F68" s="53" t="s">
        <v>76</v>
      </c>
      <c r="G68" s="58"/>
      <c r="H68" s="58"/>
      <c r="I68" s="52"/>
    </row>
    <row r="69" spans="1:12" ht="15" customHeight="1">
      <c r="A69" s="31"/>
      <c r="B69" s="31"/>
      <c r="C69" s="31"/>
      <c r="D69" s="31"/>
      <c r="E69" s="31"/>
      <c r="F69" s="44" t="s">
        <v>77</v>
      </c>
      <c r="G69" s="40">
        <v>10</v>
      </c>
      <c r="H69" s="41">
        <v>10</v>
      </c>
      <c r="I69" s="42">
        <f>G69-H69</f>
        <v>0</v>
      </c>
    </row>
    <row r="70" spans="1:12" ht="15" customHeight="1">
      <c r="A70" s="31"/>
      <c r="B70" s="31"/>
      <c r="C70" s="31"/>
      <c r="D70" s="31"/>
      <c r="E70" s="31"/>
      <c r="F70" s="44" t="s">
        <v>0</v>
      </c>
      <c r="G70" s="40">
        <v>0</v>
      </c>
      <c r="H70" s="40">
        <v>0</v>
      </c>
      <c r="I70" s="42">
        <f>G70-H70</f>
        <v>0</v>
      </c>
    </row>
    <row r="71" spans="1:12" ht="15" customHeight="1">
      <c r="A71" s="31"/>
      <c r="B71" s="31"/>
      <c r="C71" s="31"/>
      <c r="D71" s="31"/>
      <c r="E71" s="31"/>
      <c r="F71" s="44" t="s">
        <v>1</v>
      </c>
      <c r="G71" s="40">
        <v>0</v>
      </c>
      <c r="H71" s="40">
        <v>0</v>
      </c>
      <c r="I71" s="42">
        <f>G71-H71</f>
        <v>0</v>
      </c>
    </row>
    <row r="72" spans="1:12" ht="15" customHeight="1">
      <c r="A72" s="31"/>
      <c r="B72" s="31"/>
      <c r="C72" s="31"/>
      <c r="D72" s="31"/>
      <c r="E72" s="31"/>
      <c r="F72" s="44" t="s">
        <v>63</v>
      </c>
      <c r="G72" s="40">
        <v>0</v>
      </c>
      <c r="H72" s="40">
        <v>0</v>
      </c>
      <c r="I72" s="42">
        <f>G72-H72</f>
        <v>0</v>
      </c>
    </row>
    <row r="73" spans="1:12" ht="15" customHeight="1">
      <c r="A73" s="31"/>
      <c r="B73" s="31"/>
      <c r="C73" s="31"/>
      <c r="D73" s="31"/>
      <c r="E73" s="31"/>
      <c r="F73" s="36" t="s">
        <v>78</v>
      </c>
      <c r="G73" s="47">
        <f>SUM(G69:G72)</f>
        <v>10</v>
      </c>
      <c r="H73" s="48">
        <f>SUM(H69:H72)</f>
        <v>10</v>
      </c>
      <c r="I73" s="49">
        <f>G73-H73</f>
        <v>0</v>
      </c>
    </row>
    <row r="74" spans="1:12" ht="15" customHeight="1">
      <c r="A74" s="31"/>
      <c r="B74" s="31"/>
      <c r="C74" s="31"/>
      <c r="D74" s="31"/>
      <c r="E74" s="31"/>
      <c r="F74" s="31"/>
      <c r="G74" s="54"/>
      <c r="H74" s="54"/>
      <c r="I74" s="54"/>
    </row>
    <row r="75" spans="1:12" ht="15" customHeight="1">
      <c r="A75" s="31"/>
      <c r="B75" s="31"/>
      <c r="C75" s="31"/>
      <c r="D75" s="31"/>
      <c r="E75" s="31"/>
      <c r="F75" s="31"/>
      <c r="G75" s="54"/>
      <c r="H75" s="54"/>
      <c r="I75" s="54"/>
    </row>
    <row r="76" spans="1:12" ht="15" customHeight="1">
      <c r="A76" s="31"/>
      <c r="B76" s="31"/>
      <c r="C76" s="31"/>
      <c r="D76" s="31"/>
      <c r="E76" s="31"/>
      <c r="F76" s="31"/>
      <c r="G76" s="54"/>
      <c r="H76" s="54"/>
      <c r="I76" s="54"/>
    </row>
    <row r="77" spans="1:12" ht="15" customHeight="1">
      <c r="A77" s="31"/>
      <c r="B77" s="31"/>
      <c r="C77" s="31"/>
      <c r="D77" s="69"/>
      <c r="E77" s="31"/>
      <c r="F77" s="31"/>
      <c r="G77" s="54"/>
      <c r="H77" s="54"/>
      <c r="I77" s="54"/>
    </row>
    <row r="78" spans="1:12" ht="19.5" customHeight="1">
      <c r="A78" s="31"/>
      <c r="B78" s="31"/>
      <c r="C78" s="31"/>
      <c r="D78" s="69"/>
      <c r="E78" s="31"/>
      <c r="F78" s="31"/>
      <c r="G78" s="70" t="s">
        <v>79</v>
      </c>
      <c r="H78" s="71" t="s">
        <v>80</v>
      </c>
      <c r="I78" s="31"/>
      <c r="K78" s="14" t="s">
        <v>79</v>
      </c>
      <c r="L78" s="12" t="s">
        <v>93</v>
      </c>
    </row>
    <row r="79" spans="1:12" ht="16.5" customHeight="1">
      <c r="A79" s="50"/>
      <c r="B79" s="21"/>
      <c r="C79" s="21"/>
      <c r="D79" s="32"/>
      <c r="E79" s="31"/>
      <c r="F79" s="31"/>
      <c r="G79" s="72" t="s">
        <v>5</v>
      </c>
      <c r="H79" s="73">
        <f>C19</f>
        <v>10</v>
      </c>
      <c r="I79" s="31"/>
      <c r="K79" s="13" t="str">
        <f>Table1[[#This Row],[Categoría]]</f>
        <v>Ropa</v>
      </c>
      <c r="L79" s="15">
        <f>Table1[[#This Row],[Importe]]/$H$94</f>
        <v>0.1</v>
      </c>
    </row>
    <row r="80" spans="1:12" ht="15" customHeight="1">
      <c r="A80" s="31"/>
      <c r="B80" s="31"/>
      <c r="C80" s="31"/>
      <c r="D80" s="69"/>
      <c r="E80" s="31"/>
      <c r="F80" s="31"/>
      <c r="G80" s="72" t="s">
        <v>46</v>
      </c>
      <c r="H80" s="74">
        <f>H27</f>
        <v>10</v>
      </c>
      <c r="I80" s="31"/>
      <c r="K80" s="13" t="str">
        <f>Table1[[#This Row],[Categoría]]</f>
        <v>Decoraciones</v>
      </c>
      <c r="L80" s="15">
        <f>Table1[[#This Row],[Importe]]/$H$94</f>
        <v>0.1</v>
      </c>
    </row>
    <row r="81" spans="1:12" ht="15" customHeight="1">
      <c r="A81" s="31"/>
      <c r="B81" s="31"/>
      <c r="C81" s="31"/>
      <c r="D81" s="69"/>
      <c r="E81" s="31"/>
      <c r="F81" s="31"/>
      <c r="G81" s="74" t="s">
        <v>18</v>
      </c>
      <c r="H81" s="74">
        <f>C29</f>
        <v>10</v>
      </c>
      <c r="I81" s="31"/>
      <c r="K81" s="13" t="str">
        <f>Table1[[#This Row],[Categoría]]</f>
        <v>Regalos</v>
      </c>
      <c r="L81" s="15">
        <f>Table1[[#This Row],[Importe]]/$H$94</f>
        <v>0.1</v>
      </c>
    </row>
    <row r="82" spans="1:12" ht="15" customHeight="1">
      <c r="A82" s="31"/>
      <c r="B82" s="31"/>
      <c r="C82" s="31"/>
      <c r="D82" s="69"/>
      <c r="E82" s="31"/>
      <c r="F82" s="31"/>
      <c r="G82" s="74" t="s">
        <v>52</v>
      </c>
      <c r="H82" s="74">
        <f>H38</f>
        <v>10</v>
      </c>
      <c r="I82" s="31"/>
      <c r="K82" s="13" t="str">
        <f>Table1[[#This Row],[Categoría]]</f>
        <v>Flores</v>
      </c>
      <c r="L82" s="15">
        <f>Table1[[#This Row],[Importe]]/$H$94</f>
        <v>0.1</v>
      </c>
    </row>
    <row r="83" spans="1:12" ht="15" customHeight="1">
      <c r="A83" s="31"/>
      <c r="B83" s="31"/>
      <c r="C83" s="31"/>
      <c r="D83" s="69"/>
      <c r="E83" s="31"/>
      <c r="F83" s="31"/>
      <c r="G83" s="74" t="s">
        <v>26</v>
      </c>
      <c r="H83" s="74">
        <f>C37</f>
        <v>10</v>
      </c>
      <c r="I83" s="31"/>
      <c r="K83" s="13" t="str">
        <f>Table1[[#This Row],[Categoría]]</f>
        <v>Música</v>
      </c>
      <c r="L83" s="15">
        <f>Table1[[#This Row],[Importe]]/$H$94</f>
        <v>0.1</v>
      </c>
    </row>
    <row r="84" spans="1:12" ht="15" customHeight="1">
      <c r="A84" s="31"/>
      <c r="B84" s="31"/>
      <c r="C84" s="31"/>
      <c r="D84" s="69"/>
      <c r="E84" s="31"/>
      <c r="F84" s="31"/>
      <c r="G84" s="74" t="s">
        <v>59</v>
      </c>
      <c r="H84" s="74">
        <f>H49</f>
        <v>10</v>
      </c>
      <c r="I84" s="31"/>
      <c r="K84" s="13" t="str">
        <f>Table1[[#This Row],[Categoría]]</f>
        <v>Fotografía</v>
      </c>
      <c r="L84" s="15">
        <f>Table1[[#This Row],[Importe]]/$H$94</f>
        <v>0.1</v>
      </c>
    </row>
    <row r="85" spans="1:12" ht="15" customHeight="1">
      <c r="A85" s="31"/>
      <c r="B85" s="31"/>
      <c r="C85" s="31"/>
      <c r="D85" s="69"/>
      <c r="E85" s="31"/>
      <c r="F85" s="31"/>
      <c r="G85" s="74" t="s">
        <v>56</v>
      </c>
      <c r="H85" s="73">
        <f>C51</f>
        <v>10</v>
      </c>
      <c r="I85" s="31"/>
      <c r="K85" s="13" t="str">
        <f>Table1[[#This Row],[Categoría]]</f>
        <v>Banquete</v>
      </c>
      <c r="L85" s="15">
        <f>Table1[[#This Row],[Importe]]/$H$94</f>
        <v>0.1</v>
      </c>
    </row>
    <row r="86" spans="1:12" ht="15" customHeight="1">
      <c r="A86" s="31"/>
      <c r="B86" s="31"/>
      <c r="C86" s="31"/>
      <c r="D86" s="69"/>
      <c r="E86" s="31"/>
      <c r="F86" s="31"/>
      <c r="G86" s="74" t="s">
        <v>81</v>
      </c>
      <c r="H86" s="73">
        <f>H64</f>
        <v>10</v>
      </c>
      <c r="I86" s="31"/>
      <c r="K86" s="13" t="str">
        <f>Table1[[#This Row],[Categoría]]</f>
        <v>Papelería</v>
      </c>
      <c r="L86" s="15">
        <f>Table1[[#This Row],[Importe]]/$H$94</f>
        <v>0.1</v>
      </c>
    </row>
    <row r="87" spans="1:12" ht="15" customHeight="1">
      <c r="A87" s="31"/>
      <c r="B87" s="31"/>
      <c r="C87" s="31"/>
      <c r="D87" s="69"/>
      <c r="E87" s="31"/>
      <c r="F87" s="31"/>
      <c r="G87" s="74" t="s">
        <v>76</v>
      </c>
      <c r="H87" s="73">
        <f>H73</f>
        <v>10</v>
      </c>
      <c r="I87" s="31"/>
      <c r="K87" s="13" t="str">
        <f>Table1[[#This Row],[Categoría]]</f>
        <v>Transporte</v>
      </c>
      <c r="L87" s="15">
        <f>Table1[[#This Row],[Importe]]/$H$94</f>
        <v>0.1</v>
      </c>
    </row>
    <row r="88" spans="1:12" ht="15" customHeight="1">
      <c r="A88" s="31"/>
      <c r="B88" s="31"/>
      <c r="C88" s="31"/>
      <c r="D88" s="69"/>
      <c r="E88" s="31"/>
      <c r="F88" s="31"/>
      <c r="G88" s="74" t="s">
        <v>82</v>
      </c>
      <c r="H88" s="73">
        <f>C67</f>
        <v>10</v>
      </c>
      <c r="I88" s="31"/>
      <c r="K88" s="13" t="str">
        <f>Table1[[#This Row],[Categoría]]</f>
        <v>Otros</v>
      </c>
      <c r="L88" s="15">
        <f>Table1[[#This Row],[Importe]]/$H$94</f>
        <v>0.1</v>
      </c>
    </row>
    <row r="89" spans="1:12" s="1" customFormat="1" ht="15" customHeight="1">
      <c r="A89" s="75"/>
      <c r="B89" s="75"/>
      <c r="C89" s="75"/>
      <c r="D89" s="75"/>
      <c r="E89" s="75"/>
      <c r="F89" s="76"/>
      <c r="G89" s="77"/>
      <c r="H89" s="78"/>
      <c r="I89" s="76"/>
    </row>
    <row r="90" spans="1:12" s="1" customFormat="1" ht="15" customHeight="1">
      <c r="F90" s="2"/>
      <c r="G90" s="16"/>
      <c r="H90" s="17"/>
      <c r="I90" s="2"/>
    </row>
    <row r="91" spans="1:12" s="1" customFormat="1" ht="15" customHeight="1"/>
    <row r="92" spans="1:12" s="1" customFormat="1" ht="19.5" customHeight="1"/>
    <row r="93" spans="1:12" s="1" customFormat="1" ht="17.100000000000001" customHeight="1">
      <c r="A93" s="7"/>
      <c r="B93" s="8"/>
      <c r="C93" s="8"/>
      <c r="D93" s="10"/>
    </row>
    <row r="94" spans="1:12" s="1" customFormat="1" ht="15" customHeight="1">
      <c r="G94" s="1" t="s">
        <v>92</v>
      </c>
      <c r="H94" s="1">
        <f>SUM(Table1[Importe])</f>
        <v>100</v>
      </c>
    </row>
    <row r="95" spans="1:12" s="1" customFormat="1" ht="15" customHeight="1"/>
    <row r="96" spans="1:12" s="1" customFormat="1" ht="15" customHeight="1"/>
    <row r="97" spans="1:4" s="1" customFormat="1" ht="15" customHeight="1"/>
    <row r="98" spans="1:4" s="1" customFormat="1" ht="15" customHeight="1"/>
    <row r="99" spans="1:4" ht="15" customHeight="1"/>
    <row r="100" spans="1:4" ht="19.5" customHeight="1"/>
    <row r="101" spans="1:4">
      <c r="D101" s="2"/>
    </row>
    <row r="102" spans="1:4" ht="17.100000000000001" customHeight="1">
      <c r="A102" s="6"/>
      <c r="B102" s="6"/>
      <c r="C102" s="6"/>
      <c r="D102" s="9"/>
    </row>
    <row r="103" spans="1:4" ht="15" customHeight="1"/>
    <row r="104" spans="1:4" ht="15" customHeight="1"/>
    <row r="105" spans="1:4" ht="15" customHeight="1"/>
    <row r="106" spans="1:4" ht="15" customHeight="1"/>
    <row r="107" spans="1:4" ht="15" customHeight="1"/>
    <row r="108" spans="1:4" ht="15" customHeight="1"/>
    <row r="109" spans="1:4" ht="15" customHeight="1"/>
    <row r="110" spans="1:4" ht="15" customHeight="1"/>
    <row r="111" spans="1:4" ht="15" customHeight="1"/>
    <row r="112" spans="1:4" ht="15" customHeight="1"/>
    <row r="113" spans="1:4" ht="15" customHeight="1"/>
    <row r="114" spans="1:4" ht="15" customHeight="1"/>
    <row r="115" spans="1:4" ht="15" customHeight="1"/>
    <row r="116" spans="1:4" ht="19.5" customHeight="1"/>
    <row r="117" spans="1:4">
      <c r="A117" s="6"/>
      <c r="B117" s="6"/>
      <c r="C117" s="6"/>
      <c r="D117" s="9"/>
    </row>
    <row r="118" spans="1:4">
      <c r="A118" s="6"/>
      <c r="B118" s="6"/>
      <c r="C118" s="6"/>
      <c r="D118" s="9"/>
    </row>
    <row r="119" spans="1:4">
      <c r="A119" s="6"/>
      <c r="B119" s="6"/>
      <c r="C119" s="6"/>
      <c r="D119" s="9"/>
    </row>
    <row r="120" spans="1:4">
      <c r="A120" s="6"/>
      <c r="B120" s="6"/>
      <c r="C120" s="6"/>
      <c r="D120" s="9"/>
    </row>
    <row r="121" spans="1:4">
      <c r="A121" s="6"/>
      <c r="B121" s="6"/>
      <c r="C121" s="6"/>
      <c r="D121" s="9"/>
    </row>
    <row r="122" spans="1:4">
      <c r="A122" s="4"/>
      <c r="B122" s="4"/>
      <c r="C122" s="4"/>
      <c r="D122" s="9"/>
    </row>
    <row r="123" spans="1:4">
      <c r="A123" s="4"/>
      <c r="B123" s="4"/>
      <c r="C123" s="4"/>
      <c r="D123" s="9"/>
    </row>
    <row r="124" spans="1:4">
      <c r="A124" s="4"/>
      <c r="B124" s="4"/>
      <c r="C124" s="4"/>
      <c r="D124" s="9"/>
    </row>
    <row r="125" spans="1:4">
      <c r="A125" s="4"/>
      <c r="B125" s="4"/>
      <c r="C125" s="4"/>
      <c r="D125" s="9"/>
    </row>
    <row r="126" spans="1:4">
      <c r="A126" s="4"/>
      <c r="B126" s="4"/>
      <c r="C126" s="4"/>
      <c r="D126" s="9"/>
    </row>
    <row r="127" spans="1:4">
      <c r="A127" s="4"/>
      <c r="B127" s="4"/>
      <c r="C127" s="4"/>
      <c r="D127" s="9"/>
    </row>
    <row r="128" spans="1:4">
      <c r="A128" s="4"/>
      <c r="B128" s="4"/>
      <c r="C128" s="4"/>
      <c r="D128" s="9"/>
    </row>
    <row r="129" spans="1:4">
      <c r="A129" s="4"/>
      <c r="B129" s="4"/>
      <c r="C129" s="4"/>
      <c r="D129" s="9"/>
    </row>
    <row r="130" spans="1:4">
      <c r="A130" s="4"/>
      <c r="B130" s="4"/>
      <c r="C130" s="4"/>
      <c r="D130" s="9"/>
    </row>
    <row r="131" spans="1:4">
      <c r="A131" s="4"/>
      <c r="B131" s="4"/>
      <c r="C131" s="4"/>
      <c r="D131" s="9"/>
    </row>
    <row r="132" spans="1:4">
      <c r="A132" s="4"/>
      <c r="B132" s="4"/>
      <c r="C132" s="4"/>
      <c r="D132" s="9"/>
    </row>
    <row r="133" spans="1:4">
      <c r="A133" s="4"/>
      <c r="B133" s="4"/>
      <c r="C133" s="4"/>
      <c r="D133" s="9"/>
    </row>
    <row r="134" spans="1:4">
      <c r="A134" s="4"/>
      <c r="B134" s="4"/>
      <c r="C134" s="4"/>
      <c r="D134" s="9"/>
    </row>
    <row r="135" spans="1:4">
      <c r="A135" s="4"/>
      <c r="B135" s="4"/>
      <c r="C135" s="4"/>
      <c r="D135" s="9"/>
    </row>
    <row r="136" spans="1:4">
      <c r="A136" s="4"/>
      <c r="B136" s="4"/>
      <c r="C136" s="4"/>
      <c r="D136" s="9"/>
    </row>
    <row r="137" spans="1:4">
      <c r="A137" s="4"/>
      <c r="B137" s="4"/>
      <c r="C137" s="4"/>
      <c r="D137" s="9"/>
    </row>
  </sheetData>
  <mergeCells count="1">
    <mergeCell ref="A1:I1"/>
  </mergeCells>
  <phoneticPr fontId="6" type="noConversion"/>
  <conditionalFormatting sqref="E18:E19">
    <cfRule type="cellIs" dxfId="11" priority="88" stopIfTrue="1" operator="lessThan">
      <formula>0</formula>
    </cfRule>
    <cfRule type="dataBar" priority="89">
      <dataBar showValue="0">
        <cfvo type="num" val="0"/>
        <cfvo type="num" val="$B$19"/>
        <color rgb="FF63C384"/>
      </dataBar>
    </cfRule>
  </conditionalFormatting>
  <conditionalFormatting sqref="C3">
    <cfRule type="cellIs" dxfId="10" priority="84" operator="greaterThan">
      <formula>$B$3</formula>
    </cfRule>
    <cfRule type="dataBar" priority="86">
      <dataBar>
        <cfvo type="num" val="0"/>
        <cfvo type="num" val="$B$3"/>
        <color theme="0"/>
      </dataBar>
    </cfRule>
  </conditionalFormatting>
  <conditionalFormatting sqref="C19">
    <cfRule type="cellIs" dxfId="9" priority="31" operator="greaterThan">
      <formula>$B$19</formula>
    </cfRule>
    <cfRule type="dataBar" priority="32">
      <dataBar>
        <cfvo type="num" val="0"/>
        <cfvo type="num" val="$B$19"/>
        <color theme="8" tint="0.59999389629810485"/>
      </dataBar>
    </cfRule>
  </conditionalFormatting>
  <conditionalFormatting sqref="C29">
    <cfRule type="cellIs" dxfId="8" priority="26" operator="greaterThan">
      <formula>$B$29</formula>
    </cfRule>
    <cfRule type="dataBar" priority="27">
      <dataBar>
        <cfvo type="num" val="0"/>
        <cfvo type="num" val="$B$29"/>
        <color theme="8" tint="0.59999389629810485"/>
      </dataBar>
    </cfRule>
  </conditionalFormatting>
  <conditionalFormatting sqref="C37">
    <cfRule type="cellIs" dxfId="7" priority="24" operator="greaterThan">
      <formula>$B$37</formula>
    </cfRule>
    <cfRule type="dataBar" priority="25">
      <dataBar>
        <cfvo type="num" val="0"/>
        <cfvo type="num" val="$B$37"/>
        <color theme="8" tint="0.59999389629810485"/>
      </dataBar>
    </cfRule>
  </conditionalFormatting>
  <conditionalFormatting sqref="H38">
    <cfRule type="cellIs" dxfId="6" priority="22" operator="greaterThan">
      <formula>$B$19+$G$38</formula>
    </cfRule>
    <cfRule type="dataBar" priority="23">
      <dataBar>
        <cfvo type="num" val="0"/>
        <cfvo type="num" val="$G$38"/>
        <color theme="8" tint="0.59999389629810485"/>
      </dataBar>
    </cfRule>
  </conditionalFormatting>
  <conditionalFormatting sqref="H27">
    <cfRule type="cellIs" dxfId="5" priority="20" operator="greaterThan">
      <formula>$G$27</formula>
    </cfRule>
    <cfRule type="dataBar" priority="21">
      <dataBar>
        <cfvo type="num" val="0"/>
        <cfvo type="num" val="$G$27"/>
        <color theme="8" tint="0.59999389629810485"/>
      </dataBar>
    </cfRule>
  </conditionalFormatting>
  <conditionalFormatting sqref="H49">
    <cfRule type="cellIs" dxfId="4" priority="18" operator="greaterThan">
      <formula>$G$49</formula>
    </cfRule>
    <cfRule type="dataBar" priority="19">
      <dataBar>
        <cfvo type="num" val="0"/>
        <cfvo type="num" val="$G$49"/>
        <color theme="8" tint="0.59999389629810485"/>
      </dataBar>
    </cfRule>
  </conditionalFormatting>
  <conditionalFormatting sqref="H64">
    <cfRule type="cellIs" dxfId="3" priority="16" operator="greaterThan">
      <formula>$G$64</formula>
    </cfRule>
    <cfRule type="dataBar" priority="17">
      <dataBar>
        <cfvo type="num" val="0"/>
        <cfvo type="num" val="$G$64"/>
        <color theme="8" tint="0.59999389629810485"/>
      </dataBar>
    </cfRule>
  </conditionalFormatting>
  <conditionalFormatting sqref="C51">
    <cfRule type="cellIs" dxfId="2" priority="14" operator="greaterThan">
      <formula>$B$51</formula>
    </cfRule>
    <cfRule type="dataBar" priority="15">
      <dataBar>
        <cfvo type="num" val="0"/>
        <cfvo type="num" val="$B$51"/>
        <color theme="8" tint="0.59999389629810485"/>
      </dataBar>
    </cfRule>
  </conditionalFormatting>
  <conditionalFormatting sqref="H73">
    <cfRule type="cellIs" dxfId="1" priority="12" operator="greaterThan">
      <formula>$G$73</formula>
    </cfRule>
    <cfRule type="dataBar" priority="13">
      <dataBar>
        <cfvo type="num" val="0"/>
        <cfvo type="num" val="$G$73"/>
        <color theme="8" tint="0.59999389629810485"/>
      </dataBar>
    </cfRule>
  </conditionalFormatting>
  <conditionalFormatting sqref="C67">
    <cfRule type="cellIs" dxfId="0" priority="10" operator="greaterThan">
      <formula>$B$67</formula>
    </cfRule>
    <cfRule type="dataBar" priority="11">
      <dataBar>
        <cfvo type="num" val="0"/>
        <cfvo type="num" val="$B$67"/>
        <color theme="8" tint="0.59999389629810485"/>
      </dataBar>
    </cfRule>
  </conditionalFormatting>
  <pageMargins left="0.7" right="0.7" top="0.75" bottom="0.75" header="0.3" footer="0.3"/>
  <pageSetup orientation="portrait" horizontalDpi="4294967293" r:id="rId1"/>
  <ignoredErrors>
    <ignoredError sqref="H80:H88" calculatedColumn="1"/>
  </ignoredErrors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4DE8A3E3-2855-4EB8-82F8-F3F8323537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Planificado boda 2010</vt:lpstr>
      <vt:lpstr>'Planificado boda 2010'!Print_Area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2013-06-16T15:50:58Z</dcterms:created>
  <dcterms:modified xsi:type="dcterms:W3CDTF">2013-06-16T15:54:12Z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TC022643159991</vt:lpwstr>
  </property>
</Properties>
</file>