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cil\Downloads\"/>
    </mc:Choice>
  </mc:AlternateContent>
  <xr:revisionPtr revIDLastSave="0" documentId="13_ncr:1_{06347175-4A6F-4846-8FC6-6A3F17C5C098}" xr6:coauthVersionLast="47" xr6:coauthVersionMax="47" xr10:uidLastSave="{00000000-0000-0000-0000-000000000000}"/>
  <bookViews>
    <workbookView xWindow="19090" yWindow="-5110" windowWidth="38620" windowHeight="21820" xr2:uid="{00000000-000D-0000-FFFF-FFFF00000000}"/>
  </bookViews>
  <sheets>
    <sheet name="- AYUDA -" sheetId="7" r:id="rId1"/>
    <sheet name="Presupuesto versus Gastado" sheetId="2" r:id="rId2"/>
    <sheet name="Variables" sheetId="3" state="veryHidden" r:id="rId3"/>
  </sheets>
  <externalReferences>
    <externalReference r:id="rId4"/>
  </externalReferences>
  <definedNames>
    <definedName name="_Example">Variables!$B$3</definedName>
    <definedName name="_Look">Variables!$B$6</definedName>
    <definedName name="_Series">Variables!$B$5</definedName>
    <definedName name="_Shading">Variables!$B$4</definedName>
    <definedName name="_xlnm.Print_Area" localSheetId="1">'Presupuesto versus Gastado'!$D$4:$H$48</definedName>
    <definedName name="DATA_01">'Presupuesto versus Gastado'!$E$8:$E$11</definedName>
    <definedName name="DATA_02">'Presupuesto versus Gastado'!$F$8:$F$11</definedName>
    <definedName name="DATA_03">'Presupuesto versus Gastado'!#REF!</definedName>
    <definedName name="DATA_04">'Presupuesto versus Gastado'!$E$18:$E$35</definedName>
    <definedName name="DATA_05">'Presupuesto versus Gastado'!$F$18:$F$35</definedName>
    <definedName name="IntroPrintArea">#REF!</definedName>
    <definedName name="Lista">[1]!Estado_Lista[ESTADO]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TemplatePrintArea">'Presupuesto versus Gastado'!$D$4:$H$48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8" i="2" l="1"/>
  <c r="F48" i="2"/>
  <c r="E48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8" i="2"/>
  <c r="H8" i="2" s="1"/>
  <c r="G48" i="2" l="1"/>
  <c r="H48" i="2" s="1"/>
</calcChain>
</file>

<file path=xl/sharedStrings.xml><?xml version="1.0" encoding="utf-8"?>
<sst xmlns="http://schemas.openxmlformats.org/spreadsheetml/2006/main" count="57" uniqueCount="41">
  <si>
    <t>_Example</t>
  </si>
  <si>
    <t>_Shading</t>
  </si>
  <si>
    <t>_Series</t>
  </si>
  <si>
    <t>_Look</t>
  </si>
  <si>
    <t>Presupuesto de gastos</t>
  </si>
  <si>
    <t>Presupuesto</t>
  </si>
  <si>
    <t>Real</t>
  </si>
  <si>
    <t>Diferencia en $</t>
  </si>
  <si>
    <t>Diferencia en %</t>
  </si>
  <si>
    <t>Limpieza</t>
  </si>
  <si>
    <t>Publicidad</t>
  </si>
  <si>
    <t>Seguros</t>
  </si>
  <si>
    <t>Mantenimiento</t>
  </si>
  <si>
    <t>Librería de oficina</t>
  </si>
  <si>
    <t>Correo</t>
  </si>
  <si>
    <t>Ingresa en la tabla los gastos presupuestados y los realmente gastado</t>
  </si>
  <si>
    <t>OPERATIVOS</t>
  </si>
  <si>
    <t>Insumos y materiales</t>
  </si>
  <si>
    <t>Sueldos personal</t>
  </si>
  <si>
    <t>Servicios</t>
  </si>
  <si>
    <t>Fletes</t>
  </si>
  <si>
    <t>ADMINISTRATIVOS</t>
  </si>
  <si>
    <t>Alquiler de espacio operativo</t>
  </si>
  <si>
    <t>Software de gestión</t>
  </si>
  <si>
    <t xml:space="preserve">Servicios </t>
  </si>
  <si>
    <t>Sueldos administrativos</t>
  </si>
  <si>
    <t>Papelería</t>
  </si>
  <si>
    <t>Honorarios profesionales</t>
  </si>
  <si>
    <t>Alquiler oficinas</t>
  </si>
  <si>
    <t>Impuestos y tasas</t>
  </si>
  <si>
    <t>MARKETING</t>
  </si>
  <si>
    <t>Comisiones por ventas</t>
  </si>
  <si>
    <t>Folletos, banners</t>
  </si>
  <si>
    <t>Promociones</t>
  </si>
  <si>
    <t>Consultoría Marketing</t>
  </si>
  <si>
    <t>OTROS GASTOS</t>
  </si>
  <si>
    <t>Multas</t>
  </si>
  <si>
    <t>Regalos coporativos</t>
  </si>
  <si>
    <t>Donaciones</t>
  </si>
  <si>
    <t>Ayuda</t>
  </si>
  <si>
    <t>TOTAL 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</si>
</sst>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_(&quot;$&quot;* #,##0_);_(&quot;$&quot;* \(#,##0\);_(&quot;$&quot;* &quot;-&quot;_);_(@_)"/>
    <numFmt numFmtId="166" formatCode="_(* #,##0_);_(* \(#,##0\);_(* &quot;-&quot;_);_(@_)"/>
    <numFmt numFmtId="167" formatCode="0.0%"/>
    <numFmt numFmtId="168" formatCode="mm/dd/yy"/>
    <numFmt numFmtId="169" formatCode="0_);[Red]\(0\)"/>
  </numFmts>
  <fonts count="7" x14ac:knownFonts="1">
    <font>
      <sz val="10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sz val="10"/>
      <color indexed="9"/>
      <name val="Tahoma"/>
      <family val="2"/>
    </font>
    <font>
      <b/>
      <sz val="22"/>
      <color theme="1" tint="0.249977111117893"/>
      <name val="Calibri"/>
      <family val="2"/>
      <scheme val="minor"/>
    </font>
    <font>
      <sz val="16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lightUp">
        <fgColor indexed="41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5BC2BA"/>
        <bgColor indexed="64"/>
      </patternFill>
    </fill>
  </fills>
  <borders count="9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55"/>
      </left>
      <right style="thin">
        <color indexed="55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rgb="FFC8C8C8"/>
      </bottom>
      <diagonal/>
    </border>
    <border>
      <left/>
      <right/>
      <top/>
      <bottom style="thin">
        <color indexed="22"/>
      </bottom>
      <diagonal/>
    </border>
  </borders>
  <cellStyleXfs count="6">
    <xf numFmtId="3" fontId="0" fillId="0" borderId="0" applyNumberFormat="0" applyFont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9" fontId="1" fillId="0" borderId="0" applyFont="0" applyFill="0" applyBorder="0" applyAlignment="0" applyProtection="0"/>
    <xf numFmtId="0" fontId="6" fillId="0" borderId="0"/>
    <xf numFmtId="0" fontId="1" fillId="0" borderId="0"/>
  </cellStyleXfs>
  <cellXfs count="26">
    <xf numFmtId="3" fontId="0" fillId="0" borderId="0" xfId="0"/>
    <xf numFmtId="3" fontId="2" fillId="0" borderId="0" xfId="0" applyFont="1" applyProtection="1"/>
    <xf numFmtId="3" fontId="2" fillId="0" borderId="0" xfId="0" applyFont="1" applyAlignment="1" applyProtection="1">
      <alignment vertical="center"/>
    </xf>
    <xf numFmtId="3" fontId="2" fillId="0" borderId="0" xfId="0" applyFont="1" applyAlignment="1" applyProtection="1">
      <alignment horizontal="left"/>
    </xf>
    <xf numFmtId="3" fontId="2" fillId="0" borderId="0" xfId="0" applyFont="1" applyAlignment="1" applyProtection="1">
      <alignment horizontal="left" vertical="center"/>
    </xf>
    <xf numFmtId="0" fontId="2" fillId="2" borderId="4" xfId="0" applyNumberFormat="1" applyFont="1" applyFill="1" applyBorder="1" applyAlignment="1" applyProtection="1">
      <alignment horizontal="left" vertical="center"/>
    </xf>
    <xf numFmtId="0" fontId="2" fillId="3" borderId="4" xfId="0" applyNumberFormat="1" applyFont="1" applyFill="1" applyBorder="1" applyAlignment="1" applyProtection="1">
      <alignment horizontal="left" vertical="center"/>
    </xf>
    <xf numFmtId="165" fontId="2" fillId="0" borderId="5" xfId="0" applyNumberFormat="1" applyFont="1" applyBorder="1" applyAlignment="1" applyProtection="1">
      <alignment horizontal="left" vertical="center"/>
      <protection locked="0"/>
    </xf>
    <xf numFmtId="166" fontId="2" fillId="0" borderId="4" xfId="0" applyNumberFormat="1" applyFont="1" applyBorder="1" applyAlignment="1" applyProtection="1">
      <alignment horizontal="left" vertical="center"/>
      <protection locked="0"/>
    </xf>
    <xf numFmtId="165" fontId="2" fillId="0" borderId="6" xfId="0" applyNumberFormat="1" applyFont="1" applyBorder="1" applyAlignment="1" applyProtection="1">
      <alignment horizontal="left" vertical="center"/>
      <protection locked="0"/>
    </xf>
    <xf numFmtId="165" fontId="2" fillId="4" borderId="6" xfId="0" applyNumberFormat="1" applyFont="1" applyFill="1" applyBorder="1" applyAlignment="1" applyProtection="1">
      <alignment horizontal="left" vertical="center"/>
    </xf>
    <xf numFmtId="167" fontId="2" fillId="4" borderId="4" xfId="0" applyNumberFormat="1" applyFont="1" applyFill="1" applyBorder="1" applyAlignment="1" applyProtection="1">
      <alignment horizontal="right" vertical="center"/>
    </xf>
    <xf numFmtId="165" fontId="2" fillId="0" borderId="4" xfId="0" applyNumberFormat="1" applyFont="1" applyBorder="1" applyAlignment="1" applyProtection="1">
      <alignment horizontal="left" vertical="center"/>
      <protection locked="0"/>
    </xf>
    <xf numFmtId="165" fontId="2" fillId="4" borderId="4" xfId="0" applyNumberFormat="1" applyFont="1" applyFill="1" applyBorder="1" applyAlignment="1" applyProtection="1">
      <alignment horizontal="left" vertical="center"/>
    </xf>
    <xf numFmtId="3" fontId="0" fillId="0" borderId="7" xfId="0" applyBorder="1"/>
    <xf numFmtId="3" fontId="0" fillId="5" borderId="0" xfId="0" applyFill="1"/>
    <xf numFmtId="0" fontId="3" fillId="6" borderId="1" xfId="0" applyNumberFormat="1" applyFont="1" applyFill="1" applyBorder="1" applyAlignment="1" applyProtection="1">
      <alignment horizontal="left" vertical="center"/>
    </xf>
    <xf numFmtId="3" fontId="4" fillId="0" borderId="0" xfId="0" applyFont="1" applyAlignment="1">
      <alignment vertical="center"/>
    </xf>
    <xf numFmtId="3" fontId="5" fillId="0" borderId="0" xfId="0" applyFont="1" applyAlignment="1">
      <alignment vertical="top"/>
    </xf>
    <xf numFmtId="0" fontId="3" fillId="6" borderId="2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horizontal="left" vertical="center"/>
    </xf>
    <xf numFmtId="165" fontId="2" fillId="0" borderId="8" xfId="0" applyNumberFormat="1" applyFont="1" applyBorder="1" applyAlignment="1" applyProtection="1">
      <alignment horizontal="left" vertical="center"/>
      <protection locked="0"/>
    </xf>
    <xf numFmtId="0" fontId="6" fillId="0" borderId="0" xfId="4"/>
    <xf numFmtId="0" fontId="4" fillId="0" borderId="0" xfId="4" applyFont="1" applyAlignment="1">
      <alignment vertical="center"/>
    </xf>
    <xf numFmtId="0" fontId="4" fillId="0" borderId="0" xfId="4" applyFont="1" applyAlignment="1">
      <alignment vertical="top"/>
    </xf>
    <xf numFmtId="0" fontId="3" fillId="6" borderId="3" xfId="0" applyNumberFormat="1" applyFont="1" applyFill="1" applyBorder="1" applyAlignment="1" applyProtection="1">
      <alignment horizontal="center" vertical="center"/>
    </xf>
  </cellXfs>
  <cellStyles count="6">
    <cellStyle name="Date" xfId="1" xr:uid="{00000000-0005-0000-0000-000000000000}"/>
    <cellStyle name="Fixed" xfId="2" xr:uid="{00000000-0005-0000-0000-000001000000}"/>
    <cellStyle name="Normal" xfId="0" builtinId="0"/>
    <cellStyle name="Normal 2" xfId="4" xr:uid="{EDDD5340-F3F0-4130-901A-00CF11EEC8AD}"/>
    <cellStyle name="Normal 3" xfId="5" xr:uid="{24D20E63-182C-4770-8BD6-A989A4484A91}"/>
    <cellStyle name="Text" xfId="3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636363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CDD1DF"/>
      <rgbColor rgb="00EDEEF3"/>
      <rgbColor rgb="00CCFFCC"/>
      <rgbColor rgb="00FFFF99"/>
      <rgbColor rgb="004E5A7A"/>
      <rgbColor rgb="00CC99CC"/>
      <rgbColor rgb="00EAEAEA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5BC2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lanillaexcel.com/plantillas?ref=spreadsheet" TargetMode="External"/><Relationship Id="rId1" Type="http://schemas.openxmlformats.org/officeDocument/2006/relationships/hyperlink" Target="https://www.planillaexcel.com/ayuda/plantillas?ref=spreadsheet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://planillaexcel.com/contactanos?ref=spreadsheet_contact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planillaexcel.com?ref=spreadsheet_logo" TargetMode="External"/><Relationship Id="rId4" Type="http://schemas.openxmlformats.org/officeDocument/2006/relationships/image" Target="file:///C:\Users\home\AppData\Roaming\Microsoft\Excel\XLSTART/header/envelop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4</xdr:row>
      <xdr:rowOff>152400</xdr:rowOff>
    </xdr:from>
    <xdr:to>
      <xdr:col>7</xdr:col>
      <xdr:colOff>444500</xdr:colOff>
      <xdr:row>31</xdr:row>
      <xdr:rowOff>44450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CFA9D8B3-F191-4939-B46D-B492BD975EEE}"/>
            </a:ext>
          </a:extLst>
        </xdr:cNvPr>
        <xdr:cNvSpPr txBox="1"/>
      </xdr:nvSpPr>
      <xdr:spPr>
        <a:xfrm>
          <a:off x="254000" y="1803400"/>
          <a:ext cx="8204200" cy="5200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>
              <a:solidFill>
                <a:schemeClr val="tx1">
                  <a:lumMod val="65000"/>
                  <a:lumOff val="35000"/>
                </a:schemeClr>
              </a:solidFill>
            </a:rPr>
            <a:t>La plantilla de excel de </a:t>
          </a:r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gasto de empresas le permite registrar el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total gastado de cada concepto y comprarlo con lo presupuestado</a:t>
          </a:r>
          <a:endParaRPr lang="es-AR" sz="160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  <a:p>
          <a:endParaRPr lang="es-E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Para usarla,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sigue estos pasos: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1. 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Complete en la columna "Presupuesto"los diferentes valores estimados (edite los conceptos que se adecúen a su negocio)</a:t>
          </a: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2. </a:t>
          </a:r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En la columna  Real complete los valores reales, es decir, los efectivamente realizados.</a:t>
          </a: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RESULTADOS</a:t>
          </a:r>
        </a:p>
        <a:p>
          <a:r>
            <a:rPr lang="en-U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La plantilla calculará automáticamente la diferencia entre presupuestado y realmente gastado en moneda y porcentualmente. Esto lo hará por cada área de gasto y a nivel total.</a:t>
          </a:r>
        </a:p>
        <a:p>
          <a:endParaRPr lang="es-AR" sz="1600" b="0" baseline="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7</xdr:col>
      <xdr:colOff>859790</xdr:colOff>
      <xdr:row>3</xdr:row>
      <xdr:rowOff>97790</xdr:rowOff>
    </xdr:from>
    <xdr:to>
      <xdr:col>11</xdr:col>
      <xdr:colOff>159674</xdr:colOff>
      <xdr:row>28</xdr:row>
      <xdr:rowOff>146050</xdr:rowOff>
    </xdr:to>
    <xdr:sp macro="" textlink="">
      <xdr:nvSpPr>
        <xdr:cNvPr id="4" name="TextBox 5">
          <a:extLst>
            <a:ext uri="{FF2B5EF4-FFF2-40B4-BE49-F238E27FC236}">
              <a16:creationId xmlns:a16="http://schemas.microsoft.com/office/drawing/2014/main" id="{34B7D96C-51FD-4A40-9035-394C3A098BE7}"/>
            </a:ext>
          </a:extLst>
        </xdr:cNvPr>
        <xdr:cNvSpPr txBox="1"/>
      </xdr:nvSpPr>
      <xdr:spPr>
        <a:xfrm>
          <a:off x="8873490" y="1215390"/>
          <a:ext cx="4456084" cy="5299710"/>
        </a:xfrm>
        <a:prstGeom prst="rect">
          <a:avLst/>
        </a:prstGeom>
        <a:solidFill>
          <a:srgbClr val="FBFBF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274320" rIns="274320" bIns="274320" rtlCol="0" anchor="t"/>
        <a:lstStyle/>
        <a:p>
          <a:r>
            <a:rPr 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Más ayuda</a:t>
          </a:r>
        </a:p>
        <a:p>
          <a:endParaRPr lang="en-US" sz="800" b="1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Si quieres saber más sobre cómo usar esta plantilla,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o adaptarla, extenderla o corregir algún error, sigue este link:</a:t>
          </a:r>
        </a:p>
        <a:p>
          <a:endParaRPr lang="en-US" sz="1800" b="1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800" b="1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800" b="1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Otras plantillas</a:t>
          </a:r>
        </a:p>
        <a:p>
          <a:endParaRPr lang="en-US" sz="8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Si esta plantilla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no es lo que necesitas, es posible que tengamos otra que se ajuste mejor. Aquí puedes acceder a muchas otras más:</a:t>
          </a:r>
        </a:p>
      </xdr:txBody>
    </xdr:sp>
    <xdr:clientData/>
  </xdr:twoCellAnchor>
  <xdr:twoCellAnchor>
    <xdr:from>
      <xdr:col>7</xdr:col>
      <xdr:colOff>859774</xdr:colOff>
      <xdr:row>9</xdr:row>
      <xdr:rowOff>42520</xdr:rowOff>
    </xdr:from>
    <xdr:to>
      <xdr:col>11</xdr:col>
      <xdr:colOff>153371</xdr:colOff>
      <xdr:row>11</xdr:row>
      <xdr:rowOff>72442</xdr:rowOff>
    </xdr:to>
    <xdr:sp macro="" textlink="">
      <xdr:nvSpPr>
        <xdr:cNvPr id="5" name="TextBox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F08C7D-FF83-4E4F-AD26-7C5DB9CD729D}"/>
            </a:ext>
          </a:extLst>
        </xdr:cNvPr>
        <xdr:cNvSpPr txBox="1"/>
      </xdr:nvSpPr>
      <xdr:spPr>
        <a:xfrm>
          <a:off x="8873474" y="2671420"/>
          <a:ext cx="4449797" cy="4236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0" rIns="27432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rgbClr val="12A779"/>
              </a:solidFill>
              <a:effectLst/>
              <a:latin typeface="+mn-lt"/>
              <a:ea typeface="+mn-ea"/>
              <a:cs typeface="+mn-cs"/>
            </a:rPr>
            <a:t>www.planillaexcel.com/ayuda/plantillas</a:t>
          </a:r>
          <a:endParaRPr lang="es-AR" sz="1600">
            <a:solidFill>
              <a:srgbClr val="12A779"/>
            </a:solidFill>
            <a:effectLst/>
          </a:endParaRPr>
        </a:p>
      </xdr:txBody>
    </xdr:sp>
    <xdr:clientData/>
  </xdr:twoCellAnchor>
  <xdr:twoCellAnchor>
    <xdr:from>
      <xdr:col>7</xdr:col>
      <xdr:colOff>864828</xdr:colOff>
      <xdr:row>20</xdr:row>
      <xdr:rowOff>133512</xdr:rowOff>
    </xdr:from>
    <xdr:to>
      <xdr:col>11</xdr:col>
      <xdr:colOff>157155</xdr:colOff>
      <xdr:row>22</xdr:row>
      <xdr:rowOff>124110</xdr:rowOff>
    </xdr:to>
    <xdr:sp macro="" textlink="">
      <xdr:nvSpPr>
        <xdr:cNvPr id="6" name="TextBox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187CDE-1F9C-4137-B977-048DD99DCDD3}"/>
            </a:ext>
          </a:extLst>
        </xdr:cNvPr>
        <xdr:cNvSpPr txBox="1"/>
      </xdr:nvSpPr>
      <xdr:spPr>
        <a:xfrm>
          <a:off x="8878528" y="4927762"/>
          <a:ext cx="4448527" cy="3842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0" rIns="274320" bIns="0" rtlCol="0" anchor="ctr"/>
        <a:lstStyle/>
        <a:p>
          <a:r>
            <a:rPr lang="en-US" sz="1600" b="1">
              <a:solidFill>
                <a:srgbClr val="12A779"/>
              </a:solidFill>
            </a:rPr>
            <a:t>www.planillaexcel.com/plantillas</a:t>
          </a:r>
        </a:p>
      </xdr:txBody>
    </xdr:sp>
    <xdr:clientData/>
  </xdr:twoCellAnchor>
  <xdr:twoCellAnchor editAs="absolute">
    <xdr:from>
      <xdr:col>1</xdr:col>
      <xdr:colOff>0</xdr:colOff>
      <xdr:row>1</xdr:row>
      <xdr:rowOff>139700</xdr:rowOff>
    </xdr:from>
    <xdr:to>
      <xdr:col>3</xdr:col>
      <xdr:colOff>622300</xdr:colOff>
      <xdr:row>1</xdr:row>
      <xdr:rowOff>635000</xdr:rowOff>
    </xdr:to>
    <xdr:sp macro="" textlink="">
      <xdr:nvSpPr>
        <xdr:cNvPr id="8" name="TextBox 12">
          <a:extLst>
            <a:ext uri="{FF2B5EF4-FFF2-40B4-BE49-F238E27FC236}">
              <a16:creationId xmlns:a16="http://schemas.microsoft.com/office/drawing/2014/main" id="{4331503B-BCCB-428B-B071-E643D4462DB7}"/>
            </a:ext>
          </a:extLst>
        </xdr:cNvPr>
        <xdr:cNvSpPr txBox="1"/>
      </xdr:nvSpPr>
      <xdr:spPr>
        <a:xfrm>
          <a:off x="279400" y="260350"/>
          <a:ext cx="320040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rgbClr val="5BC2BA"/>
              </a:solidFill>
            </a:rPr>
            <a:t>Gastos de empresas</a:t>
          </a:r>
        </a:p>
      </xdr:txBody>
    </xdr:sp>
    <xdr:clientData/>
  </xdr:twoCellAnchor>
  <xdr:twoCellAnchor editAs="absolute">
    <xdr:from>
      <xdr:col>8</xdr:col>
      <xdr:colOff>1238250</xdr:colOff>
      <xdr:row>1</xdr:row>
      <xdr:rowOff>0</xdr:rowOff>
    </xdr:from>
    <xdr:to>
      <xdr:col>10</xdr:col>
      <xdr:colOff>685800</xdr:colOff>
      <xdr:row>2</xdr:row>
      <xdr:rowOff>57150</xdr:rowOff>
    </xdr:to>
    <xdr:sp macro="" textlink="">
      <xdr:nvSpPr>
        <xdr:cNvPr id="9" name="TextBox 13">
          <a:extLst>
            <a:ext uri="{FF2B5EF4-FFF2-40B4-BE49-F238E27FC236}">
              <a16:creationId xmlns:a16="http://schemas.microsoft.com/office/drawing/2014/main" id="{75AA6900-78DC-484F-AFAC-D2B54C033DA3}"/>
            </a:ext>
          </a:extLst>
        </xdr:cNvPr>
        <xdr:cNvSpPr txBox="1"/>
      </xdr:nvSpPr>
      <xdr:spPr>
        <a:xfrm>
          <a:off x="10541000" y="120650"/>
          <a:ext cx="2025650" cy="749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5BC2BA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28575</xdr:colOff>
      <xdr:row>3</xdr:row>
      <xdr:rowOff>66675</xdr:rowOff>
    </xdr:to>
    <xdr:sp macro="" textlink="">
      <xdr:nvSpPr>
        <xdr:cNvPr id="2077" name="HideTemplatePointer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42875" cy="66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 editAs="absolute">
    <xdr:from>
      <xdr:col>3</xdr:col>
      <xdr:colOff>6350</xdr:colOff>
      <xdr:row>1</xdr:row>
      <xdr:rowOff>146050</xdr:rowOff>
    </xdr:from>
    <xdr:to>
      <xdr:col>4</xdr:col>
      <xdr:colOff>628650</xdr:colOff>
      <xdr:row>1</xdr:row>
      <xdr:rowOff>641350</xdr:rowOff>
    </xdr:to>
    <xdr:sp macro="" textlink="">
      <xdr:nvSpPr>
        <xdr:cNvPr id="6" name="TextBox 12">
          <a:extLst>
            <a:ext uri="{FF2B5EF4-FFF2-40B4-BE49-F238E27FC236}">
              <a16:creationId xmlns:a16="http://schemas.microsoft.com/office/drawing/2014/main" id="{25C1425F-560C-4865-8516-468EF7CE0B2C}"/>
            </a:ext>
          </a:extLst>
        </xdr:cNvPr>
        <xdr:cNvSpPr txBox="1"/>
      </xdr:nvSpPr>
      <xdr:spPr>
        <a:xfrm>
          <a:off x="368300" y="336550"/>
          <a:ext cx="320040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rgbClr val="5BC2BA"/>
              </a:solidFill>
            </a:rPr>
            <a:t>Gastos de empresas</a:t>
          </a:r>
        </a:p>
      </xdr:txBody>
    </xdr:sp>
    <xdr:clientData/>
  </xdr:twoCellAnchor>
  <xdr:twoCellAnchor editAs="absolute">
    <xdr:from>
      <xdr:col>6</xdr:col>
      <xdr:colOff>774700</xdr:colOff>
      <xdr:row>1</xdr:row>
      <xdr:rowOff>6350</xdr:rowOff>
    </xdr:from>
    <xdr:to>
      <xdr:col>8</xdr:col>
      <xdr:colOff>488950</xdr:colOff>
      <xdr:row>2</xdr:row>
      <xdr:rowOff>12700</xdr:rowOff>
    </xdr:to>
    <xdr:sp macro="" textlink="">
      <xdr:nvSpPr>
        <xdr:cNvPr id="7" name="TextBox 13">
          <a:extLst>
            <a:ext uri="{FF2B5EF4-FFF2-40B4-BE49-F238E27FC236}">
              <a16:creationId xmlns:a16="http://schemas.microsoft.com/office/drawing/2014/main" id="{3DC15987-96A2-40C2-B4B1-0FEC07FF4FC8}"/>
            </a:ext>
          </a:extLst>
        </xdr:cNvPr>
        <xdr:cNvSpPr txBox="1"/>
      </xdr:nvSpPr>
      <xdr:spPr>
        <a:xfrm>
          <a:off x="5708650" y="196850"/>
          <a:ext cx="2025650" cy="749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5BC2BA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114300</xdr:rowOff>
    </xdr:from>
    <xdr:to>
      <xdr:col>2</xdr:col>
      <xdr:colOff>76200</xdr:colOff>
      <xdr:row>0</xdr:row>
      <xdr:rowOff>266700</xdr:rowOff>
    </xdr:to>
    <xdr:pic>
      <xdr:nvPicPr>
        <xdr:cNvPr id="2" name="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1143000" cy="152400"/>
        </a:xfrm>
        <a:prstGeom prst="rect">
          <a:avLst/>
        </a:prstGeom>
      </xdr:spPr>
    </xdr:pic>
    <xdr:clientData/>
  </xdr:twoCellAnchor>
  <xdr:twoCellAnchor>
    <xdr:from>
      <xdr:col>2</xdr:col>
      <xdr:colOff>50800</xdr:colOff>
      <xdr:row>0</xdr:row>
      <xdr:rowOff>104140</xdr:rowOff>
    </xdr:from>
    <xdr:to>
      <xdr:col>7</xdr:col>
      <xdr:colOff>177800</xdr:colOff>
      <xdr:row>0</xdr:row>
      <xdr:rowOff>358140</xdr:rowOff>
    </xdr:to>
    <xdr:sp macro="" textlink="">
      <xdr:nvSpPr>
        <xdr:cNvPr id="3" name="subtit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270000" y="104140"/>
          <a:ext cx="3175000" cy="254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900" i="1">
              <a:solidFill>
                <a:srgbClr val="969696"/>
              </a:solidFill>
            </a:rPr>
            <a:t>Las planillas de Excel más útiles, en un solo lugar.</a:t>
          </a:r>
        </a:p>
      </xdr:txBody>
    </xdr:sp>
    <xdr:clientData/>
  </xdr:twoCellAnchor>
  <xdr:twoCellAnchor>
    <xdr:from>
      <xdr:col>12</xdr:col>
      <xdr:colOff>304800</xdr:colOff>
      <xdr:row>0</xdr:row>
      <xdr:rowOff>101600</xdr:rowOff>
    </xdr:from>
    <xdr:to>
      <xdr:col>17</xdr:col>
      <xdr:colOff>177800</xdr:colOff>
      <xdr:row>0</xdr:row>
      <xdr:rowOff>355600</xdr:rowOff>
    </xdr:to>
    <xdr:sp macro="" textlink="">
      <xdr:nvSpPr>
        <xdr:cNvPr id="4" name="contactBox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7620000" y="101600"/>
          <a:ext cx="2921000" cy="254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000">
              <a:solidFill>
                <a:srgbClr val="787878"/>
              </a:solidFill>
            </a:rPr>
            <a:t>¿Necesitas ayuda con esta planilla? </a:t>
          </a:r>
          <a:r>
            <a:rPr lang="en-US" sz="1000">
              <a:solidFill>
                <a:srgbClr val="458FFD"/>
              </a:solidFill>
            </a:rPr>
            <a:t> Contáctanos</a:t>
          </a:r>
        </a:p>
      </xdr:txBody>
    </xdr:sp>
    <xdr:clientData/>
  </xdr:twoCellAnchor>
  <xdr:twoCellAnchor editAs="absolute">
    <xdr:from>
      <xdr:col>16</xdr:col>
      <xdr:colOff>546100</xdr:colOff>
      <xdr:row>0</xdr:row>
      <xdr:rowOff>152400</xdr:rowOff>
    </xdr:from>
    <xdr:to>
      <xdr:col>17</xdr:col>
      <xdr:colOff>88900</xdr:colOff>
      <xdr:row>0</xdr:row>
      <xdr:rowOff>304800</xdr:rowOff>
    </xdr:to>
    <xdr:pic>
      <xdr:nvPicPr>
        <xdr:cNvPr id="5" name="mailIco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"/>
        <a:stretch>
          <a:fillRect/>
        </a:stretch>
      </xdr:blipFill>
      <xdr:spPr>
        <a:xfrm>
          <a:off x="10299700" y="152400"/>
          <a:ext cx="152400" cy="152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ecil\Downloads\Control%20y%20seguimiento%20de%20tareas.xlsx" TargetMode="External"/><Relationship Id="rId1" Type="http://schemas.openxmlformats.org/officeDocument/2006/relationships/externalLinkPath" Target="Control%20y%20seguimiento%20de%20tare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- AYUDA -"/>
      <sheetName val="Seguimiento de tareas"/>
      <sheetName val="Estado"/>
      <sheetName val="Control y seguimiento de tareas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C743-7697-49E4-9236-3833BF46D65F}">
  <dimension ref="B1:K5"/>
  <sheetViews>
    <sheetView showGridLines="0" tabSelected="1" workbookViewId="0">
      <selection activeCell="D47" sqref="D47"/>
    </sheetView>
  </sheetViews>
  <sheetFormatPr baseColWidth="10" defaultColWidth="11.54296875" defaultRowHeight="15.5" x14ac:dyDescent="0.35"/>
  <cols>
    <col min="1" max="1" width="4" style="22" customWidth="1"/>
    <col min="2" max="11" width="18.453125" style="22" customWidth="1"/>
    <col min="12" max="16384" width="11.54296875" style="22"/>
  </cols>
  <sheetData>
    <row r="1" spans="2:11" ht="9.9" customHeight="1" x14ac:dyDescent="0.35"/>
    <row r="2" spans="2:11" ht="54.9" customHeight="1" x14ac:dyDescent="0.35"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2:11" ht="24" customHeight="1" x14ac:dyDescent="0.35"/>
    <row r="4" spans="2:11" ht="42" customHeight="1" x14ac:dyDescent="0.35">
      <c r="B4" s="23" t="s">
        <v>39</v>
      </c>
      <c r="C4" s="24"/>
      <c r="D4" s="24"/>
      <c r="E4" s="24"/>
      <c r="F4" s="24"/>
      <c r="G4" s="24"/>
      <c r="H4" s="24"/>
      <c r="I4" s="24"/>
      <c r="J4" s="24"/>
      <c r="K4" s="24"/>
    </row>
    <row r="5" spans="2:11" ht="15" customHeight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0"/>
    <pageSetUpPr autoPageBreaks="0"/>
  </sheetPr>
  <dimension ref="D1:Z49"/>
  <sheetViews>
    <sheetView showGridLines="0" zoomScaleNormal="100" workbookViewId="0">
      <selection activeCell="H37" sqref="H37"/>
    </sheetView>
  </sheetViews>
  <sheetFormatPr baseColWidth="10" defaultColWidth="9.1796875" defaultRowHeight="12.5" x14ac:dyDescent="0.25"/>
  <cols>
    <col min="1" max="3" width="1.7265625" style="1" customWidth="1"/>
    <col min="4" max="4" width="36.90625" style="3" customWidth="1"/>
    <col min="5" max="6" width="14.26953125" style="3" customWidth="1"/>
    <col min="7" max="7" width="15.81640625" style="3" customWidth="1"/>
    <col min="8" max="8" width="17.26953125" style="3" customWidth="1"/>
    <col min="9" max="16384" width="9.1796875" style="1"/>
  </cols>
  <sheetData>
    <row r="1" spans="4:16" ht="15" customHeight="1" x14ac:dyDescent="0.25"/>
    <row r="2" spans="4:16" ht="58.5" customHeight="1" x14ac:dyDescent="0.25">
      <c r="D2" s="15"/>
      <c r="E2" s="15"/>
      <c r="F2" s="15"/>
      <c r="G2" s="15"/>
      <c r="H2" s="15"/>
      <c r="I2" s="15"/>
      <c r="J2" s="15"/>
      <c r="K2"/>
      <c r="O2"/>
      <c r="P2"/>
    </row>
    <row r="3" spans="4:16" x14ac:dyDescent="0.25">
      <c r="D3"/>
      <c r="E3"/>
      <c r="F3"/>
      <c r="G3"/>
      <c r="H3"/>
      <c r="I3"/>
      <c r="J3"/>
      <c r="K3"/>
      <c r="O3"/>
      <c r="P3"/>
    </row>
    <row r="4" spans="4:16" ht="49" customHeight="1" x14ac:dyDescent="0.25">
      <c r="D4" s="17" t="s">
        <v>4</v>
      </c>
      <c r="E4" s="17"/>
      <c r="F4" s="17"/>
      <c r="G4" s="17"/>
      <c r="H4" s="17"/>
    </row>
    <row r="5" spans="4:16" ht="19" customHeight="1" x14ac:dyDescent="0.25">
      <c r="D5" s="18" t="s">
        <v>15</v>
      </c>
      <c r="G5" s="1"/>
      <c r="H5" s="1"/>
    </row>
    <row r="6" spans="4:16" ht="19.5" customHeight="1" x14ac:dyDescent="0.25">
      <c r="D6" s="1"/>
      <c r="G6" s="1"/>
      <c r="H6" s="1"/>
    </row>
    <row r="7" spans="4:16" s="2" customFormat="1" ht="18" customHeight="1" x14ac:dyDescent="0.25">
      <c r="D7" s="16" t="s">
        <v>16</v>
      </c>
      <c r="E7" s="19" t="s">
        <v>5</v>
      </c>
      <c r="F7" s="19" t="s">
        <v>6</v>
      </c>
      <c r="G7" s="19" t="s">
        <v>7</v>
      </c>
      <c r="H7" s="25" t="s">
        <v>8</v>
      </c>
    </row>
    <row r="8" spans="4:16" s="2" customFormat="1" ht="18" customHeight="1" x14ac:dyDescent="0.25">
      <c r="D8" s="5" t="s">
        <v>17</v>
      </c>
      <c r="E8" s="7">
        <v>1500</v>
      </c>
      <c r="F8" s="9">
        <v>1200</v>
      </c>
      <c r="G8" s="10">
        <f>IF(OR(F8&lt;&gt;0,E8),F8-E8,)</f>
        <v>-300</v>
      </c>
      <c r="H8" s="11">
        <f>IFERROR(G8/E8,0)</f>
        <v>-0.2</v>
      </c>
    </row>
    <row r="9" spans="4:16" s="2" customFormat="1" ht="18" customHeight="1" x14ac:dyDescent="0.25">
      <c r="D9" s="5" t="s">
        <v>18</v>
      </c>
      <c r="E9" s="7">
        <v>2500</v>
      </c>
      <c r="F9" s="9">
        <v>2600</v>
      </c>
      <c r="G9" s="10">
        <f t="shared" ref="G9:G16" si="0">IF(OR(F9&lt;&gt;0,E9),F9-E9,)</f>
        <v>100</v>
      </c>
      <c r="H9" s="11">
        <f t="shared" ref="H9:H16" si="1">IFERROR(G9/E9,0)</f>
        <v>0.04</v>
      </c>
    </row>
    <row r="10" spans="4:16" s="2" customFormat="1" ht="18" customHeight="1" x14ac:dyDescent="0.25">
      <c r="D10" s="5" t="s">
        <v>12</v>
      </c>
      <c r="E10" s="7">
        <v>900</v>
      </c>
      <c r="F10" s="9">
        <v>1200</v>
      </c>
      <c r="G10" s="10">
        <f t="shared" si="0"/>
        <v>300</v>
      </c>
      <c r="H10" s="11">
        <f t="shared" si="1"/>
        <v>0.33333333333333331</v>
      </c>
    </row>
    <row r="11" spans="4:16" s="2" customFormat="1" ht="18" customHeight="1" x14ac:dyDescent="0.25">
      <c r="D11" s="5" t="s">
        <v>9</v>
      </c>
      <c r="E11" s="7">
        <v>800</v>
      </c>
      <c r="F11" s="9">
        <v>600</v>
      </c>
      <c r="G11" s="10">
        <f t="shared" si="0"/>
        <v>-200</v>
      </c>
      <c r="H11" s="11">
        <f t="shared" si="1"/>
        <v>-0.25</v>
      </c>
    </row>
    <row r="12" spans="4:16" s="2" customFormat="1" ht="18" customHeight="1" x14ac:dyDescent="0.25">
      <c r="D12" s="5" t="s">
        <v>19</v>
      </c>
      <c r="E12" s="7"/>
      <c r="F12" s="9"/>
      <c r="G12" s="10">
        <f t="shared" si="0"/>
        <v>0</v>
      </c>
      <c r="H12" s="11">
        <f t="shared" si="1"/>
        <v>0</v>
      </c>
    </row>
    <row r="13" spans="4:16" s="2" customFormat="1" ht="18" customHeight="1" x14ac:dyDescent="0.25">
      <c r="D13" s="5" t="s">
        <v>20</v>
      </c>
      <c r="E13" s="7"/>
      <c r="F13" s="9"/>
      <c r="G13" s="10">
        <f t="shared" si="0"/>
        <v>0</v>
      </c>
      <c r="H13" s="11">
        <f t="shared" si="1"/>
        <v>0</v>
      </c>
    </row>
    <row r="14" spans="4:16" s="2" customFormat="1" ht="18" customHeight="1" x14ac:dyDescent="0.25">
      <c r="D14" s="5" t="s">
        <v>22</v>
      </c>
      <c r="E14" s="7"/>
      <c r="F14" s="9"/>
      <c r="G14" s="10">
        <f t="shared" si="0"/>
        <v>0</v>
      </c>
      <c r="H14" s="11">
        <f t="shared" si="1"/>
        <v>0</v>
      </c>
    </row>
    <row r="15" spans="4:16" s="2" customFormat="1" ht="24.5" hidden="1" customHeight="1" x14ac:dyDescent="0.25">
      <c r="D15" s="5"/>
      <c r="E15" s="7"/>
      <c r="F15" s="21"/>
      <c r="G15" s="10">
        <f t="shared" si="0"/>
        <v>0</v>
      </c>
      <c r="H15" s="11">
        <f t="shared" si="1"/>
        <v>0</v>
      </c>
    </row>
    <row r="16" spans="4:16" s="2" customFormat="1" ht="24.5" hidden="1" customHeight="1" x14ac:dyDescent="0.25">
      <c r="D16" s="5"/>
      <c r="E16" s="7"/>
      <c r="F16" s="21"/>
      <c r="G16" s="10">
        <f t="shared" si="0"/>
        <v>0</v>
      </c>
      <c r="H16" s="11">
        <f t="shared" si="1"/>
        <v>0</v>
      </c>
    </row>
    <row r="17" spans="4:26" s="2" customFormat="1" ht="18" customHeight="1" x14ac:dyDescent="0.25">
      <c r="D17" s="16" t="s">
        <v>21</v>
      </c>
      <c r="E17" s="19" t="s">
        <v>5</v>
      </c>
      <c r="F17" s="19" t="s">
        <v>6</v>
      </c>
      <c r="G17" s="19" t="s">
        <v>7</v>
      </c>
      <c r="H17" s="25" t="s">
        <v>8</v>
      </c>
    </row>
    <row r="18" spans="4:26" s="2" customFormat="1" ht="18" customHeight="1" x14ac:dyDescent="0.25">
      <c r="D18" s="5" t="s">
        <v>23</v>
      </c>
      <c r="E18" s="12"/>
      <c r="F18" s="12"/>
      <c r="G18" s="10">
        <f t="shared" ref="G18:G29" si="2">IF(OR(F18&lt;&gt;0,E18),F18-E18,)</f>
        <v>0</v>
      </c>
      <c r="H18" s="11">
        <f t="shared" ref="H18:H29" si="3">IFERROR(G18/E18,0)</f>
        <v>0</v>
      </c>
    </row>
    <row r="19" spans="4:26" s="2" customFormat="1" ht="18" customHeight="1" x14ac:dyDescent="0.25">
      <c r="D19" s="5" t="s">
        <v>24</v>
      </c>
      <c r="E19" s="8"/>
      <c r="F19" s="8"/>
      <c r="G19" s="10">
        <f t="shared" si="2"/>
        <v>0</v>
      </c>
      <c r="H19" s="11">
        <f t="shared" si="3"/>
        <v>0</v>
      </c>
    </row>
    <row r="20" spans="4:26" s="2" customFormat="1" ht="18" customHeight="1" x14ac:dyDescent="0.25">
      <c r="D20" s="5" t="s">
        <v>25</v>
      </c>
      <c r="E20" s="8"/>
      <c r="F20" s="8"/>
      <c r="G20" s="10">
        <f t="shared" si="2"/>
        <v>0</v>
      </c>
      <c r="H20" s="11">
        <f t="shared" si="3"/>
        <v>0</v>
      </c>
    </row>
    <row r="21" spans="4:26" s="2" customFormat="1" ht="18" customHeight="1" x14ac:dyDescent="0.25">
      <c r="D21" s="5" t="s">
        <v>26</v>
      </c>
      <c r="E21" s="8"/>
      <c r="F21" s="8"/>
      <c r="G21" s="10">
        <f t="shared" si="2"/>
        <v>0</v>
      </c>
      <c r="H21" s="11">
        <f t="shared" si="3"/>
        <v>0</v>
      </c>
    </row>
    <row r="22" spans="4:26" s="2" customFormat="1" ht="18" customHeight="1" x14ac:dyDescent="0.25">
      <c r="D22" s="5" t="s">
        <v>27</v>
      </c>
      <c r="E22" s="8"/>
      <c r="F22" s="8"/>
      <c r="G22" s="10">
        <f t="shared" si="2"/>
        <v>0</v>
      </c>
      <c r="H22" s="11">
        <f t="shared" si="3"/>
        <v>0</v>
      </c>
    </row>
    <row r="23" spans="4:26" s="2" customFormat="1" ht="18" customHeight="1" x14ac:dyDescent="0.25">
      <c r="D23" s="5" t="s">
        <v>28</v>
      </c>
      <c r="E23" s="8"/>
      <c r="F23" s="8"/>
      <c r="G23" s="10">
        <f t="shared" si="2"/>
        <v>0</v>
      </c>
      <c r="H23" s="11">
        <f t="shared" si="3"/>
        <v>0</v>
      </c>
    </row>
    <row r="24" spans="4:26" s="2" customFormat="1" ht="18" customHeight="1" x14ac:dyDescent="0.25">
      <c r="D24" s="5" t="s">
        <v>29</v>
      </c>
      <c r="E24" s="8"/>
      <c r="F24" s="8"/>
      <c r="G24" s="10">
        <f t="shared" si="2"/>
        <v>0</v>
      </c>
      <c r="H24" s="11">
        <f t="shared" si="3"/>
        <v>0</v>
      </c>
    </row>
    <row r="25" spans="4:26" s="2" customFormat="1" ht="18" customHeight="1" x14ac:dyDescent="0.25">
      <c r="D25" s="5" t="s">
        <v>13</v>
      </c>
      <c r="E25" s="8"/>
      <c r="F25" s="8"/>
      <c r="G25" s="10">
        <f t="shared" si="2"/>
        <v>0</v>
      </c>
      <c r="H25" s="11">
        <f t="shared" si="3"/>
        <v>0</v>
      </c>
    </row>
    <row r="26" spans="4:26" s="2" customFormat="1" ht="18" customHeight="1" x14ac:dyDescent="0.25">
      <c r="D26" s="5" t="s">
        <v>14</v>
      </c>
      <c r="E26" s="8"/>
      <c r="F26" s="8"/>
      <c r="G26" s="10">
        <f t="shared" si="2"/>
        <v>0</v>
      </c>
      <c r="H26" s="11">
        <f t="shared" si="3"/>
        <v>0</v>
      </c>
    </row>
    <row r="27" spans="4:26" s="2" customFormat="1" ht="24.5" customHeight="1" x14ac:dyDescent="0.25">
      <c r="D27" s="5"/>
      <c r="E27" s="8"/>
      <c r="F27" s="8"/>
      <c r="G27" s="10">
        <f t="shared" si="2"/>
        <v>0</v>
      </c>
      <c r="H27" s="11">
        <f t="shared" si="3"/>
        <v>0</v>
      </c>
    </row>
    <row r="28" spans="4:26" s="2" customFormat="1" ht="24.5" customHeight="1" x14ac:dyDescent="0.25">
      <c r="D28" s="5"/>
      <c r="E28" s="8"/>
      <c r="F28" s="8"/>
      <c r="G28" s="10">
        <f t="shared" si="2"/>
        <v>0</v>
      </c>
      <c r="H28" s="11">
        <f t="shared" si="3"/>
        <v>0</v>
      </c>
      <c r="Z28" s="2">
        <f>21.11/1.5</f>
        <v>14.073333333333332</v>
      </c>
    </row>
    <row r="29" spans="4:26" s="2" customFormat="1" ht="24.5" customHeight="1" x14ac:dyDescent="0.25">
      <c r="D29" s="5"/>
      <c r="E29" s="8"/>
      <c r="F29" s="8"/>
      <c r="G29" s="10">
        <f t="shared" si="2"/>
        <v>0</v>
      </c>
      <c r="H29" s="11">
        <f t="shared" si="3"/>
        <v>0</v>
      </c>
    </row>
    <row r="30" spans="4:26" s="2" customFormat="1" ht="18" customHeight="1" x14ac:dyDescent="0.25">
      <c r="D30" s="16" t="s">
        <v>30</v>
      </c>
      <c r="E30" s="19" t="s">
        <v>5</v>
      </c>
      <c r="F30" s="19" t="s">
        <v>6</v>
      </c>
      <c r="G30" s="19" t="s">
        <v>7</v>
      </c>
      <c r="H30" s="25" t="s">
        <v>8</v>
      </c>
    </row>
    <row r="31" spans="4:26" s="2" customFormat="1" ht="18" customHeight="1" x14ac:dyDescent="0.25">
      <c r="D31" s="5" t="s">
        <v>10</v>
      </c>
      <c r="E31" s="8"/>
      <c r="F31" s="8"/>
      <c r="G31" s="10">
        <f t="shared" ref="G31:G38" si="4">IF(OR(F31&lt;&gt;0,E31),F31-E31,)</f>
        <v>0</v>
      </c>
      <c r="H31" s="11">
        <f t="shared" ref="H31:H38" si="5">IFERROR(G31/E31,0)</f>
        <v>0</v>
      </c>
    </row>
    <row r="32" spans="4:26" s="2" customFormat="1" ht="18" customHeight="1" x14ac:dyDescent="0.25">
      <c r="D32" s="5" t="s">
        <v>31</v>
      </c>
      <c r="E32" s="8"/>
      <c r="F32" s="8"/>
      <c r="G32" s="10">
        <f t="shared" si="4"/>
        <v>0</v>
      </c>
      <c r="H32" s="11">
        <f t="shared" si="5"/>
        <v>0</v>
      </c>
    </row>
    <row r="33" spans="4:8" s="2" customFormat="1" ht="18" customHeight="1" x14ac:dyDescent="0.25">
      <c r="D33" s="5" t="s">
        <v>32</v>
      </c>
      <c r="E33" s="8"/>
      <c r="F33" s="8"/>
      <c r="G33" s="10">
        <f t="shared" si="4"/>
        <v>0</v>
      </c>
      <c r="H33" s="11">
        <f t="shared" si="5"/>
        <v>0</v>
      </c>
    </row>
    <row r="34" spans="4:8" s="2" customFormat="1" ht="18" customHeight="1" x14ac:dyDescent="0.25">
      <c r="D34" s="5" t="s">
        <v>33</v>
      </c>
      <c r="E34" s="8"/>
      <c r="F34" s="8"/>
      <c r="G34" s="10">
        <f t="shared" si="4"/>
        <v>0</v>
      </c>
      <c r="H34" s="11">
        <f t="shared" si="5"/>
        <v>0</v>
      </c>
    </row>
    <row r="35" spans="4:8" s="2" customFormat="1" ht="18" customHeight="1" x14ac:dyDescent="0.25">
      <c r="D35" s="5" t="s">
        <v>34</v>
      </c>
      <c r="E35" s="8"/>
      <c r="F35" s="8"/>
      <c r="G35" s="10">
        <f t="shared" si="4"/>
        <v>0</v>
      </c>
      <c r="H35" s="11">
        <f t="shared" si="5"/>
        <v>0</v>
      </c>
    </row>
    <row r="36" spans="4:8" s="2" customFormat="1" ht="24.5" customHeight="1" x14ac:dyDescent="0.25">
      <c r="D36" s="20"/>
      <c r="E36" s="8"/>
      <c r="F36" s="8"/>
      <c r="G36" s="10">
        <f t="shared" si="4"/>
        <v>0</v>
      </c>
      <c r="H36" s="11">
        <f t="shared" si="5"/>
        <v>0</v>
      </c>
    </row>
    <row r="37" spans="4:8" s="2" customFormat="1" ht="24.5" customHeight="1" x14ac:dyDescent="0.25">
      <c r="D37" s="20"/>
      <c r="E37" s="8"/>
      <c r="F37" s="8"/>
      <c r="G37" s="10">
        <f t="shared" si="4"/>
        <v>0</v>
      </c>
      <c r="H37" s="11">
        <f t="shared" si="5"/>
        <v>0</v>
      </c>
    </row>
    <row r="38" spans="4:8" s="2" customFormat="1" ht="24.5" customHeight="1" x14ac:dyDescent="0.25">
      <c r="D38" s="20"/>
      <c r="E38" s="8"/>
      <c r="F38" s="8"/>
      <c r="G38" s="10">
        <f t="shared" si="4"/>
        <v>0</v>
      </c>
      <c r="H38" s="11">
        <f t="shared" si="5"/>
        <v>0</v>
      </c>
    </row>
    <row r="39" spans="4:8" s="2" customFormat="1" ht="18" customHeight="1" x14ac:dyDescent="0.25">
      <c r="D39" s="16" t="s">
        <v>35</v>
      </c>
      <c r="E39" s="19" t="s">
        <v>5</v>
      </c>
      <c r="F39" s="19" t="s">
        <v>6</v>
      </c>
      <c r="G39" s="19" t="s">
        <v>7</v>
      </c>
      <c r="H39" s="25" t="s">
        <v>8</v>
      </c>
    </row>
    <row r="40" spans="4:8" s="2" customFormat="1" ht="18" customHeight="1" x14ac:dyDescent="0.25">
      <c r="D40" s="20" t="s">
        <v>36</v>
      </c>
      <c r="E40" s="8"/>
      <c r="F40" s="8"/>
      <c r="G40" s="10">
        <f t="shared" ref="G40:G46" si="6">IF(OR(F40&lt;&gt;0,E40),F40-E40,)</f>
        <v>0</v>
      </c>
      <c r="H40" s="11">
        <f t="shared" ref="H40:H48" si="7">IFERROR(G40/E40,0)</f>
        <v>0</v>
      </c>
    </row>
    <row r="41" spans="4:8" s="2" customFormat="1" ht="18" customHeight="1" x14ac:dyDescent="0.25">
      <c r="D41" s="20" t="s">
        <v>37</v>
      </c>
      <c r="E41" s="8"/>
      <c r="F41" s="8"/>
      <c r="G41" s="10">
        <f t="shared" si="6"/>
        <v>0</v>
      </c>
      <c r="H41" s="11">
        <f t="shared" si="7"/>
        <v>0</v>
      </c>
    </row>
    <row r="42" spans="4:8" s="2" customFormat="1" ht="18" customHeight="1" x14ac:dyDescent="0.25">
      <c r="D42" s="20" t="s">
        <v>11</v>
      </c>
      <c r="E42" s="8"/>
      <c r="F42" s="8"/>
      <c r="G42" s="10">
        <f t="shared" si="6"/>
        <v>0</v>
      </c>
      <c r="H42" s="11">
        <f t="shared" si="7"/>
        <v>0</v>
      </c>
    </row>
    <row r="43" spans="4:8" s="2" customFormat="1" ht="18" customHeight="1" x14ac:dyDescent="0.25">
      <c r="D43" s="20" t="s">
        <v>38</v>
      </c>
      <c r="E43" s="8"/>
      <c r="F43" s="8"/>
      <c r="G43" s="10">
        <f t="shared" si="6"/>
        <v>0</v>
      </c>
      <c r="H43" s="11">
        <f t="shared" si="7"/>
        <v>0</v>
      </c>
    </row>
    <row r="44" spans="4:8" s="2" customFormat="1" ht="24.5" customHeight="1" x14ac:dyDescent="0.25">
      <c r="D44" s="20"/>
      <c r="E44" s="8"/>
      <c r="F44" s="8"/>
      <c r="G44" s="10">
        <f t="shared" si="6"/>
        <v>0</v>
      </c>
      <c r="H44" s="11">
        <f t="shared" si="7"/>
        <v>0</v>
      </c>
    </row>
    <row r="45" spans="4:8" s="2" customFormat="1" ht="24.5" customHeight="1" x14ac:dyDescent="0.25">
      <c r="D45" s="20"/>
      <c r="E45" s="8"/>
      <c r="F45" s="8"/>
      <c r="G45" s="10">
        <f t="shared" si="6"/>
        <v>0</v>
      </c>
      <c r="H45" s="11">
        <f t="shared" si="7"/>
        <v>0</v>
      </c>
    </row>
    <row r="46" spans="4:8" s="2" customFormat="1" ht="24.5" customHeight="1" x14ac:dyDescent="0.25">
      <c r="D46" s="20"/>
      <c r="E46" s="8"/>
      <c r="F46" s="8"/>
      <c r="G46" s="10">
        <f t="shared" si="6"/>
        <v>0</v>
      </c>
      <c r="H46" s="11">
        <f t="shared" si="7"/>
        <v>0</v>
      </c>
    </row>
    <row r="47" spans="4:8" s="2" customFormat="1" ht="18" customHeight="1" x14ac:dyDescent="0.25">
      <c r="D47" s="16" t="s">
        <v>40</v>
      </c>
      <c r="E47" s="19" t="s">
        <v>5</v>
      </c>
      <c r="F47" s="19" t="s">
        <v>6</v>
      </c>
      <c r="G47" s="19" t="s">
        <v>7</v>
      </c>
      <c r="H47" s="25" t="s">
        <v>8</v>
      </c>
    </row>
    <row r="48" spans="4:8" s="2" customFormat="1" ht="18" customHeight="1" x14ac:dyDescent="0.25">
      <c r="D48" s="6"/>
      <c r="E48" s="13">
        <f>SUM(E8:E46)</f>
        <v>5700</v>
      </c>
      <c r="F48" s="13">
        <f>SUM(F8:F46)</f>
        <v>5600</v>
      </c>
      <c r="G48" s="13">
        <f>IF(OR(F48&lt;&gt;0,E48),F48-E48,)</f>
        <v>-100</v>
      </c>
      <c r="H48" s="11">
        <f t="shared" si="7"/>
        <v>-1.7543859649122806E-2</v>
      </c>
    </row>
    <row r="49" spans="4:8" s="2" customFormat="1" x14ac:dyDescent="0.25">
      <c r="D49" s="4"/>
      <c r="E49" s="4"/>
      <c r="F49" s="4"/>
      <c r="G49" s="4"/>
      <c r="H49" s="4"/>
    </row>
  </sheetData>
  <scenarios current="4" show="4">
    <scenario name="USER_01" count="4" user="Scott Tucker">
      <inputCells r="E8" val=""/>
      <inputCells r="E9" val=""/>
      <inputCells r="E10" val=""/>
      <inputCells r="E11" val=""/>
    </scenario>
    <scenario name="USER_02" count="4" user="Scott Tucker">
      <inputCells r="F8" val=""/>
      <inputCells r="F9" val=""/>
      <inputCells r="F10" val=""/>
      <inputCells r="F11" val=""/>
    </scenario>
    <scenario name="USER_03" count="2" user="Scott Tucker">
      <inputCells r="F4" val="&lt;-- Enter company name in cell to the left     "/>
      <inputCells r="H4" val="&lt;-- Enter month and year in cell to the left     "/>
    </scenario>
    <scenario name="USER_04" count="11" user="Scott Tucker">
      <inputCells r="E18" val=""/>
      <inputCells r="E19" val=""/>
      <inputCells r="E20" val=""/>
      <inputCells r="E21" val=""/>
      <inputCells r="E22" val=""/>
      <inputCells r="E23" val=""/>
      <inputCells r="E24" val=""/>
      <inputCells r="E25" val=""/>
      <inputCells r="E26" val=""/>
      <inputCells r="E29" val=""/>
      <inputCells r="E35" val=""/>
    </scenario>
    <scenario name="USER_05" count="11" user="Scott Tucker">
      <inputCells r="F18" val=""/>
      <inputCells r="F19" val=""/>
      <inputCells r="F20" val=""/>
      <inputCells r="F21" val=""/>
      <inputCells r="F22" val=""/>
      <inputCells r="F23" val=""/>
      <inputCells r="F24" val=""/>
      <inputCells r="F25" val=""/>
      <inputCells r="F26" val=""/>
      <inputCells r="F29" val=""/>
      <inputCells r="F35" val=""/>
    </scenario>
    <scenario name="EXAMPLE_01" count="4" user="sachtani">
      <inputCells r="E8" val="25000" numFmtId="164"/>
      <inputCells r="E9" val="15000" numFmtId="38"/>
      <inputCells r="E10" val="27500" numFmtId="38"/>
      <inputCells r="E11" val="12000" numFmtId="38"/>
    </scenario>
    <scenario name="EXAMPLE_02" count="4" user="sachtani">
      <inputCells r="F8" val="28150" numFmtId="164"/>
      <inputCells r="F9" val="16260" numFmtId="38"/>
      <inputCells r="F10" val="23220" numFmtId="38"/>
      <inputCells r="F11" val="9640" numFmtId="38"/>
    </scenario>
    <scenario name="EXAMPLE_03" count="2" user="sachtani">
      <inputCells r="F4" val="Condor Extruding, Inc."/>
      <inputCells r="H4" val="for April, 2001"/>
    </scenario>
    <scenario name="EXAMPLE_04" count="11" user="sachtani">
      <inputCells r="E18" val="48000" numFmtId="164"/>
      <inputCells r="E19" val="4000" numFmtId="38"/>
      <inputCells r="E20" val="6000" numFmtId="38"/>
      <inputCells r="E21" val="3400" numFmtId="38"/>
      <inputCells r="E22" val="3000" numFmtId="38"/>
      <inputCells r="E23" val="500" numFmtId="38"/>
      <inputCells r="E24" val="14000" numFmtId="38"/>
      <inputCells r="E25" val="300" numFmtId="38"/>
      <inputCells r="E26" val="125" numFmtId="38"/>
      <inputCells r="E29" val="450" numFmtId="38"/>
      <inputCells r="E35" val="2000" numFmtId="38"/>
    </scenario>
    <scenario name="EXAMPLE_05" count="11" user="sachtani">
      <inputCells r="F18" val="37260" numFmtId="164"/>
      <inputCells r="F19" val="6130" numFmtId="38"/>
      <inputCells r="F20" val="9260" numFmtId="38"/>
      <inputCells r="F21" val="5150" numFmtId="38"/>
      <inputCells r="F22" val="2570" numFmtId="38"/>
      <inputCells r="F23" val="370" numFmtId="38"/>
      <inputCells r="F24" val="12850" numFmtId="38"/>
      <inputCells r="F25" val="370" numFmtId="38"/>
      <inputCells r="F26" val="160" numFmtId="38"/>
      <inputCells r="F29" val="450" numFmtId="38"/>
      <inputCells r="F35" val="2460" numFmtId="38"/>
    </scenario>
  </scenarios>
  <phoneticPr fontId="0" type="noConversion"/>
  <printOptions horizontalCentered="1"/>
  <pageMargins left="0.65" right="0.65" top="0.65" bottom="0.65" header="0.5" footer="0.5"/>
  <pageSetup scale="87" orientation="portrait" horizontalDpi="300" verticalDpi="300" r:id="rId1"/>
  <headerFooter alignWithMargins="0"/>
  <ignoredErrors>
    <ignoredError sqref="G8" emptyCellReferenc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B6"/>
  <sheetViews>
    <sheetView showRowColHeaders="0" workbookViewId="0"/>
  </sheetViews>
  <sheetFormatPr baseColWidth="10" defaultRowHeight="12.5" x14ac:dyDescent="0.25"/>
  <cols>
    <col min="1" max="256" width="9.1796875" customWidth="1"/>
  </cols>
  <sheetData>
    <row r="1" spans="1:2" s="14" customFormat="1" ht="30" customHeight="1" x14ac:dyDescent="0.25"/>
    <row r="2" spans="1:2" ht="15" customHeight="1" x14ac:dyDescent="0.25"/>
    <row r="3" spans="1:2" x14ac:dyDescent="0.25">
      <c r="A3" t="s">
        <v>0</v>
      </c>
    </row>
    <row r="4" spans="1:2" x14ac:dyDescent="0.25">
      <c r="A4" t="s">
        <v>1</v>
      </c>
      <c r="B4" t="b">
        <v>0</v>
      </c>
    </row>
    <row r="5" spans="1:2" x14ac:dyDescent="0.25">
      <c r="A5" t="s">
        <v>2</v>
      </c>
    </row>
    <row r="6" spans="1:2" x14ac:dyDescent="0.25">
      <c r="A6" t="s">
        <v>3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OOFile" ma:contentTypeID="0x0101006025706CF4CD034688BEBAE97A2E701D020200C3831ACA17D8814887A164412888521E" ma:contentTypeVersion="7" ma:contentTypeDescription="Create a new document." ma:contentTypeScope="" ma:versionID="ed1fea5d08807278759d338940aa9e8f">
  <xsd:schema xmlns:xsd="http://www.w3.org/2001/XMLSchema" xmlns:xs="http://www.w3.org/2001/XMLSchema" xmlns:p="http://schemas.microsoft.com/office/2006/metadata/properties" xmlns:ns2="145c5697-5eb5-440b-b2f1-a8273fb59250" targetNamespace="http://schemas.microsoft.com/office/2006/metadata/properties" ma:root="true" ma:fieldsID="174e4b03d57b3d621fa064bbab783e99" ns2:_="">
    <xsd:import namespace="145c5697-5eb5-440b-b2f1-a8273fb59250"/>
    <xsd:element name="properties">
      <xsd:complexType>
        <xsd:sequence>
          <xsd:element name="documentManagement">
            <xsd:complexType>
              <xsd:all>
                <xsd:element ref="ns2:AssetId" minOccurs="0"/>
                <xsd:element ref="ns2:AuthoringAssetId" minOccurs="0"/>
                <xsd:element ref="ns2:AssetType" minOccurs="0"/>
                <xsd:element ref="ns2:Markets" minOccurs="0"/>
                <xsd:element ref="ns2:NumericAssetId" minOccurs="0"/>
                <xsd:element ref="ns2:AppV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5697-5eb5-440b-b2f1-a8273fb59250" elementFormDefault="qualified">
    <xsd:import namespace="http://schemas.microsoft.com/office/2006/documentManagement/types"/>
    <xsd:import namespace="http://schemas.microsoft.com/office/infopath/2007/PartnerControls"/>
    <xsd:element name="AssetId" ma:index="8" nillable="true" ma:displayName="AssetId" ma:indexed="true" ma:internalName="AssetId" ma:readOnly="false">
      <xsd:simpleType>
        <xsd:restriction base="dms:Text"/>
      </xsd:simpleType>
    </xsd:element>
    <xsd:element name="AuthoringAssetId" ma:index="9" nillable="true" ma:displayName="AuthoringAssetId" ma:indexed="true" ma:internalName="AuthoringAssetId" ma:readOnly="false">
      <xsd:simpleType>
        <xsd:restriction base="dms:Text"/>
      </xsd:simpleType>
    </xsd:element>
    <xsd:element name="AssetType" ma:index="10" nillable="true" ma:displayName="AssetType" ma:internalName="AssetType" ma:readOnly="false">
      <xsd:simpleType>
        <xsd:restriction base="dms:Text"/>
      </xsd:simpleType>
    </xsd:element>
    <xsd:element name="Markets" ma:index="11" nillable="true" ma:displayName="Markets" ma:internalName="Markets" ma:readOnly="false">
      <xsd:simpleType>
        <xsd:restriction base="dms:Text"/>
      </xsd:simpleType>
    </xsd:element>
    <xsd:element name="NumericAssetId" ma:index="12" nillable="true" ma:displayName="NumericAssetId" ma:indexed="true" ma:internalName="NumericAssetId" ma:readOnly="false">
      <xsd:simpleType>
        <xsd:restriction base="dms:Unknown"/>
      </xsd:simpleType>
    </xsd:element>
    <xsd:element name="AppVer" ma:index="13" nillable="true" ma:displayName="AppVer" ma:internalName="AppVer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ericAssetId xmlns="145c5697-5eb5-440b-b2f1-a8273fb59250" xsi:nil="true"/>
    <AssetType xmlns="145c5697-5eb5-440b-b2f1-a8273fb59250">TP</AssetType>
    <Markets xmlns="145c5697-5eb5-440b-b2f1-a8273fb59250" xsi:nil="true"/>
    <AppVer xmlns="145c5697-5eb5-440b-b2f1-a8273fb59250" xsi:nil="true"/>
    <AuthoringAssetId xmlns="145c5697-5eb5-440b-b2f1-a8273fb59250">TP001061833</AuthoringAssetId>
    <AssetId xmlns="145c5697-5eb5-440b-b2f1-a8273fb59250">TS001061833</AssetId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4DDA53-EABD-4BBC-A2E4-D62AAFE899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5c5697-5eb5-440b-b2f1-a8273fb592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EC8EC1E9-58D4-40FB-A6AB-D7ED5E271AB4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EAE528F-96B2-47F8-B30E-C688C6E3BB57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145c5697-5eb5-440b-b2f1-a8273fb59250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9F49EC13-8BC7-42EF-9481-F975F4271D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10</vt:i4>
      </vt:variant>
    </vt:vector>
  </HeadingPairs>
  <TitlesOfParts>
    <vt:vector size="12" baseType="lpstr">
      <vt:lpstr>- AYUDA -</vt:lpstr>
      <vt:lpstr>Presupuesto versus Gastado</vt:lpstr>
      <vt:lpstr>_Example</vt:lpstr>
      <vt:lpstr>_Look</vt:lpstr>
      <vt:lpstr>_Series</vt:lpstr>
      <vt:lpstr>_Shading</vt:lpstr>
      <vt:lpstr>'Presupuesto versus Gastado'!Área_de_impresión</vt:lpstr>
      <vt:lpstr>DATA_01</vt:lpstr>
      <vt:lpstr>DATA_02</vt:lpstr>
      <vt:lpstr>DATA_04</vt:lpstr>
      <vt:lpstr>DATA_05</vt:lpstr>
      <vt:lpstr>TemplatePrintArea</vt:lpstr>
    </vt:vector>
  </TitlesOfParts>
  <Company>TemplateZone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Expense budget spreadsheet</dc:title>
  <dc:creator>planillaexcel</dc:creator>
  <cp:lastModifiedBy>Cecilia PlanillaExcel</cp:lastModifiedBy>
  <cp:lastPrinted>2004-03-30T00:13:52Z</cp:lastPrinted>
  <dcterms:created xsi:type="dcterms:W3CDTF">1997-03-01T10:49:42Z</dcterms:created>
  <dcterms:modified xsi:type="dcterms:W3CDTF">2024-12-09T13:49:16Z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gNumber">
    <vt:lpwstr>485280P</vt:lpwstr>
  </property>
  <property fmtid="{D5CDD505-2E9C-101B-9397-08002B2CF9AE}" pid="3" name="TPInstallLocation">
    <vt:lpwstr>{My Templates}</vt:lpwstr>
  </property>
  <property fmtid="{D5CDD505-2E9C-101B-9397-08002B2CF9AE}" pid="4" name="PrimaryImageGen">
    <vt:lpwstr>1</vt:lpwstr>
  </property>
  <property fmtid="{D5CDD505-2E9C-101B-9397-08002B2CF9AE}" pid="5" name="display_urn:schemas-microsoft-com:office:office#APAuthor">
    <vt:lpwstr>REDMOND\cynvey</vt:lpwstr>
  </property>
  <property fmtid="{D5CDD505-2E9C-101B-9397-08002B2CF9AE}" pid="6" name="APAuthor">
    <vt:lpwstr>191</vt:lpwstr>
  </property>
  <property fmtid="{D5CDD505-2E9C-101B-9397-08002B2CF9AE}" pid="7" name="Milestone">
    <vt:lpwstr>Continuous</vt:lpwstr>
  </property>
  <property fmtid="{D5CDD505-2E9C-101B-9397-08002B2CF9AE}" pid="8" name="TPAppVersion">
    <vt:lpwstr>11</vt:lpwstr>
  </property>
  <property fmtid="{D5CDD505-2E9C-101B-9397-08002B2CF9AE}" pid="9" name="TPCommandLine">
    <vt:lpwstr>{XL} /t {FilePath}</vt:lpwstr>
  </property>
  <property fmtid="{D5CDD505-2E9C-101B-9397-08002B2CF9AE}" pid="10" name="IsSearchable">
    <vt:lpwstr>0</vt:lpwstr>
  </property>
  <property fmtid="{D5CDD505-2E9C-101B-9397-08002B2CF9AE}" pid="11" name="NumericId">
    <vt:lpwstr>-1.00000000000000</vt:lpwstr>
  </property>
  <property fmtid="{D5CDD505-2E9C-101B-9397-08002B2CF9AE}" pid="12" name="PublishTargets">
    <vt:lpwstr>OfficeOnline</vt:lpwstr>
  </property>
  <property fmtid="{D5CDD505-2E9C-101B-9397-08002B2CF9AE}" pid="13" name="TPLaunchHelpLinkType">
    <vt:lpwstr>Template</vt:lpwstr>
  </property>
  <property fmtid="{D5CDD505-2E9C-101B-9397-08002B2CF9AE}" pid="14" name="TPFriendlyName">
    <vt:lpwstr>Expense budget spreadsheet</vt:lpwstr>
  </property>
  <property fmtid="{D5CDD505-2E9C-101B-9397-08002B2CF9AE}" pid="15" name="display_urn:schemas-microsoft-com:office:office#APEditor">
    <vt:lpwstr>REDMOND\v-luannv</vt:lpwstr>
  </property>
  <property fmtid="{D5CDD505-2E9C-101B-9397-08002B2CF9AE}" pid="16" name="APEditor">
    <vt:lpwstr>92</vt:lpwstr>
  </property>
  <property fmtid="{D5CDD505-2E9C-101B-9397-08002B2CF9AE}" pid="17" name="Provider">
    <vt:lpwstr>EY001048118</vt:lpwstr>
  </property>
  <property fmtid="{D5CDD505-2E9C-101B-9397-08002B2CF9AE}" pid="18" name="SourceTitle">
    <vt:lpwstr>Expense budget spreadsheet</vt:lpwstr>
  </property>
  <property fmtid="{D5CDD505-2E9C-101B-9397-08002B2CF9AE}" pid="19" name="TPApplication">
    <vt:lpwstr>Excel</vt:lpwstr>
  </property>
  <property fmtid="{D5CDD505-2E9C-101B-9397-08002B2CF9AE}" pid="20" name="TPLaunchHelpLink">
    <vt:lpwstr/>
  </property>
  <property fmtid="{D5CDD505-2E9C-101B-9397-08002B2CF9AE}" pid="21" name="TemplateType">
    <vt:lpwstr>Statements</vt:lpwstr>
  </property>
  <property fmtid="{D5CDD505-2E9C-101B-9397-08002B2CF9AE}" pid="22" name="OpenTemplate">
    <vt:lpwstr>1</vt:lpwstr>
  </property>
  <property fmtid="{D5CDD505-2E9C-101B-9397-08002B2CF9AE}" pid="23" name="UACurrentWords">
    <vt:lpwstr>0</vt:lpwstr>
  </property>
  <property fmtid="{D5CDD505-2E9C-101B-9397-08002B2CF9AE}" pid="24" name="UALocRecommendation">
    <vt:lpwstr>Localize</vt:lpwstr>
  </property>
  <property fmtid="{D5CDD505-2E9C-101B-9397-08002B2CF9AE}" pid="25" name="Applications">
    <vt:lpwstr>182;#Office XP;#22;#Excel 2003;#23;#Microsoft Office Excel 2007;#79;#Template 12;#184;#Office 2000</vt:lpwstr>
  </property>
  <property fmtid="{D5CDD505-2E9C-101B-9397-08002B2CF9AE}" pid="26" name="TemplateStatus">
    <vt:lpwstr>Complete</vt:lpwstr>
  </property>
  <property fmtid="{D5CDD505-2E9C-101B-9397-08002B2CF9AE}" pid="27" name="ContentTypeId">
    <vt:lpwstr>0x0101006025706CF4CD034688BEBAE97A2E701D020200C3831ACA17D8814887A164412888521E</vt:lpwstr>
  </property>
  <property fmtid="{D5CDD505-2E9C-101B-9397-08002B2CF9AE}" pid="28" name="IsDeleted">
    <vt:lpwstr>0</vt:lpwstr>
  </property>
  <property fmtid="{D5CDD505-2E9C-101B-9397-08002B2CF9AE}" pid="29" name="ShowIn">
    <vt:lpwstr>Show everywhere</vt:lpwstr>
  </property>
  <property fmtid="{D5CDD505-2E9C-101B-9397-08002B2CF9AE}" pid="30" name="UANotes">
    <vt:lpwstr>399466P; June 2003 retrofit. Premium Exception Oct. 2003. June 2003 Retrofit_x000d_
_x000d_
Design Pass complete. Nparks: 01/11/03. SEO Pilot 2008</vt:lpwstr>
  </property>
  <property fmtid="{D5CDD505-2E9C-101B-9397-08002B2CF9AE}" pid="31" name="PublishStatusLookup">
    <vt:lpwstr>258516</vt:lpwstr>
  </property>
  <property fmtid="{D5CDD505-2E9C-101B-9397-08002B2CF9AE}" pid="32" name="TPComponent">
    <vt:lpwstr>EXCELFiles</vt:lpwstr>
  </property>
  <property fmtid="{D5CDD505-2E9C-101B-9397-08002B2CF9AE}" pid="33" name="TPNamespace">
    <vt:lpwstr>EXCEL</vt:lpwstr>
  </property>
  <property fmtid="{D5CDD505-2E9C-101B-9397-08002B2CF9AE}" pid="34" name="TPClientViewer">
    <vt:lpwstr>Microsoft Office Excel</vt:lpwstr>
  </property>
  <property fmtid="{D5CDD505-2E9C-101B-9397-08002B2CF9AE}" pid="35" name="APTrustLevel">
    <vt:lpwstr>1.00000000000000</vt:lpwstr>
  </property>
  <property fmtid="{D5CDD505-2E9C-101B-9397-08002B2CF9AE}" pid="36" name="TrustLevel">
    <vt:lpwstr>Microsoft Managed Content</vt:lpwstr>
  </property>
  <property fmtid="{D5CDD505-2E9C-101B-9397-08002B2CF9AE}" pid="37" name="Content Type">
    <vt:lpwstr>OOFile</vt:lpwstr>
  </property>
</Properties>
</file>