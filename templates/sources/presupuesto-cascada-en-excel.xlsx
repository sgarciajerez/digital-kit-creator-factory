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ecilia\Dropbox\Planilla Excel\Plantillas a subir 2017\"/>
    </mc:Choice>
  </mc:AlternateContent>
  <bookViews>
    <workbookView xWindow="0" yWindow="0" windowWidth="20490" windowHeight="7440"/>
  </bookViews>
  <sheets>
    <sheet name="Instrucciones" sheetId="3" r:id="rId1"/>
    <sheet name="Presupuesto Cascada" sheetId="1" r:id="rId2"/>
    <sheet name="Cálculos" sheetId="2" state="hidden" r:id="rId3"/>
  </sheets>
  <definedNames>
    <definedName name="Actual">SUM(Cálculos!$D$6:$D$17)</definedName>
    <definedName name="PSW_CALCULATE_0" hidden="1">'Presupuesto Cascada'!$P$5</definedName>
    <definedName name="PSW_SAVE_0" hidden="1">'Presupuesto Cascada'!$P$6</definedName>
    <definedName name="PSWInput_0_0" hidden="1">'Presupuesto Cascada'!$C$5</definedName>
    <definedName name="PSWInput_0_1" hidden="1">'Presupuesto Cascada'!$D$5</definedName>
    <definedName name="PSWInput_0_10" hidden="1">'Presupuesto Cascada'!$M$5</definedName>
    <definedName name="PSWInput_0_11" hidden="1">'Presupuesto Cascada'!$N$5</definedName>
    <definedName name="PSWInput_0_12" hidden="1">'Presupuesto Cascada'!$C$7</definedName>
    <definedName name="PSWInput_0_13" hidden="1">'Presupuesto Cascada'!$D$7</definedName>
    <definedName name="PSWInput_0_14" hidden="1">'Presupuesto Cascada'!$E$7</definedName>
    <definedName name="PSWInput_0_15" hidden="1">'Presupuesto Cascada'!$F$7</definedName>
    <definedName name="PSWInput_0_16" hidden="1">'Presupuesto Cascada'!$G$7</definedName>
    <definedName name="PSWInput_0_17" hidden="1">'Presupuesto Cascada'!$H$7</definedName>
    <definedName name="PSWInput_0_18" hidden="1">'Presupuesto Cascada'!$I$7</definedName>
    <definedName name="PSWInput_0_19" hidden="1">'Presupuesto Cascada'!$J$7</definedName>
    <definedName name="PSWInput_0_2" hidden="1">'Presupuesto Cascada'!$E$5</definedName>
    <definedName name="PSWInput_0_20" hidden="1">'Presupuesto Cascada'!$K$7</definedName>
    <definedName name="PSWInput_0_21" hidden="1">'Presupuesto Cascada'!$L$7</definedName>
    <definedName name="PSWInput_0_22" hidden="1">'Presupuesto Cascada'!$M$7</definedName>
    <definedName name="PSWInput_0_23" hidden="1">'Presupuesto Cascada'!$N$7</definedName>
    <definedName name="PSWInput_0_24" hidden="1">'Presupuesto Cascada'!$D$8</definedName>
    <definedName name="PSWInput_0_25" hidden="1">'Presupuesto Cascada'!$E$8</definedName>
    <definedName name="PSWInput_0_26" hidden="1">'Presupuesto Cascada'!$F$8</definedName>
    <definedName name="PSWInput_0_27" hidden="1">'Presupuesto Cascada'!$G$8</definedName>
    <definedName name="PSWInput_0_28" hidden="1">'Presupuesto Cascada'!$H$8</definedName>
    <definedName name="PSWInput_0_29" hidden="1">'Presupuesto Cascada'!$I$8</definedName>
    <definedName name="PSWInput_0_3" hidden="1">'Presupuesto Cascada'!$F$5</definedName>
    <definedName name="PSWInput_0_30" hidden="1">'Presupuesto Cascada'!$J$8</definedName>
    <definedName name="PSWInput_0_31" hidden="1">'Presupuesto Cascada'!$K$8</definedName>
    <definedName name="PSWInput_0_32" hidden="1">'Presupuesto Cascada'!$L$8</definedName>
    <definedName name="PSWInput_0_33" hidden="1">'Presupuesto Cascada'!$M$8</definedName>
    <definedName name="PSWInput_0_34" hidden="1">'Presupuesto Cascada'!$N$8</definedName>
    <definedName name="PSWInput_0_35" hidden="1">'Presupuesto Cascada'!$E$9</definedName>
    <definedName name="PSWInput_0_36" hidden="1">'Presupuesto Cascada'!$F$9</definedName>
    <definedName name="PSWInput_0_37" hidden="1">'Presupuesto Cascada'!$G$9</definedName>
    <definedName name="PSWInput_0_38" hidden="1">'Presupuesto Cascada'!$H$9</definedName>
    <definedName name="PSWInput_0_39" hidden="1">'Presupuesto Cascada'!$I$9</definedName>
    <definedName name="PSWInput_0_4" hidden="1">'Presupuesto Cascada'!$G$5</definedName>
    <definedName name="PSWInput_0_40" hidden="1">'Presupuesto Cascada'!$J$9</definedName>
    <definedName name="PSWInput_0_41" hidden="1">'Presupuesto Cascada'!$K$9</definedName>
    <definedName name="PSWInput_0_42" hidden="1">'Presupuesto Cascada'!$L$9</definedName>
    <definedName name="PSWInput_0_43" hidden="1">'Presupuesto Cascada'!$M$9</definedName>
    <definedName name="PSWInput_0_44" hidden="1">'Presupuesto Cascada'!$N$9</definedName>
    <definedName name="PSWInput_0_45" hidden="1">'Presupuesto Cascada'!$F$10</definedName>
    <definedName name="PSWInput_0_46" hidden="1">'Presupuesto Cascada'!$G$10</definedName>
    <definedName name="PSWInput_0_47" hidden="1">'Presupuesto Cascada'!$H$10</definedName>
    <definedName name="PSWInput_0_48" hidden="1">'Presupuesto Cascada'!$I$10</definedName>
    <definedName name="PSWInput_0_49" hidden="1">'Presupuesto Cascada'!$J$10</definedName>
    <definedName name="PSWInput_0_5" hidden="1">'Presupuesto Cascada'!$H$5</definedName>
    <definedName name="PSWInput_0_50" hidden="1">'Presupuesto Cascada'!$K$10</definedName>
    <definedName name="PSWInput_0_51" hidden="1">'Presupuesto Cascada'!$L$10</definedName>
    <definedName name="PSWInput_0_52" hidden="1">'Presupuesto Cascada'!$M$10</definedName>
    <definedName name="PSWInput_0_53" hidden="1">'Presupuesto Cascada'!$N$10</definedName>
    <definedName name="PSWInput_0_54" hidden="1">'Presupuesto Cascada'!$G$11</definedName>
    <definedName name="PSWInput_0_55" hidden="1">'Presupuesto Cascada'!$H$11</definedName>
    <definedName name="PSWInput_0_56" hidden="1">'Presupuesto Cascada'!$I$11</definedName>
    <definedName name="PSWInput_0_57" hidden="1">'Presupuesto Cascada'!$J$11</definedName>
    <definedName name="PSWInput_0_58" hidden="1">'Presupuesto Cascada'!$K$11</definedName>
    <definedName name="PSWInput_0_59" hidden="1">'Presupuesto Cascada'!$L$11</definedName>
    <definedName name="PSWInput_0_6" hidden="1">'Presupuesto Cascada'!$I$5</definedName>
    <definedName name="PSWInput_0_60" hidden="1">'Presupuesto Cascada'!$M$11</definedName>
    <definedName name="PSWInput_0_61" hidden="1">'Presupuesto Cascada'!$N$11</definedName>
    <definedName name="PSWInput_0_62" hidden="1">'Presupuesto Cascada'!$H$12</definedName>
    <definedName name="PSWInput_0_63" hidden="1">'Presupuesto Cascada'!$I$12</definedName>
    <definedName name="PSWInput_0_64" hidden="1">'Presupuesto Cascada'!$J$12</definedName>
    <definedName name="PSWInput_0_65" hidden="1">'Presupuesto Cascada'!$K$12</definedName>
    <definedName name="PSWInput_0_66" hidden="1">'Presupuesto Cascada'!$L$12</definedName>
    <definedName name="PSWInput_0_67" hidden="1">'Presupuesto Cascada'!$M$12</definedName>
    <definedName name="PSWInput_0_68" hidden="1">'Presupuesto Cascada'!$N$12</definedName>
    <definedName name="PSWInput_0_69" hidden="1">'Presupuesto Cascada'!$I$13</definedName>
    <definedName name="PSWInput_0_7" hidden="1">'Presupuesto Cascada'!$J$5</definedName>
    <definedName name="PSWInput_0_70" hidden="1">'Presupuesto Cascada'!$J$13</definedName>
    <definedName name="PSWInput_0_71" hidden="1">'Presupuesto Cascada'!$K$13</definedName>
    <definedName name="PSWInput_0_72" hidden="1">'Presupuesto Cascada'!$L$13</definedName>
    <definedName name="PSWInput_0_73" hidden="1">'Presupuesto Cascada'!$M$13</definedName>
    <definedName name="PSWInput_0_74" hidden="1">'Presupuesto Cascada'!$N$13</definedName>
    <definedName name="PSWInput_0_75" hidden="1">'Presupuesto Cascada'!$J$14</definedName>
    <definedName name="PSWInput_0_76" hidden="1">'Presupuesto Cascada'!$K$14</definedName>
    <definedName name="PSWInput_0_77" hidden="1">'Presupuesto Cascada'!$L$14</definedName>
    <definedName name="PSWInput_0_78" hidden="1">'Presupuesto Cascada'!$M$14</definedName>
    <definedName name="PSWInput_0_79" hidden="1">'Presupuesto Cascada'!$N$14</definedName>
    <definedName name="PSWInput_0_8" hidden="1">'Presupuesto Cascada'!$K$5</definedName>
    <definedName name="PSWInput_0_80" hidden="1">'Presupuesto Cascada'!$K$15</definedName>
    <definedName name="PSWInput_0_81" hidden="1">'Presupuesto Cascada'!$L$15</definedName>
    <definedName name="PSWInput_0_82" hidden="1">'Presupuesto Cascada'!$M$15</definedName>
    <definedName name="PSWInput_0_83" hidden="1">'Presupuesto Cascada'!$N$15</definedName>
    <definedName name="PSWInput_0_84" hidden="1">'Presupuesto Cascada'!$L$16</definedName>
    <definedName name="PSWInput_0_85" hidden="1">'Presupuesto Cascada'!$M$16</definedName>
    <definedName name="PSWInput_0_86" hidden="1">'Presupuesto Cascada'!$N$16</definedName>
    <definedName name="PSWInput_0_87" hidden="1">'Presupuesto Cascada'!$M$17</definedName>
    <definedName name="PSWInput_0_88" hidden="1">'Presupuesto Cascada'!$N$17</definedName>
    <definedName name="PSWInput_0_89" hidden="1">'Presupuesto Cascada'!$N$18</definedName>
    <definedName name="PSWInput_0_9" hidden="1">'Presupuesto Cascada'!$L$5</definedName>
    <definedName name="PSWOutput_0" hidden="1">'Presupuesto Cascada'!$A$2:$P$36</definedName>
    <definedName name="PSWSavingCell_0" hidden="1">'Presupuesto Cascada'!$B$4</definedName>
    <definedName name="PSWSeries_0_0_Labels" hidden="1">Cálculos!#REF!</definedName>
    <definedName name="PSWSeries_0_0_Values" hidden="1">Cálculos!#REF!</definedName>
    <definedName name="PSWSeries_0_1_Labels" hidden="1">Cálculos!#REF!</definedName>
    <definedName name="PSWSeries_0_1_Values" hidden="1">Cálculos!#REF!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6" i="1" l="1"/>
  <c r="Q18" i="1"/>
  <c r="R18" i="1" s="1"/>
  <c r="Q17" i="1"/>
  <c r="Q16" i="1"/>
  <c r="Q15" i="1"/>
  <c r="Q14" i="1"/>
  <c r="Q13" i="1"/>
  <c r="Q12" i="1"/>
  <c r="Q10" i="1"/>
  <c r="R10" i="1" s="1"/>
  <c r="Q9" i="1"/>
  <c r="Q11" i="1"/>
  <c r="P18" i="1"/>
  <c r="P17" i="1"/>
  <c r="P16" i="1"/>
  <c r="P15" i="1"/>
  <c r="R15" i="1" s="1"/>
  <c r="P14" i="1"/>
  <c r="R14" i="1" s="1"/>
  <c r="P13" i="1"/>
  <c r="R13" i="1" s="1"/>
  <c r="P12" i="1"/>
  <c r="R12" i="1" s="1"/>
  <c r="P11" i="1"/>
  <c r="R11" i="1" s="1"/>
  <c r="P10" i="1"/>
  <c r="P9" i="1"/>
  <c r="Q8" i="1"/>
  <c r="Q7" i="1"/>
  <c r="P7" i="1"/>
  <c r="R7" i="1" s="1"/>
  <c r="R17" i="1" l="1"/>
  <c r="R9" i="1"/>
  <c r="P8" i="1"/>
  <c r="R8" i="1" s="1"/>
  <c r="D17" i="2" l="1"/>
  <c r="D16" i="2"/>
  <c r="D15" i="2"/>
  <c r="D14" i="2"/>
  <c r="D13" i="2"/>
  <c r="D12" i="2"/>
  <c r="D11" i="2"/>
  <c r="D10" i="2"/>
  <c r="D9" i="2"/>
  <c r="D8" i="2"/>
  <c r="G25" i="1" s="1"/>
  <c r="D7" i="2"/>
  <c r="D6" i="2"/>
  <c r="G24" i="1"/>
  <c r="G27" i="1" l="1"/>
</calcChain>
</file>

<file path=xl/comments1.xml><?xml version="1.0" encoding="utf-8"?>
<comments xmlns="http://schemas.openxmlformats.org/spreadsheetml/2006/main">
  <authors>
    <author>home</author>
  </authors>
  <commentList>
    <comment ref="B4" authorId="0" shapeId="0">
      <text>
        <r>
          <rPr>
            <sz val="18"/>
            <color indexed="81"/>
            <rFont val="Calibri Light"/>
            <family val="2"/>
            <scheme val="major"/>
          </rPr>
          <t>Puede ingresar cualquier concepto que quiera presupuestar: ventas, ingresos, gastos, etc.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<sst xmlns="http://schemas.openxmlformats.org/spreadsheetml/2006/main" count="61" uniqueCount="49">
  <si>
    <t>Presupuesto</t>
  </si>
  <si>
    <t>Ene</t>
  </si>
  <si>
    <t>Feb</t>
  </si>
  <si>
    <t>Mar</t>
  </si>
  <si>
    <t>Abr</t>
  </si>
  <si>
    <t>May</t>
  </si>
  <si>
    <t>Jun</t>
  </si>
  <si>
    <t>Jul</t>
  </si>
  <si>
    <t>Agos</t>
  </si>
  <si>
    <t>Sep</t>
  </si>
  <si>
    <t>Oct</t>
  </si>
  <si>
    <t>Nov</t>
  </si>
  <si>
    <t>Dic</t>
  </si>
  <si>
    <t>Actual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</si>
  <si>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</si>
  <si>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</si>
  <si>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</si>
  <si>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</si>
  <si>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</si>
  <si>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</si>
  <si>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</si>
  <si>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</si>
  <si>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</si>
  <si>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</si>
  <si>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</si>
  <si>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</si>
  <si>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Grado  de estimación del presupuesto</t>
  </si>
  <si>
    <t>Instrucciones</t>
  </si>
  <si>
    <t>Se completa:</t>
  </si>
  <si>
    <r>
      <t xml:space="preserve">1.- De la </t>
    </r>
    <r>
      <rPr>
        <sz val="11"/>
        <color rgb="FFFF0000"/>
        <rFont val="Calibri"/>
        <family val="2"/>
        <scheme val="minor"/>
      </rPr>
      <t xml:space="preserve">celda C6 a N6 </t>
    </r>
    <r>
      <rPr>
        <sz val="11"/>
        <color theme="1"/>
        <rFont val="Calibri"/>
        <family val="2"/>
        <charset val="162"/>
        <scheme val="minor"/>
      </rPr>
      <t>se escribe el presupuesto que consideramos en el mes inicial (enero) para todo el año.</t>
    </r>
  </si>
  <si>
    <t>color</t>
  </si>
  <si>
    <t xml:space="preserve">3.-Las celdas pintadas de </t>
  </si>
  <si>
    <t xml:space="preserve">2.- A medida que pasen los meses, se debe actualizar el presupuesto para los siguientes meses. Por ejemplo </t>
  </si>
  <si>
    <t>nos posicionamos sobre la fila 9 y escribirmos el presupuesto para los próximos meses. Y así sucesivamente.</t>
  </si>
  <si>
    <t>debe escribirse lo que realmente se gastó (eso se verá mes a mes).</t>
  </si>
  <si>
    <t>Resultados</t>
  </si>
  <si>
    <t>Actual Mes</t>
  </si>
  <si>
    <t>Costos</t>
  </si>
  <si>
    <t>Plan Inicial</t>
  </si>
  <si>
    <t>Planeado</t>
  </si>
  <si>
    <t>Diferencia</t>
  </si>
  <si>
    <t>Presupuesto por mes</t>
  </si>
  <si>
    <r>
      <t>3.- En las</t>
    </r>
    <r>
      <rPr>
        <sz val="11"/>
        <color rgb="FFFF0000"/>
        <rFont val="Calibri"/>
        <family val="2"/>
        <scheme val="minor"/>
      </rPr>
      <t xml:space="preserve"> columnas de P a R </t>
    </r>
    <r>
      <rPr>
        <sz val="11"/>
        <color theme="1"/>
        <rFont val="Calibri"/>
        <family val="2"/>
        <charset val="162"/>
        <scheme val="minor"/>
      </rPr>
      <t>se ve una tabla con la diferencia mensual de cada presupuesto.</t>
    </r>
  </si>
  <si>
    <t>Presupuesto  Inicial</t>
  </si>
  <si>
    <t>Actual (lo que sucedió)</t>
  </si>
  <si>
    <t>Análisis del presupuesto  -  Finalizado el período</t>
  </si>
  <si>
    <r>
      <t xml:space="preserve">2.- En la </t>
    </r>
    <r>
      <rPr>
        <sz val="11"/>
        <color rgb="FFFF0000"/>
        <rFont val="Calibri"/>
        <family val="2"/>
        <scheme val="minor"/>
      </rPr>
      <t>celda G27</t>
    </r>
    <r>
      <rPr>
        <sz val="11"/>
        <color theme="1"/>
        <rFont val="Calibri"/>
        <family val="2"/>
        <charset val="162"/>
        <scheme val="minor"/>
      </rPr>
      <t xml:space="preserve"> se obtiene cuan bien fue estimado el presupuesto inicial.</t>
    </r>
  </si>
  <si>
    <t>para febrero en la fila 8 se debe escribir el presupuesto actualizado para los próximos meses. En marzo</t>
  </si>
  <si>
    <r>
      <t xml:space="preserve">1.-Se obtiene en las </t>
    </r>
    <r>
      <rPr>
        <sz val="11"/>
        <color rgb="FFFF0000"/>
        <rFont val="Calibri"/>
        <family val="2"/>
        <scheme val="minor"/>
      </rPr>
      <t>celdas G24 y G25</t>
    </r>
    <r>
      <rPr>
        <sz val="11"/>
        <color theme="1"/>
        <rFont val="Calibri"/>
        <family val="2"/>
        <charset val="162"/>
        <scheme val="minor"/>
      </rPr>
      <t xml:space="preserve"> lo que se presupuestó y lo que realmente se gastó.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</si>
</sst>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&quot;$&quot;\ #,##0.00"/>
  </numFmts>
  <fonts count="16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9"/>
      <color indexed="81"/>
      <name val="Tahoma"/>
      <family val="2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26"/>
      <color rgb="FF009688"/>
      <name val="Calibri Light"/>
      <family val="2"/>
    </font>
    <font>
      <sz val="16"/>
      <color rgb="FF009688"/>
      <name val="Calibri Light"/>
      <family val="2"/>
    </font>
    <font>
      <sz val="14"/>
      <color rgb="FF009688"/>
      <name val="Calibri"/>
      <family val="2"/>
    </font>
    <font>
      <u val="double"/>
      <sz val="11"/>
      <color theme="8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i/>
      <u val="double"/>
      <sz val="11"/>
      <color theme="1"/>
      <name val="Calibri"/>
      <family val="2"/>
      <scheme val="minor"/>
    </font>
    <font>
      <sz val="18"/>
      <color indexed="81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rgb="FF51B5AB"/>
        <bgColor indexed="64"/>
      </patternFill>
    </fill>
    <fill>
      <patternFill patternType="solid">
        <fgColor rgb="FFDFF2F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</fills>
  <borders count="28">
    <border>
      <left/>
      <right/>
      <top/>
      <bottom/>
      <diagonal/>
    </border>
    <border>
      <left style="double">
        <color theme="0" tint="-0.24994659260841701"/>
      </left>
      <right style="double">
        <color theme="0" tint="-0.24994659260841701"/>
      </right>
      <top style="double">
        <color theme="0" tint="-0.24994659260841701"/>
      </top>
      <bottom style="double">
        <color theme="0" tint="-0.24994659260841701"/>
      </bottom>
      <diagonal/>
    </border>
    <border>
      <left/>
      <right/>
      <top/>
      <bottom style="double">
        <color theme="0" tint="-0.24994659260841701"/>
      </bottom>
      <diagonal/>
    </border>
    <border>
      <left style="thin">
        <color rgb="FFDFF2F1"/>
      </left>
      <right/>
      <top/>
      <bottom/>
      <diagonal/>
    </border>
    <border>
      <left style="double">
        <color theme="0" tint="-0.24994659260841701"/>
      </left>
      <right/>
      <top style="double">
        <color theme="0" tint="-0.24994659260841701"/>
      </top>
      <bottom style="thin">
        <color rgb="FFDFF2F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double">
        <color theme="0" tint="-0.24994659260841701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double">
        <color theme="0" tint="-0.24994659260841701"/>
      </right>
      <top style="double">
        <color theme="0" tint="-0.24994659260841701"/>
      </top>
      <bottom style="thin">
        <color theme="0" tint="-4.9989318521683403E-2"/>
      </bottom>
      <diagonal/>
    </border>
    <border>
      <left style="double">
        <color theme="0" tint="-0.24994659260841701"/>
      </left>
      <right/>
      <top style="thin">
        <color rgb="FFDFF2F1"/>
      </top>
      <bottom style="thin">
        <color rgb="FFDFF2F1"/>
      </bottom>
      <diagonal/>
    </border>
    <border>
      <left style="double">
        <color theme="0" tint="-0.24994659260841701"/>
      </left>
      <right/>
      <top style="thin">
        <color rgb="FFDFF2F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/>
      <top style="double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double">
        <color theme="0" tint="-0.24994659260841701"/>
      </right>
      <top style="double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double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double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double">
        <color theme="0" tint="-0.24994659260841701"/>
      </right>
      <top/>
      <bottom style="thin">
        <color theme="0" tint="-0.24994659260841701"/>
      </bottom>
      <diagonal/>
    </border>
    <border>
      <left/>
      <right style="double">
        <color theme="0" tint="-0.24994659260841701"/>
      </right>
      <top style="double">
        <color theme="0" tint="-0.24994659260841701"/>
      </top>
      <bottom style="double">
        <color theme="0" tint="-0.24994659260841701"/>
      </bottom>
      <diagonal/>
    </border>
    <border>
      <left style="thin">
        <color rgb="FFDFF2F1"/>
      </left>
      <right style="double">
        <color theme="0" tint="-0.24994659260841701"/>
      </right>
      <top/>
      <bottom style="double">
        <color theme="0" tint="-0.24994659260841701"/>
      </bottom>
      <diagonal/>
    </border>
    <border>
      <left style="double">
        <color theme="0" tint="-0.24994659260841701"/>
      </left>
      <right style="double">
        <color theme="0" tint="-0.24994659260841701"/>
      </right>
      <top style="double">
        <color theme="0" tint="-0.24994659260841701"/>
      </top>
      <bottom style="thin">
        <color theme="0" tint="-0.24994659260841701"/>
      </bottom>
      <diagonal/>
    </border>
    <border>
      <left/>
      <right/>
      <top style="double">
        <color theme="0" tint="-0.24994659260841701"/>
      </top>
      <bottom style="double">
        <color theme="0" tint="-0.24994659260841701"/>
      </bottom>
      <diagonal/>
    </border>
    <border>
      <left style="double">
        <color theme="0" tint="-0.24994659260841701"/>
      </left>
      <right style="double">
        <color theme="0" tint="-0.24994659260841701"/>
      </right>
      <top/>
      <bottom style="thin">
        <color theme="0" tint="-0.24994659260841701"/>
      </bottom>
      <diagonal/>
    </border>
    <border>
      <left style="double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double">
        <color theme="0" tint="-0.24994659260841701"/>
      </right>
      <top/>
      <bottom style="double">
        <color theme="0" tint="-0.2499465926084170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72">
    <xf numFmtId="0" fontId="0" fillId="0" borderId="0" xfId="0"/>
    <xf numFmtId="0" fontId="1" fillId="0" borderId="0" xfId="0" applyFont="1"/>
    <xf numFmtId="0" fontId="6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right" vertical="center"/>
    </xf>
    <xf numFmtId="0" fontId="8" fillId="2" borderId="0" xfId="0" applyFont="1" applyFill="1"/>
    <xf numFmtId="0" fontId="9" fillId="0" borderId="0" xfId="0" applyFont="1"/>
    <xf numFmtId="0" fontId="11" fillId="3" borderId="4" xfId="0" applyFont="1" applyFill="1" applyBorder="1" applyAlignment="1">
      <alignment vertical="center"/>
    </xf>
    <xf numFmtId="0" fontId="11" fillId="3" borderId="7" xfId="0" applyFont="1" applyFill="1" applyBorder="1" applyAlignment="1">
      <alignment horizontal="left" vertical="center" indent="1"/>
    </xf>
    <xf numFmtId="0" fontId="11" fillId="3" borderId="8" xfId="0" applyFont="1" applyFill="1" applyBorder="1" applyAlignment="1">
      <alignment horizontal="left" vertical="center" indent="1"/>
    </xf>
    <xf numFmtId="164" fontId="1" fillId="4" borderId="0" xfId="0" applyNumberFormat="1" applyFont="1" applyFill="1" applyBorder="1" applyAlignment="1">
      <alignment horizontal="left" vertical="center"/>
    </xf>
    <xf numFmtId="164" fontId="1" fillId="4" borderId="2" xfId="0" applyNumberFormat="1" applyFont="1" applyFill="1" applyBorder="1" applyAlignment="1">
      <alignment horizontal="left" vertical="center"/>
    </xf>
    <xf numFmtId="0" fontId="8" fillId="0" borderId="0" xfId="0" applyFont="1" applyFill="1"/>
    <xf numFmtId="0" fontId="12" fillId="0" borderId="0" xfId="0" applyFont="1"/>
    <xf numFmtId="164" fontId="7" fillId="4" borderId="0" xfId="0" applyNumberFormat="1" applyFont="1" applyFill="1" applyBorder="1" applyAlignment="1">
      <alignment horizontal="left" vertical="center"/>
    </xf>
    <xf numFmtId="164" fontId="7" fillId="4" borderId="2" xfId="0" applyNumberFormat="1" applyFont="1" applyFill="1" applyBorder="1" applyAlignment="1">
      <alignment horizontal="left" vertical="center"/>
    </xf>
    <xf numFmtId="164" fontId="7" fillId="5" borderId="1" xfId="0" applyNumberFormat="1" applyFont="1" applyFill="1" applyBorder="1" applyAlignment="1">
      <alignment horizontal="center" vertical="center"/>
    </xf>
    <xf numFmtId="0" fontId="0" fillId="5" borderId="0" xfId="0" applyFill="1"/>
    <xf numFmtId="164" fontId="7" fillId="5" borderId="12" xfId="0" applyNumberFormat="1" applyFont="1" applyFill="1" applyBorder="1" applyAlignment="1">
      <alignment horizontal="center" vertical="center"/>
    </xf>
    <xf numFmtId="164" fontId="7" fillId="0" borderId="13" xfId="0" applyNumberFormat="1" applyFont="1" applyFill="1" applyBorder="1" applyAlignment="1">
      <alignment horizontal="center" vertical="center"/>
    </xf>
    <xf numFmtId="164" fontId="7" fillId="0" borderId="14" xfId="0" applyNumberFormat="1" applyFont="1" applyFill="1" applyBorder="1" applyAlignment="1">
      <alignment horizontal="center" vertical="center"/>
    </xf>
    <xf numFmtId="164" fontId="7" fillId="0" borderId="15" xfId="0" applyNumberFormat="1" applyFont="1" applyFill="1" applyBorder="1" applyAlignment="1">
      <alignment horizontal="center" vertical="center"/>
    </xf>
    <xf numFmtId="164" fontId="7" fillId="0" borderId="16" xfId="0" applyNumberFormat="1" applyFont="1" applyFill="1" applyBorder="1" applyAlignment="1">
      <alignment horizontal="center" vertical="center"/>
    </xf>
    <xf numFmtId="164" fontId="7" fillId="0" borderId="9" xfId="0" applyNumberFormat="1" applyFont="1" applyFill="1" applyBorder="1" applyAlignment="1">
      <alignment horizontal="center" vertical="center"/>
    </xf>
    <xf numFmtId="164" fontId="7" fillId="0" borderId="17" xfId="0" applyNumberFormat="1" applyFont="1" applyFill="1" applyBorder="1" applyAlignment="1">
      <alignment horizontal="center" vertical="center"/>
    </xf>
    <xf numFmtId="164" fontId="13" fillId="0" borderId="5" xfId="0" applyNumberFormat="1" applyFont="1" applyBorder="1" applyAlignment="1">
      <alignment horizontal="center" vertical="center"/>
    </xf>
    <xf numFmtId="164" fontId="13" fillId="0" borderId="6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164" fontId="7" fillId="0" borderId="19" xfId="0" applyNumberFormat="1" applyFont="1" applyFill="1" applyBorder="1" applyAlignment="1">
      <alignment horizontal="center" vertical="center"/>
    </xf>
    <xf numFmtId="164" fontId="7" fillId="0" borderId="22" xfId="0" applyNumberFormat="1" applyFont="1" applyFill="1" applyBorder="1" applyAlignment="1">
      <alignment horizontal="center" vertical="center"/>
    </xf>
    <xf numFmtId="164" fontId="7" fillId="0" borderId="24" xfId="0" applyNumberFormat="1" applyFont="1" applyFill="1" applyBorder="1" applyAlignment="1">
      <alignment horizontal="center" vertical="center"/>
    </xf>
    <xf numFmtId="164" fontId="7" fillId="0" borderId="25" xfId="0" applyNumberFormat="1" applyFont="1" applyFill="1" applyBorder="1" applyAlignment="1">
      <alignment horizontal="center" vertical="center"/>
    </xf>
    <xf numFmtId="164" fontId="7" fillId="0" borderId="26" xfId="0" applyNumberFormat="1" applyFont="1" applyFill="1" applyBorder="1" applyAlignment="1">
      <alignment horizontal="center" vertical="center"/>
    </xf>
    <xf numFmtId="164" fontId="7" fillId="0" borderId="27" xfId="0" applyNumberFormat="1" applyFont="1" applyFill="1" applyBorder="1" applyAlignment="1">
      <alignment horizontal="center" vertical="center"/>
    </xf>
    <xf numFmtId="0" fontId="0" fillId="0" borderId="18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4" fontId="0" fillId="0" borderId="18" xfId="0" applyNumberFormat="1" applyFill="1" applyBorder="1" applyAlignment="1">
      <alignment horizontal="center"/>
    </xf>
    <xf numFmtId="0" fontId="11" fillId="0" borderId="0" xfId="0" applyFont="1" applyFill="1" applyBorder="1" applyAlignment="1">
      <alignment vertical="center"/>
    </xf>
    <xf numFmtId="9" fontId="4" fillId="0" borderId="0" xfId="1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1" fillId="3" borderId="12" xfId="0" applyFont="1" applyFill="1" applyBorder="1" applyAlignment="1">
      <alignment horizontal="center" vertical="center"/>
    </xf>
    <xf numFmtId="0" fontId="11" fillId="3" borderId="23" xfId="0" applyFont="1" applyFill="1" applyBorder="1" applyAlignment="1">
      <alignment horizontal="center" vertical="center"/>
    </xf>
    <xf numFmtId="0" fontId="11" fillId="3" borderId="20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1" fillId="3" borderId="10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1" fillId="3" borderId="7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2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0" xfId="0" applyFont="1" applyBorder="1"/>
    <xf numFmtId="0" fontId="1" fillId="0" borderId="0" xfId="0" applyFont="1" applyBorder="1"/>
    <xf numFmtId="164" fontId="4" fillId="0" borderId="0" xfId="2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vertical="center"/>
    </xf>
    <xf numFmtId="10" fontId="1" fillId="0" borderId="0" xfId="1" applyNumberFormat="1" applyFont="1" applyFill="1" applyBorder="1" applyAlignment="1">
      <alignment vertical="center"/>
    </xf>
    <xf numFmtId="0" fontId="6" fillId="0" borderId="0" xfId="0" applyFont="1" applyFill="1" applyBorder="1"/>
    <xf numFmtId="0" fontId="6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left" vertical="center" indent="1"/>
    </xf>
    <xf numFmtId="164" fontId="1" fillId="0" borderId="0" xfId="0" applyNumberFormat="1" applyFont="1" applyFill="1" applyBorder="1" applyAlignment="1">
      <alignment horizontal="center" vertical="center"/>
    </xf>
    <xf numFmtId="10" fontId="1" fillId="0" borderId="0" xfId="1" applyNumberFormat="1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10" fontId="1" fillId="0" borderId="9" xfId="0" applyNumberFormat="1" applyFont="1" applyBorder="1" applyAlignment="1">
      <alignment horizontal="center" vertical="center"/>
    </xf>
    <xf numFmtId="0" fontId="0" fillId="0" borderId="0" xfId="0" applyBorder="1"/>
    <xf numFmtId="0" fontId="0" fillId="0" borderId="0" xfId="0" applyFill="1" applyBorder="1"/>
    <xf numFmtId="0" fontId="0" fillId="0" borderId="18" xfId="0" applyBorder="1"/>
  </cellXfs>
  <cellStyles count="3">
    <cellStyle name="Millares" xfId="2" builtinId="3"/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lanillaexcel.com/contactanos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lanillaexcel.com/contactano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34925</xdr:colOff>
      <xdr:row>0</xdr:row>
      <xdr:rowOff>108479</xdr:rowOff>
    </xdr:from>
    <xdr:to>
      <xdr:col>4</xdr:col>
      <xdr:colOff>76200</xdr:colOff>
      <xdr:row>0</xdr:row>
      <xdr:rowOff>425979</xdr:rowOff>
    </xdr:to>
    <xdr:sp macro="" textlink="">
      <xdr:nvSpPr>
        <xdr:cNvPr id="2" name="TextBox 1"/>
        <xdr:cNvSpPr txBox="1"/>
      </xdr:nvSpPr>
      <xdr:spPr>
        <a:xfrm>
          <a:off x="796925" y="108479"/>
          <a:ext cx="1565275" cy="317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 i="0">
              <a:solidFill>
                <a:schemeClr val="bg1"/>
              </a:solidFill>
              <a:latin typeface="+mn-lt"/>
              <a:ea typeface="Arial" charset="0"/>
              <a:cs typeface="Arial" charset="0"/>
            </a:rPr>
            <a:t>PlanillaExcel.com</a:t>
          </a:r>
        </a:p>
      </xdr:txBody>
    </xdr:sp>
    <xdr:clientData/>
  </xdr:twoCellAnchor>
  <xdr:twoCellAnchor>
    <xdr:from>
      <xdr:col>10</xdr:col>
      <xdr:colOff>495299</xdr:colOff>
      <xdr:row>0</xdr:row>
      <xdr:rowOff>133879</xdr:rowOff>
    </xdr:from>
    <xdr:to>
      <xdr:col>11</xdr:col>
      <xdr:colOff>532342</xdr:colOff>
      <xdr:row>0</xdr:row>
      <xdr:rowOff>400579</xdr:rowOff>
    </xdr:to>
    <xdr:sp macro="" textlink="">
      <xdr:nvSpPr>
        <xdr:cNvPr id="3" name="TextBox 2">
          <a:hlinkClick xmlns:r="http://schemas.openxmlformats.org/officeDocument/2006/relationships" r:id="rId1"/>
        </xdr:cNvPr>
        <xdr:cNvSpPr txBox="1"/>
      </xdr:nvSpPr>
      <xdr:spPr>
        <a:xfrm>
          <a:off x="6305549" y="133879"/>
          <a:ext cx="799043" cy="266700"/>
        </a:xfrm>
        <a:prstGeom prst="roundRect">
          <a:avLst/>
        </a:prstGeom>
        <a:noFill/>
        <a:ln w="9525" cmpd="sng">
          <a:solidFill>
            <a:schemeClr val="bg1">
              <a:alpha val="9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 i="0">
              <a:solidFill>
                <a:schemeClr val="bg1"/>
              </a:solidFill>
              <a:latin typeface="Calibri" charset="0"/>
              <a:ea typeface="Calibri" charset="0"/>
              <a:cs typeface="Calibri" charset="0"/>
            </a:rPr>
            <a:t>?</a:t>
          </a:r>
          <a:r>
            <a:rPr lang="en-US" sz="1200" b="0" i="0">
              <a:solidFill>
                <a:schemeClr val="bg1"/>
              </a:solidFill>
              <a:latin typeface="Calibri" charset="0"/>
              <a:ea typeface="Calibri" charset="0"/>
              <a:cs typeface="Calibri" charset="0"/>
            </a:rPr>
            <a:t>  </a:t>
          </a:r>
          <a:r>
            <a:rPr lang="en-US" sz="1100" b="0" i="0">
              <a:solidFill>
                <a:schemeClr val="bg1"/>
              </a:solidFill>
              <a:latin typeface="Calibri" charset="0"/>
              <a:ea typeface="Calibri" charset="0"/>
              <a:cs typeface="Calibri" charset="0"/>
            </a:rPr>
            <a:t>AYUDA</a:t>
          </a:r>
        </a:p>
      </xdr:txBody>
    </xdr:sp>
    <xdr:clientData/>
  </xdr:twoCellAnchor>
  <xdr:twoCellAnchor>
    <xdr:from>
      <xdr:col>3</xdr:col>
      <xdr:colOff>456142</xdr:colOff>
      <xdr:row>0</xdr:row>
      <xdr:rowOff>92604</xdr:rowOff>
    </xdr:from>
    <xdr:to>
      <xdr:col>10</xdr:col>
      <xdr:colOff>295275</xdr:colOff>
      <xdr:row>0</xdr:row>
      <xdr:rowOff>422804</xdr:rowOff>
    </xdr:to>
    <xdr:sp macro="" textlink="">
      <xdr:nvSpPr>
        <xdr:cNvPr id="4" name="TextBox 3"/>
        <xdr:cNvSpPr txBox="1"/>
      </xdr:nvSpPr>
      <xdr:spPr>
        <a:xfrm>
          <a:off x="2018242" y="92604"/>
          <a:ext cx="4087283" cy="330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0" i="0">
              <a:solidFill>
                <a:schemeClr val="bg1"/>
              </a:solidFill>
              <a:latin typeface="Calibri Light" charset="0"/>
              <a:ea typeface="Calibri Light" charset="0"/>
              <a:cs typeface="Calibri Light" charset="0"/>
            </a:rPr>
            <a:t>Presupuesto en cascada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101600</xdr:colOff>
      <xdr:row>0</xdr:row>
      <xdr:rowOff>139700</xdr:rowOff>
    </xdr:from>
    <xdr:to>
      <xdr:col>3</xdr:col>
      <xdr:colOff>306916</xdr:colOff>
      <xdr:row>0</xdr:row>
      <xdr:rowOff>457200</xdr:rowOff>
    </xdr:to>
    <xdr:sp macro="" textlink="">
      <xdr:nvSpPr>
        <xdr:cNvPr id="7" name="TextBox 1"/>
        <xdr:cNvSpPr txBox="1"/>
      </xdr:nvSpPr>
      <xdr:spPr>
        <a:xfrm>
          <a:off x="419100" y="139700"/>
          <a:ext cx="1718733" cy="317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 i="0">
              <a:solidFill>
                <a:schemeClr val="bg1"/>
              </a:solidFill>
              <a:latin typeface="+mn-lt"/>
              <a:ea typeface="Arial" charset="0"/>
              <a:cs typeface="Arial" charset="0"/>
            </a:rPr>
            <a:t>PlanillaExcel.com</a:t>
          </a:r>
        </a:p>
      </xdr:txBody>
    </xdr:sp>
    <xdr:clientData/>
  </xdr:twoCellAnchor>
  <xdr:twoCellAnchor>
    <xdr:from>
      <xdr:col>9</xdr:col>
      <xdr:colOff>571501</xdr:colOff>
      <xdr:row>0</xdr:row>
      <xdr:rowOff>110065</xdr:rowOff>
    </xdr:from>
    <xdr:to>
      <xdr:col>10</xdr:col>
      <xdr:colOff>445861</xdr:colOff>
      <xdr:row>0</xdr:row>
      <xdr:rowOff>462643</xdr:rowOff>
    </xdr:to>
    <xdr:sp macro="" textlink="">
      <xdr:nvSpPr>
        <xdr:cNvPr id="8" name="TextBox 2">
          <a:hlinkClick xmlns:r="http://schemas.openxmlformats.org/officeDocument/2006/relationships" r:id="rId1"/>
        </xdr:cNvPr>
        <xdr:cNvSpPr txBox="1"/>
      </xdr:nvSpPr>
      <xdr:spPr>
        <a:xfrm>
          <a:off x="9661072" y="110065"/>
          <a:ext cx="1044575" cy="352578"/>
        </a:xfrm>
        <a:prstGeom prst="roundRect">
          <a:avLst/>
        </a:prstGeom>
        <a:noFill/>
        <a:ln w="9525" cmpd="sng">
          <a:solidFill>
            <a:schemeClr val="bg1">
              <a:alpha val="9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 i="0">
              <a:solidFill>
                <a:schemeClr val="bg1"/>
              </a:solidFill>
              <a:latin typeface="Calibri" charset="0"/>
              <a:ea typeface="Calibri" charset="0"/>
              <a:cs typeface="Calibri" charset="0"/>
            </a:rPr>
            <a:t>?</a:t>
          </a:r>
          <a:r>
            <a:rPr lang="en-US" sz="1200" b="0" i="0">
              <a:solidFill>
                <a:schemeClr val="bg1"/>
              </a:solidFill>
              <a:latin typeface="Calibri" charset="0"/>
              <a:ea typeface="Calibri" charset="0"/>
              <a:cs typeface="Calibri" charset="0"/>
            </a:rPr>
            <a:t>  </a:t>
          </a:r>
          <a:r>
            <a:rPr lang="en-US" sz="1100" b="0" i="0">
              <a:solidFill>
                <a:schemeClr val="bg1"/>
              </a:solidFill>
              <a:latin typeface="Calibri" charset="0"/>
              <a:ea typeface="Calibri" charset="0"/>
              <a:cs typeface="Calibri" charset="0"/>
            </a:rPr>
            <a:t>AYUDA</a:t>
          </a:r>
        </a:p>
      </xdr:txBody>
    </xdr:sp>
    <xdr:clientData/>
  </xdr:twoCellAnchor>
  <xdr:twoCellAnchor>
    <xdr:from>
      <xdr:col>2</xdr:col>
      <xdr:colOff>554567</xdr:colOff>
      <xdr:row>0</xdr:row>
      <xdr:rowOff>105833</xdr:rowOff>
    </xdr:from>
    <xdr:to>
      <xdr:col>9</xdr:col>
      <xdr:colOff>714375</xdr:colOff>
      <xdr:row>0</xdr:row>
      <xdr:rowOff>460375</xdr:rowOff>
    </xdr:to>
    <xdr:sp macro="" textlink="">
      <xdr:nvSpPr>
        <xdr:cNvPr id="9" name="TextBox 3"/>
        <xdr:cNvSpPr txBox="1"/>
      </xdr:nvSpPr>
      <xdr:spPr>
        <a:xfrm>
          <a:off x="1935692" y="105833"/>
          <a:ext cx="7890933" cy="3545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0" i="0">
              <a:solidFill>
                <a:schemeClr val="bg1"/>
              </a:solidFill>
              <a:latin typeface="Calibri Light" charset="0"/>
              <a:ea typeface="Calibri Light" charset="0"/>
              <a:cs typeface="Calibri Light" charset="0"/>
            </a:rPr>
            <a:t>Presupuesto en</a:t>
          </a:r>
          <a:r>
            <a:rPr lang="en-US" sz="2000" b="0" i="0" baseline="0">
              <a:solidFill>
                <a:schemeClr val="bg1"/>
              </a:solidFill>
              <a:latin typeface="Calibri Light" charset="0"/>
              <a:ea typeface="Calibri Light" charset="0"/>
              <a:cs typeface="Calibri Light" charset="0"/>
            </a:rPr>
            <a:t> C</a:t>
          </a:r>
          <a:r>
            <a:rPr lang="en-US" sz="2000" b="0" i="0">
              <a:solidFill>
                <a:schemeClr val="bg1"/>
              </a:solidFill>
              <a:latin typeface="Calibri Light" charset="0"/>
              <a:ea typeface="Calibri Light" charset="0"/>
              <a:cs typeface="Calibri Light" charset="0"/>
            </a:rPr>
            <a:t>ascada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7"/>
  <sheetViews>
    <sheetView showGridLines="0" tabSelected="1" workbookViewId="0">
      <selection activeCell="C14" sqref="C14"/>
    </sheetView>
  </sheetViews>
  <sheetFormatPr baseColWidth="10" defaultRowHeight="15" x14ac:dyDescent="0.25"/>
  <cols>
    <col min="2" max="2" width="0.5703125" customWidth="1"/>
    <col min="4" max="4" width="10.85546875" customWidth="1"/>
    <col min="5" max="5" width="5.42578125" customWidth="1"/>
    <col min="6" max="6" width="1.7109375" customWidth="1"/>
    <col min="13" max="13" width="0.5703125" customWidth="1"/>
  </cols>
  <sheetData>
    <row r="1" spans="2:14" ht="45" customHeight="1" x14ac:dyDescent="0.25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14"/>
    </row>
    <row r="3" spans="2:14" ht="2.25" customHeight="1" x14ac:dyDescent="0.25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2:14" ht="15.75" x14ac:dyDescent="0.25">
      <c r="B4" s="7"/>
      <c r="C4" s="41" t="s">
        <v>27</v>
      </c>
      <c r="D4" s="41"/>
      <c r="E4" s="41"/>
      <c r="F4" s="41"/>
      <c r="G4" s="41"/>
      <c r="H4" s="41"/>
      <c r="I4" s="41"/>
      <c r="J4" s="41"/>
      <c r="K4" s="41"/>
      <c r="L4" s="41"/>
      <c r="M4" s="7"/>
    </row>
    <row r="5" spans="2:14" ht="15.75" x14ac:dyDescent="0.25">
      <c r="B5" s="7"/>
      <c r="C5" s="15" t="s">
        <v>28</v>
      </c>
      <c r="M5" s="7"/>
    </row>
    <row r="6" spans="2:14" ht="15.75" x14ac:dyDescent="0.25">
      <c r="B6" s="7"/>
      <c r="C6" t="s">
        <v>29</v>
      </c>
      <c r="M6" s="7"/>
    </row>
    <row r="7" spans="2:14" ht="15.75" x14ac:dyDescent="0.25">
      <c r="B7" s="7"/>
      <c r="C7" t="s">
        <v>32</v>
      </c>
      <c r="M7" s="7"/>
    </row>
    <row r="8" spans="2:14" ht="15.75" x14ac:dyDescent="0.25">
      <c r="B8" s="7"/>
      <c r="C8" t="s">
        <v>47</v>
      </c>
      <c r="M8" s="7"/>
    </row>
    <row r="9" spans="2:14" ht="15.75" x14ac:dyDescent="0.25">
      <c r="B9" s="7"/>
      <c r="C9" t="s">
        <v>33</v>
      </c>
      <c r="M9" s="7"/>
    </row>
    <row r="10" spans="2:14" ht="15.75" x14ac:dyDescent="0.25">
      <c r="B10" s="7"/>
      <c r="C10" t="s">
        <v>31</v>
      </c>
      <c r="E10" t="s">
        <v>30</v>
      </c>
      <c r="F10" s="19"/>
      <c r="G10" t="s">
        <v>34</v>
      </c>
      <c r="M10" s="7"/>
    </row>
    <row r="11" spans="2:14" ht="15.75" x14ac:dyDescent="0.25">
      <c r="B11" s="7"/>
      <c r="M11" s="7"/>
    </row>
    <row r="12" spans="2:14" ht="15.75" x14ac:dyDescent="0.25">
      <c r="B12" s="7"/>
      <c r="C12" s="15" t="s">
        <v>35</v>
      </c>
      <c r="M12" s="7"/>
    </row>
    <row r="13" spans="2:14" ht="15.75" x14ac:dyDescent="0.25">
      <c r="B13" s="7"/>
      <c r="C13" t="s">
        <v>48</v>
      </c>
      <c r="M13" s="7"/>
    </row>
    <row r="14" spans="2:14" ht="15.75" x14ac:dyDescent="0.25">
      <c r="B14" s="7"/>
      <c r="C14" t="s">
        <v>46</v>
      </c>
      <c r="M14" s="7"/>
    </row>
    <row r="15" spans="2:14" ht="15.75" x14ac:dyDescent="0.25">
      <c r="B15" s="7"/>
      <c r="C15" t="s">
        <v>42</v>
      </c>
      <c r="M15" s="7"/>
    </row>
    <row r="16" spans="2:14" ht="15" customHeight="1" x14ac:dyDescent="0.25">
      <c r="B16" s="7"/>
      <c r="M16" s="7"/>
    </row>
    <row r="17" spans="2:13" ht="2.25" customHeight="1" x14ac:dyDescent="0.2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</sheetData>
  <mergeCells count="1">
    <mergeCell ref="C4:L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75"/>
  <sheetViews>
    <sheetView showGridLines="0" zoomScale="70" zoomScaleNormal="70" workbookViewId="0">
      <selection activeCell="G27" sqref="G27"/>
    </sheetView>
  </sheetViews>
  <sheetFormatPr baseColWidth="10" defaultColWidth="9.140625" defaultRowHeight="15" x14ac:dyDescent="0.25"/>
  <cols>
    <col min="1" max="1" width="4.7109375" style="1" customWidth="1"/>
    <col min="2" max="2" width="16" style="1" customWidth="1"/>
    <col min="3" max="3" width="13.5703125" style="1" bestFit="1" customWidth="1"/>
    <col min="4" max="5" width="16" style="1" bestFit="1" customWidth="1"/>
    <col min="6" max="10" width="17.5703125" style="1" bestFit="1" customWidth="1"/>
    <col min="11" max="11" width="12.85546875" style="1" customWidth="1"/>
    <col min="12" max="12" width="22.140625" style="1" customWidth="1"/>
    <col min="13" max="13" width="17.5703125" style="1" bestFit="1" customWidth="1"/>
    <col min="14" max="14" width="16.140625" style="1" bestFit="1" customWidth="1"/>
    <col min="15" max="15" width="4.7109375" style="1" customWidth="1"/>
    <col min="16" max="16" width="14.28515625" style="1" customWidth="1"/>
    <col min="17" max="18" width="14.42578125" style="1" bestFit="1" customWidth="1"/>
    <col min="19" max="39" width="4.7109375" style="1" customWidth="1"/>
    <col min="40" max="16384" width="9.140625" style="1"/>
  </cols>
  <sheetData>
    <row r="1" spans="1:23" customFormat="1" ht="45" customHeight="1" x14ac:dyDescent="0.25">
      <c r="B1" s="7"/>
      <c r="C1" s="7"/>
      <c r="D1" s="7"/>
      <c r="E1" s="7"/>
      <c r="F1" s="7"/>
      <c r="G1" s="7"/>
      <c r="H1" s="7"/>
      <c r="I1" s="7"/>
      <c r="J1" s="7"/>
      <c r="K1" s="7"/>
      <c r="L1" s="14"/>
      <c r="M1" s="14"/>
      <c r="N1" s="14"/>
    </row>
    <row r="2" spans="1:23" ht="14.1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33.75" x14ac:dyDescent="0.5">
      <c r="A3" s="2"/>
      <c r="B3" s="8" t="s">
        <v>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2"/>
      <c r="P3" s="2"/>
      <c r="Q3" s="2"/>
      <c r="R3" s="2"/>
      <c r="S3" s="2"/>
      <c r="T3" s="2"/>
      <c r="U3" s="2"/>
      <c r="V3" s="2"/>
      <c r="W3" s="2"/>
    </row>
    <row r="4" spans="1:23" ht="21.75" thickBot="1" x14ac:dyDescent="0.4">
      <c r="A4" s="2"/>
      <c r="B4" s="45" t="s">
        <v>37</v>
      </c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2"/>
      <c r="P4" s="2"/>
      <c r="Q4" s="2"/>
      <c r="R4" s="2"/>
      <c r="S4" s="2"/>
      <c r="T4" s="2"/>
      <c r="U4" s="2"/>
      <c r="V4" s="2"/>
      <c r="W4" s="2"/>
    </row>
    <row r="5" spans="1:23" ht="15.75" customHeight="1" thickTop="1" thickBot="1" x14ac:dyDescent="0.3">
      <c r="A5" s="2"/>
      <c r="B5" s="9" t="s">
        <v>38</v>
      </c>
      <c r="C5" s="27">
        <v>500</v>
      </c>
      <c r="D5" s="27">
        <v>2500</v>
      </c>
      <c r="E5" s="27">
        <v>5000</v>
      </c>
      <c r="F5" s="27">
        <v>10000</v>
      </c>
      <c r="G5" s="27">
        <v>14000</v>
      </c>
      <c r="H5" s="27">
        <v>18000</v>
      </c>
      <c r="I5" s="27">
        <v>24000</v>
      </c>
      <c r="J5" s="27">
        <v>30000</v>
      </c>
      <c r="K5" s="27">
        <v>33500</v>
      </c>
      <c r="L5" s="27">
        <v>35000</v>
      </c>
      <c r="M5" s="27">
        <v>38000</v>
      </c>
      <c r="N5" s="28">
        <v>40000</v>
      </c>
      <c r="O5" s="2"/>
      <c r="P5" s="42" t="s">
        <v>41</v>
      </c>
      <c r="Q5" s="43"/>
      <c r="R5" s="44"/>
      <c r="S5" s="2"/>
      <c r="T5" s="2"/>
      <c r="U5" s="2"/>
      <c r="V5" s="2"/>
      <c r="W5" s="2"/>
    </row>
    <row r="6" spans="1:23" s="54" customFormat="1" ht="20.25" thickTop="1" thickBot="1" x14ac:dyDescent="0.3">
      <c r="A6" s="49"/>
      <c r="B6" s="50"/>
      <c r="C6" s="51" t="s">
        <v>14</v>
      </c>
      <c r="D6" s="51" t="s">
        <v>15</v>
      </c>
      <c r="E6" s="51" t="s">
        <v>16</v>
      </c>
      <c r="F6" s="51" t="s">
        <v>17</v>
      </c>
      <c r="G6" s="51" t="s">
        <v>18</v>
      </c>
      <c r="H6" s="51" t="s">
        <v>19</v>
      </c>
      <c r="I6" s="51" t="s">
        <v>20</v>
      </c>
      <c r="J6" s="51" t="s">
        <v>21</v>
      </c>
      <c r="K6" s="51" t="s">
        <v>22</v>
      </c>
      <c r="L6" s="51" t="s">
        <v>23</v>
      </c>
      <c r="M6" s="51" t="s">
        <v>24</v>
      </c>
      <c r="N6" s="52" t="s">
        <v>25</v>
      </c>
      <c r="O6" s="49"/>
      <c r="P6" s="53" t="s">
        <v>13</v>
      </c>
      <c r="Q6" s="52" t="s">
        <v>39</v>
      </c>
      <c r="R6" s="52" t="s">
        <v>40</v>
      </c>
      <c r="S6" s="49"/>
      <c r="T6" s="49"/>
      <c r="U6" s="49"/>
      <c r="V6" s="49"/>
      <c r="W6" s="49"/>
    </row>
    <row r="7" spans="1:23" ht="20.25" thickTop="1" thickBot="1" x14ac:dyDescent="0.3">
      <c r="A7" s="2"/>
      <c r="B7" s="10" t="s">
        <v>14</v>
      </c>
      <c r="C7" s="18"/>
      <c r="D7" s="24"/>
      <c r="E7" s="24"/>
      <c r="F7" s="24"/>
      <c r="G7" s="24"/>
      <c r="H7" s="24"/>
      <c r="I7" s="24"/>
      <c r="J7" s="24"/>
      <c r="K7" s="24"/>
      <c r="L7" s="24"/>
      <c r="M7" s="24"/>
      <c r="N7" s="21"/>
      <c r="O7" s="2"/>
      <c r="P7" s="31">
        <f>C7</f>
        <v>0</v>
      </c>
      <c r="Q7" s="21">
        <f>C5</f>
        <v>500</v>
      </c>
      <c r="R7" s="31">
        <f>P7-Q7</f>
        <v>-500</v>
      </c>
      <c r="S7" s="2"/>
      <c r="T7" s="2"/>
      <c r="U7" s="2"/>
      <c r="V7" s="2"/>
      <c r="W7" s="2"/>
    </row>
    <row r="8" spans="1:23" ht="20.25" thickTop="1" thickBot="1" x14ac:dyDescent="0.3">
      <c r="A8" s="2"/>
      <c r="B8" s="10" t="s">
        <v>15</v>
      </c>
      <c r="C8" s="12"/>
      <c r="D8" s="18"/>
      <c r="E8" s="25"/>
      <c r="F8" s="25"/>
      <c r="G8" s="25"/>
      <c r="H8" s="25"/>
      <c r="I8" s="25"/>
      <c r="J8" s="25"/>
      <c r="K8" s="25"/>
      <c r="L8" s="25"/>
      <c r="M8" s="25"/>
      <c r="N8" s="30"/>
      <c r="O8" s="2"/>
      <c r="P8" s="32">
        <f>D8</f>
        <v>0</v>
      </c>
      <c r="Q8" s="30">
        <f>D7</f>
        <v>0</v>
      </c>
      <c r="R8" s="30">
        <f>P8-Q8</f>
        <v>0</v>
      </c>
      <c r="S8" s="2"/>
      <c r="T8" s="2"/>
      <c r="U8" s="2"/>
      <c r="V8" s="2"/>
      <c r="W8" s="2"/>
    </row>
    <row r="9" spans="1:23" ht="20.25" thickTop="1" thickBot="1" x14ac:dyDescent="0.3">
      <c r="A9" s="2"/>
      <c r="B9" s="10" t="s">
        <v>16</v>
      </c>
      <c r="C9" s="12"/>
      <c r="D9" s="16"/>
      <c r="E9" s="18"/>
      <c r="F9" s="25"/>
      <c r="G9" s="25"/>
      <c r="H9" s="25"/>
      <c r="I9" s="25"/>
      <c r="J9" s="25"/>
      <c r="K9" s="25"/>
      <c r="L9" s="25"/>
      <c r="M9" s="25"/>
      <c r="N9" s="22"/>
      <c r="O9" s="2"/>
      <c r="P9" s="33">
        <f>E9</f>
        <v>0</v>
      </c>
      <c r="Q9" s="22">
        <f>E8</f>
        <v>0</v>
      </c>
      <c r="R9" s="30">
        <f t="shared" ref="R9:R18" si="0">P9-Q9</f>
        <v>0</v>
      </c>
      <c r="S9" s="2"/>
      <c r="T9" s="2"/>
      <c r="U9" s="2"/>
      <c r="V9" s="2"/>
      <c r="W9" s="2"/>
    </row>
    <row r="10" spans="1:23" ht="20.25" thickTop="1" thickBot="1" x14ac:dyDescent="0.3">
      <c r="A10" s="2"/>
      <c r="B10" s="10" t="s">
        <v>17</v>
      </c>
      <c r="C10" s="12"/>
      <c r="D10" s="16"/>
      <c r="E10" s="16"/>
      <c r="F10" s="18"/>
      <c r="G10" s="25"/>
      <c r="H10" s="25"/>
      <c r="I10" s="25"/>
      <c r="J10" s="25"/>
      <c r="K10" s="25"/>
      <c r="L10" s="25"/>
      <c r="M10" s="25"/>
      <c r="N10" s="22"/>
      <c r="O10" s="2"/>
      <c r="P10" s="33">
        <f>F10</f>
        <v>0</v>
      </c>
      <c r="Q10" s="22">
        <f>F9</f>
        <v>0</v>
      </c>
      <c r="R10" s="30">
        <f t="shared" si="0"/>
        <v>0</v>
      </c>
      <c r="S10" s="2"/>
      <c r="T10" s="2"/>
      <c r="U10" s="2"/>
      <c r="V10" s="2"/>
      <c r="W10" s="2"/>
    </row>
    <row r="11" spans="1:23" ht="20.25" thickTop="1" thickBot="1" x14ac:dyDescent="0.3">
      <c r="A11" s="2"/>
      <c r="B11" s="10" t="s">
        <v>18</v>
      </c>
      <c r="C11" s="12"/>
      <c r="D11" s="16"/>
      <c r="E11" s="16"/>
      <c r="F11" s="16"/>
      <c r="G11" s="18"/>
      <c r="H11" s="25"/>
      <c r="I11" s="25"/>
      <c r="J11" s="25"/>
      <c r="K11" s="25"/>
      <c r="L11" s="25"/>
      <c r="M11" s="25"/>
      <c r="N11" s="22"/>
      <c r="O11" s="2"/>
      <c r="P11" s="33">
        <f>G11</f>
        <v>0</v>
      </c>
      <c r="Q11" s="22">
        <f>G10</f>
        <v>0</v>
      </c>
      <c r="R11" s="30">
        <f t="shared" si="0"/>
        <v>0</v>
      </c>
      <c r="S11" s="2"/>
      <c r="T11" s="2"/>
      <c r="U11" s="2"/>
      <c r="V11" s="2"/>
      <c r="W11" s="2"/>
    </row>
    <row r="12" spans="1:23" ht="20.25" thickTop="1" thickBot="1" x14ac:dyDescent="0.3">
      <c r="A12" s="2"/>
      <c r="B12" s="10" t="s">
        <v>19</v>
      </c>
      <c r="C12" s="12"/>
      <c r="D12" s="16"/>
      <c r="E12" s="16"/>
      <c r="F12" s="16"/>
      <c r="G12" s="16"/>
      <c r="H12" s="18"/>
      <c r="I12" s="25"/>
      <c r="J12" s="25"/>
      <c r="K12" s="25"/>
      <c r="L12" s="25"/>
      <c r="M12" s="25"/>
      <c r="N12" s="22"/>
      <c r="O12" s="2"/>
      <c r="P12" s="33">
        <f>H12</f>
        <v>0</v>
      </c>
      <c r="Q12" s="22">
        <f>H11</f>
        <v>0</v>
      </c>
      <c r="R12" s="30">
        <f t="shared" si="0"/>
        <v>0</v>
      </c>
      <c r="S12" s="2"/>
      <c r="T12" s="2"/>
      <c r="U12" s="2"/>
      <c r="V12" s="2"/>
      <c r="W12" s="2"/>
    </row>
    <row r="13" spans="1:23" ht="20.25" thickTop="1" thickBot="1" x14ac:dyDescent="0.3">
      <c r="A13" s="2"/>
      <c r="B13" s="10" t="s">
        <v>20</v>
      </c>
      <c r="C13" s="12"/>
      <c r="D13" s="16"/>
      <c r="E13" s="16"/>
      <c r="F13" s="16"/>
      <c r="G13" s="16"/>
      <c r="H13" s="16"/>
      <c r="I13" s="18"/>
      <c r="J13" s="25"/>
      <c r="K13" s="25"/>
      <c r="L13" s="25"/>
      <c r="M13" s="25"/>
      <c r="N13" s="22"/>
      <c r="O13" s="2"/>
      <c r="P13" s="33">
        <f>I13</f>
        <v>0</v>
      </c>
      <c r="Q13" s="22">
        <f>I12</f>
        <v>0</v>
      </c>
      <c r="R13" s="30">
        <f t="shared" si="0"/>
        <v>0</v>
      </c>
      <c r="S13" s="2"/>
      <c r="T13" s="2"/>
      <c r="U13" s="2"/>
      <c r="V13" s="2"/>
      <c r="W13" s="2"/>
    </row>
    <row r="14" spans="1:23" ht="20.25" thickTop="1" thickBot="1" x14ac:dyDescent="0.3">
      <c r="A14" s="2"/>
      <c r="B14" s="10" t="s">
        <v>21</v>
      </c>
      <c r="C14" s="12"/>
      <c r="D14" s="16"/>
      <c r="E14" s="16"/>
      <c r="F14" s="16"/>
      <c r="G14" s="16"/>
      <c r="H14" s="16"/>
      <c r="I14" s="16"/>
      <c r="J14" s="18"/>
      <c r="K14" s="25"/>
      <c r="L14" s="25"/>
      <c r="M14" s="25"/>
      <c r="N14" s="22"/>
      <c r="O14" s="2"/>
      <c r="P14" s="33">
        <f>J14</f>
        <v>0</v>
      </c>
      <c r="Q14" s="22">
        <f>J13</f>
        <v>0</v>
      </c>
      <c r="R14" s="30">
        <f t="shared" si="0"/>
        <v>0</v>
      </c>
      <c r="S14" s="2"/>
      <c r="T14" s="2"/>
      <c r="U14" s="2"/>
      <c r="V14" s="2"/>
      <c r="W14" s="2"/>
    </row>
    <row r="15" spans="1:23" ht="20.25" thickTop="1" thickBot="1" x14ac:dyDescent="0.3">
      <c r="A15" s="2"/>
      <c r="B15" s="10" t="s">
        <v>22</v>
      </c>
      <c r="C15" s="12"/>
      <c r="D15" s="16"/>
      <c r="E15" s="16"/>
      <c r="F15" s="16"/>
      <c r="G15" s="16"/>
      <c r="H15" s="16"/>
      <c r="I15" s="16"/>
      <c r="J15" s="16"/>
      <c r="K15" s="20"/>
      <c r="L15" s="26"/>
      <c r="M15" s="25"/>
      <c r="N15" s="22"/>
      <c r="O15" s="2"/>
      <c r="P15" s="33">
        <f>K15</f>
        <v>0</v>
      </c>
      <c r="Q15" s="22">
        <f>K14</f>
        <v>0</v>
      </c>
      <c r="R15" s="30">
        <f t="shared" si="0"/>
        <v>0</v>
      </c>
      <c r="S15" s="2"/>
      <c r="T15" s="2"/>
      <c r="U15" s="2"/>
      <c r="V15" s="2"/>
      <c r="W15" s="2"/>
    </row>
    <row r="16" spans="1:23" ht="20.25" thickTop="1" thickBot="1" x14ac:dyDescent="0.3">
      <c r="A16" s="2"/>
      <c r="B16" s="10" t="s">
        <v>23</v>
      </c>
      <c r="C16" s="12"/>
      <c r="D16" s="16"/>
      <c r="E16" s="16"/>
      <c r="F16" s="16"/>
      <c r="G16" s="16"/>
      <c r="H16" s="16"/>
      <c r="I16" s="16"/>
      <c r="J16" s="16"/>
      <c r="K16" s="16"/>
      <c r="L16" s="20"/>
      <c r="M16" s="26"/>
      <c r="N16" s="22"/>
      <c r="O16" s="2"/>
      <c r="P16" s="33">
        <f>L16</f>
        <v>0</v>
      </c>
      <c r="Q16" s="22">
        <f>L15</f>
        <v>0</v>
      </c>
      <c r="R16" s="30">
        <f t="shared" si="0"/>
        <v>0</v>
      </c>
      <c r="S16" s="2"/>
      <c r="T16" s="2"/>
      <c r="U16" s="2"/>
      <c r="V16" s="2"/>
      <c r="W16" s="2"/>
    </row>
    <row r="17" spans="1:23" ht="20.25" thickTop="1" thickBot="1" x14ac:dyDescent="0.3">
      <c r="A17" s="2"/>
      <c r="B17" s="10" t="s">
        <v>24</v>
      </c>
      <c r="C17" s="12"/>
      <c r="D17" s="16"/>
      <c r="E17" s="16"/>
      <c r="F17" s="16"/>
      <c r="G17" s="16"/>
      <c r="H17" s="16"/>
      <c r="I17" s="16"/>
      <c r="J17" s="16"/>
      <c r="K17" s="16"/>
      <c r="L17" s="16"/>
      <c r="M17" s="20"/>
      <c r="N17" s="23"/>
      <c r="O17" s="2"/>
      <c r="P17" s="33">
        <f>M17</f>
        <v>0</v>
      </c>
      <c r="Q17" s="22">
        <f>M16</f>
        <v>0</v>
      </c>
      <c r="R17" s="30">
        <f t="shared" si="0"/>
        <v>0</v>
      </c>
      <c r="S17" s="2"/>
      <c r="T17" s="2"/>
      <c r="U17" s="2"/>
      <c r="V17" s="2"/>
      <c r="W17" s="2"/>
    </row>
    <row r="18" spans="1:23" ht="20.25" thickTop="1" thickBot="1" x14ac:dyDescent="0.3">
      <c r="A18" s="2"/>
      <c r="B18" s="11" t="s">
        <v>25</v>
      </c>
      <c r="C18" s="13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2"/>
      <c r="P18" s="34">
        <f>N18</f>
        <v>0</v>
      </c>
      <c r="Q18" s="23">
        <f>N17</f>
        <v>0</v>
      </c>
      <c r="R18" s="35">
        <f t="shared" si="0"/>
        <v>0</v>
      </c>
      <c r="S18" s="2"/>
      <c r="T18" s="2"/>
      <c r="U18" s="2"/>
      <c r="V18" s="2"/>
      <c r="W18" s="2"/>
    </row>
    <row r="19" spans="1:23" ht="14.1" customHeight="1" thickTop="1" x14ac:dyDescent="0.25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4"/>
      <c r="O19" s="2"/>
      <c r="P19" s="2"/>
      <c r="Q19" s="2"/>
      <c r="R19" s="2"/>
      <c r="S19" s="2"/>
      <c r="T19" s="2"/>
      <c r="U19" s="2"/>
      <c r="V19" s="2"/>
      <c r="W19" s="2"/>
    </row>
    <row r="20" spans="1:23" ht="14.1" customHeight="1" x14ac:dyDescent="0.25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4"/>
      <c r="O20" s="2"/>
      <c r="P20" s="2"/>
      <c r="Q20" s="2"/>
      <c r="R20" s="2"/>
      <c r="S20" s="2"/>
      <c r="T20" s="2"/>
      <c r="U20" s="2"/>
      <c r="V20" s="2"/>
      <c r="W20" s="2"/>
    </row>
    <row r="21" spans="1:23" ht="14.1" customHeight="1" x14ac:dyDescent="0.25">
      <c r="A21" s="2"/>
      <c r="B21" s="46" t="s">
        <v>45</v>
      </c>
      <c r="C21" s="46"/>
      <c r="D21" s="46"/>
      <c r="E21" s="46"/>
      <c r="F21" s="46"/>
      <c r="G21" s="46"/>
      <c r="H21" s="46"/>
      <c r="I21" s="3"/>
      <c r="J21" s="3"/>
      <c r="K21" s="3"/>
      <c r="L21" s="3"/>
      <c r="M21" s="3"/>
      <c r="N21" s="4"/>
      <c r="O21" s="2"/>
      <c r="P21" s="2"/>
      <c r="Q21" s="2"/>
      <c r="R21" s="2"/>
      <c r="S21" s="2"/>
      <c r="T21" s="2"/>
      <c r="U21" s="2"/>
      <c r="V21" s="2"/>
      <c r="W21" s="2"/>
    </row>
    <row r="22" spans="1:23" ht="14.1" customHeight="1" x14ac:dyDescent="0.25">
      <c r="A22" s="2"/>
      <c r="B22" s="46"/>
      <c r="C22" s="46"/>
      <c r="D22" s="46"/>
      <c r="E22" s="46"/>
      <c r="F22" s="46"/>
      <c r="G22" s="46"/>
      <c r="H22" s="46"/>
      <c r="I22" s="61"/>
      <c r="J22" s="61"/>
      <c r="K22" s="61"/>
      <c r="L22" s="61"/>
      <c r="M22" s="61"/>
      <c r="N22" s="4"/>
      <c r="O22" s="2"/>
      <c r="P22" s="2"/>
      <c r="Q22" s="2"/>
      <c r="R22" s="2"/>
      <c r="S22" s="2"/>
      <c r="T22" s="2"/>
      <c r="U22" s="2"/>
      <c r="V22" s="2"/>
      <c r="W22" s="2"/>
    </row>
    <row r="23" spans="1:23" ht="18.75" x14ac:dyDescent="0.25">
      <c r="A23" s="55"/>
      <c r="B23" s="5"/>
      <c r="F23" s="5"/>
      <c r="G23" s="5"/>
      <c r="H23" s="5"/>
      <c r="I23" s="58"/>
      <c r="J23" s="62"/>
      <c r="K23" s="62"/>
      <c r="L23" s="39"/>
      <c r="M23" s="39"/>
      <c r="N23" s="5"/>
      <c r="O23" s="56"/>
      <c r="P23" s="56"/>
      <c r="U23" s="2"/>
      <c r="V23" s="2"/>
      <c r="W23" s="2"/>
    </row>
    <row r="24" spans="1:23" ht="18.75" x14ac:dyDescent="0.25">
      <c r="A24" s="55"/>
      <c r="E24" s="47" t="s">
        <v>43</v>
      </c>
      <c r="F24" s="48"/>
      <c r="G24" s="29">
        <f>SUM(C5:N5)</f>
        <v>250500</v>
      </c>
      <c r="H24" s="5"/>
      <c r="I24" s="63"/>
      <c r="J24" s="64"/>
      <c r="K24" s="64"/>
      <c r="L24" s="65"/>
      <c r="M24" s="59"/>
      <c r="N24" s="5"/>
      <c r="O24" s="56"/>
      <c r="P24" s="56"/>
      <c r="U24" s="2"/>
      <c r="V24" s="2"/>
      <c r="W24" s="2"/>
    </row>
    <row r="25" spans="1:23" ht="18.75" x14ac:dyDescent="0.25">
      <c r="A25" s="55"/>
      <c r="E25" s="47" t="s">
        <v>44</v>
      </c>
      <c r="F25" s="48"/>
      <c r="G25" s="29">
        <f>Actual</f>
        <v>0</v>
      </c>
      <c r="H25" s="5"/>
      <c r="I25" s="63"/>
      <c r="J25" s="64"/>
      <c r="K25" s="64"/>
      <c r="L25" s="65"/>
      <c r="M25" s="59"/>
      <c r="N25" s="5"/>
      <c r="O25" s="56"/>
      <c r="P25" s="56"/>
      <c r="U25" s="2"/>
      <c r="V25" s="2"/>
      <c r="W25" s="2"/>
    </row>
    <row r="26" spans="1:23" ht="18.75" customHeight="1" x14ac:dyDescent="0.25">
      <c r="A26" s="55"/>
      <c r="E26" s="5"/>
      <c r="F26" s="5"/>
      <c r="G26" s="6"/>
      <c r="H26" s="5"/>
      <c r="I26" s="63"/>
      <c r="J26" s="64"/>
      <c r="K26" s="64"/>
      <c r="L26" s="65"/>
      <c r="M26" s="59"/>
      <c r="N26" s="5"/>
      <c r="O26" s="56"/>
      <c r="P26" s="56"/>
      <c r="U26" s="2"/>
      <c r="V26" s="2"/>
      <c r="W26" s="2"/>
    </row>
    <row r="27" spans="1:23" ht="40.5" customHeight="1" x14ac:dyDescent="0.25">
      <c r="A27" s="55"/>
      <c r="E27" s="66" t="s">
        <v>26</v>
      </c>
      <c r="F27" s="67"/>
      <c r="G27" s="68">
        <f>G25/G24</f>
        <v>0</v>
      </c>
      <c r="H27" s="5"/>
      <c r="I27" s="63"/>
      <c r="J27" s="64"/>
      <c r="K27" s="64"/>
      <c r="L27" s="65"/>
      <c r="M27" s="59"/>
      <c r="N27" s="5"/>
      <c r="O27" s="56"/>
      <c r="P27" s="56"/>
      <c r="U27" s="2"/>
      <c r="V27" s="2"/>
      <c r="W27" s="2"/>
    </row>
    <row r="28" spans="1:23" ht="18.75" x14ac:dyDescent="0.25">
      <c r="A28" s="55"/>
      <c r="B28" s="5"/>
      <c r="G28" s="5"/>
      <c r="H28" s="5"/>
      <c r="I28" s="63"/>
      <c r="J28" s="64"/>
      <c r="K28" s="64"/>
      <c r="L28" s="65"/>
      <c r="M28" s="59"/>
      <c r="N28" s="5"/>
      <c r="O28" s="56"/>
      <c r="P28" s="56"/>
      <c r="U28" s="2"/>
      <c r="V28" s="2"/>
      <c r="W28" s="2"/>
    </row>
    <row r="29" spans="1:23" ht="18.75" x14ac:dyDescent="0.25">
      <c r="A29" s="55"/>
      <c r="B29" s="5"/>
      <c r="G29" s="5"/>
      <c r="H29" s="5"/>
      <c r="I29" s="63"/>
      <c r="J29" s="64"/>
      <c r="K29" s="64"/>
      <c r="L29" s="65"/>
      <c r="M29" s="59"/>
      <c r="N29" s="5"/>
      <c r="O29" s="56"/>
      <c r="P29" s="56"/>
      <c r="U29" s="2"/>
      <c r="V29" s="2"/>
      <c r="W29" s="2"/>
    </row>
    <row r="30" spans="1:23" ht="18.75" x14ac:dyDescent="0.25">
      <c r="A30" s="55"/>
      <c r="B30" s="5"/>
      <c r="G30" s="5"/>
      <c r="H30" s="5"/>
      <c r="I30" s="63"/>
      <c r="J30" s="64"/>
      <c r="K30" s="64"/>
      <c r="L30" s="65"/>
      <c r="M30" s="59"/>
      <c r="N30" s="5"/>
      <c r="O30" s="56"/>
      <c r="P30" s="56"/>
      <c r="U30" s="2"/>
      <c r="V30" s="2"/>
      <c r="W30" s="2"/>
    </row>
    <row r="31" spans="1:23" ht="18.75" x14ac:dyDescent="0.25">
      <c r="A31" s="55"/>
      <c r="B31" s="5"/>
      <c r="C31" s="5"/>
      <c r="D31" s="5"/>
      <c r="E31" s="5"/>
      <c r="F31" s="5"/>
      <c r="G31" s="5"/>
      <c r="H31" s="5"/>
      <c r="I31" s="63"/>
      <c r="J31" s="64"/>
      <c r="K31" s="64"/>
      <c r="L31" s="65"/>
      <c r="M31" s="59"/>
      <c r="N31" s="5"/>
      <c r="O31" s="56"/>
      <c r="P31" s="56"/>
      <c r="U31" s="2"/>
      <c r="V31" s="2"/>
      <c r="W31" s="2"/>
    </row>
    <row r="32" spans="1:23" ht="18.75" x14ac:dyDescent="0.25">
      <c r="A32" s="55"/>
      <c r="B32" s="5"/>
      <c r="C32" s="5"/>
      <c r="D32" s="5"/>
      <c r="E32" s="5"/>
      <c r="F32" s="5"/>
      <c r="G32" s="5"/>
      <c r="H32" s="5"/>
      <c r="I32" s="63"/>
      <c r="J32" s="64"/>
      <c r="K32" s="64"/>
      <c r="L32" s="65"/>
      <c r="M32" s="59"/>
      <c r="N32" s="5"/>
      <c r="O32" s="56"/>
      <c r="P32" s="56"/>
      <c r="U32" s="2"/>
      <c r="V32" s="2"/>
      <c r="W32" s="2"/>
    </row>
    <row r="33" spans="1:23" ht="18.75" x14ac:dyDescent="0.25">
      <c r="A33" s="55"/>
      <c r="B33" s="5"/>
      <c r="C33" s="5"/>
      <c r="D33" s="5"/>
      <c r="E33" s="5"/>
      <c r="F33" s="5"/>
      <c r="G33" s="5"/>
      <c r="H33" s="5"/>
      <c r="I33" s="63"/>
      <c r="J33" s="64"/>
      <c r="K33" s="64"/>
      <c r="L33" s="65"/>
      <c r="M33" s="59"/>
      <c r="N33" s="5"/>
      <c r="O33" s="56"/>
      <c r="P33" s="56"/>
      <c r="U33" s="2"/>
      <c r="V33" s="2"/>
      <c r="W33" s="2"/>
    </row>
    <row r="34" spans="1:23" ht="18.75" x14ac:dyDescent="0.25">
      <c r="A34" s="55"/>
      <c r="B34" s="5"/>
      <c r="C34" s="5"/>
      <c r="D34" s="5"/>
      <c r="E34" s="5"/>
      <c r="F34" s="5"/>
      <c r="G34" s="5"/>
      <c r="H34" s="5"/>
      <c r="I34" s="63"/>
      <c r="J34" s="64"/>
      <c r="K34" s="64"/>
      <c r="L34" s="65"/>
      <c r="M34" s="59"/>
      <c r="N34" s="5"/>
      <c r="O34" s="56"/>
      <c r="P34" s="56"/>
      <c r="U34" s="2"/>
      <c r="V34" s="2"/>
      <c r="W34" s="2"/>
    </row>
    <row r="35" spans="1:23" ht="14.1" customHeight="1" x14ac:dyDescent="0.25">
      <c r="A35" s="55"/>
      <c r="B35" s="5"/>
      <c r="C35" s="5"/>
      <c r="D35" s="5"/>
      <c r="E35" s="5"/>
      <c r="F35" s="5"/>
      <c r="G35" s="5"/>
      <c r="H35" s="5"/>
      <c r="I35" s="58"/>
      <c r="J35" s="58"/>
      <c r="K35" s="58"/>
      <c r="L35" s="58"/>
      <c r="M35" s="58"/>
      <c r="N35" s="5"/>
      <c r="O35" s="56"/>
      <c r="P35" s="55"/>
      <c r="Q35" s="2"/>
      <c r="R35" s="2"/>
      <c r="S35" s="2"/>
      <c r="T35" s="2"/>
      <c r="U35" s="2"/>
      <c r="V35" s="2"/>
      <c r="W35" s="2"/>
    </row>
    <row r="36" spans="1:23" ht="14.1" customHeight="1" x14ac:dyDescent="0.25">
      <c r="A36" s="55"/>
      <c r="B36" s="55"/>
      <c r="C36" s="55"/>
      <c r="D36" s="55"/>
      <c r="E36" s="55"/>
      <c r="F36" s="55"/>
      <c r="G36" s="55"/>
      <c r="H36" s="55"/>
      <c r="I36" s="60"/>
      <c r="J36" s="60"/>
      <c r="K36" s="60"/>
      <c r="L36" s="60"/>
      <c r="M36" s="60"/>
      <c r="N36" s="55"/>
      <c r="O36" s="55"/>
      <c r="P36" s="55"/>
      <c r="Q36" s="2"/>
      <c r="R36" s="2"/>
      <c r="S36" s="2"/>
      <c r="T36" s="2"/>
      <c r="U36" s="2"/>
      <c r="V36" s="2"/>
      <c r="W36" s="2"/>
    </row>
    <row r="37" spans="1:23" ht="14.1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</sheetData>
  <mergeCells count="18">
    <mergeCell ref="J33:K33"/>
    <mergeCell ref="J34:K34"/>
    <mergeCell ref="J32:K32"/>
    <mergeCell ref="E24:F24"/>
    <mergeCell ref="E25:F25"/>
    <mergeCell ref="E27:F27"/>
    <mergeCell ref="J28:K28"/>
    <mergeCell ref="J30:K30"/>
    <mergeCell ref="J31:K31"/>
    <mergeCell ref="J29:K29"/>
    <mergeCell ref="J25:K25"/>
    <mergeCell ref="J26:K26"/>
    <mergeCell ref="J27:K27"/>
    <mergeCell ref="J24:K24"/>
    <mergeCell ref="P5:R5"/>
    <mergeCell ref="B4:N4"/>
    <mergeCell ref="J23:K23"/>
    <mergeCell ref="B21:H22"/>
  </mergeCells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8"/>
  <sheetViews>
    <sheetView showGridLines="0" workbookViewId="0">
      <selection activeCell="D6" sqref="D6:D17"/>
    </sheetView>
  </sheetViews>
  <sheetFormatPr baseColWidth="10" defaultColWidth="9.140625" defaultRowHeight="15" x14ac:dyDescent="0.25"/>
  <cols>
    <col min="1" max="3" width="9.140625" style="69"/>
    <col min="4" max="4" width="17.28515625" style="69" customWidth="1"/>
    <col min="5" max="6" width="19.85546875" style="69" customWidth="1"/>
    <col min="7" max="8" width="13.42578125" style="69" customWidth="1"/>
    <col min="9" max="9" width="17.5703125" style="69" customWidth="1"/>
    <col min="10" max="16384" width="9.140625" style="69"/>
  </cols>
  <sheetData>
    <row r="1" spans="2:10" ht="15" customHeight="1" x14ac:dyDescent="0.25"/>
    <row r="4" spans="2:10" x14ac:dyDescent="0.25">
      <c r="B4" s="70"/>
      <c r="C4" s="70"/>
      <c r="D4" s="70"/>
      <c r="E4" s="70"/>
      <c r="F4" s="70"/>
      <c r="G4" s="70"/>
      <c r="H4" s="70"/>
      <c r="I4" s="70"/>
      <c r="J4" s="70"/>
    </row>
    <row r="5" spans="2:10" x14ac:dyDescent="0.25">
      <c r="B5" s="70"/>
      <c r="C5" s="71"/>
      <c r="D5" s="36" t="s">
        <v>36</v>
      </c>
      <c r="E5" s="37"/>
      <c r="F5" s="37"/>
      <c r="G5" s="37"/>
      <c r="H5" s="37"/>
      <c r="I5" s="37"/>
      <c r="J5" s="70"/>
    </row>
    <row r="6" spans="2:10" x14ac:dyDescent="0.25">
      <c r="B6" s="70"/>
      <c r="C6" s="36" t="s">
        <v>1</v>
      </c>
      <c r="D6" s="38">
        <f>'Presupuesto Cascada'!C7</f>
        <v>0</v>
      </c>
      <c r="E6" s="57"/>
      <c r="F6" s="57"/>
      <c r="G6" s="57"/>
      <c r="H6" s="57"/>
      <c r="I6" s="40"/>
      <c r="J6" s="70"/>
    </row>
    <row r="7" spans="2:10" x14ac:dyDescent="0.25">
      <c r="B7" s="70"/>
      <c r="C7" s="36" t="s">
        <v>2</v>
      </c>
      <c r="D7" s="38">
        <f>'Presupuesto Cascada'!D8</f>
        <v>0</v>
      </c>
      <c r="E7" s="57"/>
      <c r="F7" s="57"/>
      <c r="G7" s="57"/>
      <c r="H7" s="57"/>
      <c r="I7" s="40"/>
      <c r="J7" s="70"/>
    </row>
    <row r="8" spans="2:10" x14ac:dyDescent="0.25">
      <c r="B8" s="70"/>
      <c r="C8" s="36" t="s">
        <v>3</v>
      </c>
      <c r="D8" s="38">
        <f>'Presupuesto Cascada'!E9</f>
        <v>0</v>
      </c>
      <c r="E8" s="57"/>
      <c r="F8" s="57"/>
      <c r="G8" s="57"/>
      <c r="H8" s="57"/>
      <c r="I8" s="40"/>
      <c r="J8" s="70"/>
    </row>
    <row r="9" spans="2:10" x14ac:dyDescent="0.25">
      <c r="B9" s="70"/>
      <c r="C9" s="36" t="s">
        <v>4</v>
      </c>
      <c r="D9" s="38">
        <f>'Presupuesto Cascada'!F10</f>
        <v>0</v>
      </c>
      <c r="E9" s="57"/>
      <c r="F9" s="57"/>
      <c r="G9" s="57"/>
      <c r="H9" s="57"/>
      <c r="I9" s="40"/>
      <c r="J9" s="70"/>
    </row>
    <row r="10" spans="2:10" x14ac:dyDescent="0.25">
      <c r="B10" s="70"/>
      <c r="C10" s="36" t="s">
        <v>5</v>
      </c>
      <c r="D10" s="38">
        <f>'Presupuesto Cascada'!G11</f>
        <v>0</v>
      </c>
      <c r="E10" s="57"/>
      <c r="F10" s="57"/>
      <c r="G10" s="57"/>
      <c r="H10" s="57"/>
      <c r="I10" s="40"/>
      <c r="J10" s="70"/>
    </row>
    <row r="11" spans="2:10" x14ac:dyDescent="0.25">
      <c r="B11" s="70"/>
      <c r="C11" s="36" t="s">
        <v>6</v>
      </c>
      <c r="D11" s="38">
        <f>'Presupuesto Cascada'!H12</f>
        <v>0</v>
      </c>
      <c r="E11" s="57"/>
      <c r="F11" s="57"/>
      <c r="G11" s="57"/>
      <c r="H11" s="57"/>
      <c r="I11" s="40"/>
      <c r="J11" s="70"/>
    </row>
    <row r="12" spans="2:10" x14ac:dyDescent="0.25">
      <c r="B12" s="70"/>
      <c r="C12" s="36" t="s">
        <v>7</v>
      </c>
      <c r="D12" s="38">
        <f>'Presupuesto Cascada'!I13</f>
        <v>0</v>
      </c>
      <c r="E12" s="57"/>
      <c r="F12" s="57"/>
      <c r="G12" s="57"/>
      <c r="H12" s="57"/>
      <c r="I12" s="40"/>
      <c r="J12" s="70"/>
    </row>
    <row r="13" spans="2:10" x14ac:dyDescent="0.25">
      <c r="B13" s="70"/>
      <c r="C13" s="36" t="s">
        <v>8</v>
      </c>
      <c r="D13" s="38">
        <f>'Presupuesto Cascada'!J14</f>
        <v>0</v>
      </c>
      <c r="E13" s="57"/>
      <c r="F13" s="57"/>
      <c r="G13" s="57"/>
      <c r="H13" s="57"/>
      <c r="I13" s="40"/>
      <c r="J13" s="70"/>
    </row>
    <row r="14" spans="2:10" x14ac:dyDescent="0.25">
      <c r="B14" s="70"/>
      <c r="C14" s="36" t="s">
        <v>9</v>
      </c>
      <c r="D14" s="38">
        <f>'Presupuesto Cascada'!K15</f>
        <v>0</v>
      </c>
      <c r="E14" s="57"/>
      <c r="F14" s="57"/>
      <c r="G14" s="57"/>
      <c r="H14" s="57"/>
      <c r="I14" s="40"/>
      <c r="J14" s="70"/>
    </row>
    <row r="15" spans="2:10" x14ac:dyDescent="0.25">
      <c r="B15" s="70"/>
      <c r="C15" s="36" t="s">
        <v>10</v>
      </c>
      <c r="D15" s="38">
        <f>'Presupuesto Cascada'!L16</f>
        <v>0</v>
      </c>
      <c r="E15" s="57"/>
      <c r="F15" s="57"/>
      <c r="G15" s="57"/>
      <c r="H15" s="57"/>
      <c r="I15" s="40"/>
      <c r="J15" s="70"/>
    </row>
    <row r="16" spans="2:10" x14ac:dyDescent="0.25">
      <c r="B16" s="70"/>
      <c r="C16" s="36" t="s">
        <v>11</v>
      </c>
      <c r="D16" s="38">
        <f>'Presupuesto Cascada'!M17</f>
        <v>0</v>
      </c>
      <c r="E16" s="57"/>
      <c r="F16" s="57"/>
      <c r="G16" s="57"/>
      <c r="H16" s="57"/>
      <c r="I16" s="40"/>
      <c r="J16" s="70"/>
    </row>
    <row r="17" spans="2:10" x14ac:dyDescent="0.25">
      <c r="B17" s="70"/>
      <c r="C17" s="36" t="s">
        <v>12</v>
      </c>
      <c r="D17" s="38">
        <f>'Presupuesto Cascada'!N18</f>
        <v>0</v>
      </c>
      <c r="E17" s="57"/>
      <c r="F17" s="57"/>
      <c r="G17" s="57"/>
      <c r="H17" s="57"/>
      <c r="I17" s="40"/>
      <c r="J17" s="70"/>
    </row>
    <row r="18" spans="2:10" x14ac:dyDescent="0.25">
      <c r="B18" s="70"/>
      <c r="C18" s="70"/>
      <c r="D18" s="70"/>
      <c r="E18" s="70"/>
      <c r="F18" s="70"/>
      <c r="G18" s="70"/>
      <c r="H18" s="70"/>
      <c r="I18" s="70"/>
      <c r="J18" s="7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Presupuesto Cascada</vt:lpstr>
      <vt:lpstr>Cálculos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Planilla Excel</dc:creator>
  <cp:lastModifiedBy>Cecilia</cp:lastModifiedBy>
  <dcterms:created xsi:type="dcterms:W3CDTF">2017-10-04T00:14:57Z</dcterms:created>
  <dcterms:modified xsi:type="dcterms:W3CDTF">2017-10-10T17:01:13Z</dcterms:modified>
</cp:coreProperties>
</file>