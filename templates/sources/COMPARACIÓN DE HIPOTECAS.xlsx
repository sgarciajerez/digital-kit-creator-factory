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7EC4D2FF-77BE-4D3A-AF10-B707D538F9CD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Comparación de hipotecas" sheetId="1" r:id="rId1"/>
  </sheets>
  <definedNames>
    <definedName name="CantidadPréstamo">'Comparación de hipotecas'!$D$3</definedName>
    <definedName name="_xlnm.Print_Titles" localSheetId="0">'Comparación de hipotecas'!$5:$5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J6" i="1"/>
  <c r="J7" i="1"/>
  <c r="J8" i="1"/>
  <c r="J9" i="1"/>
  <c r="L6" i="1" l="1"/>
  <c r="L7" i="1"/>
  <c r="L8" i="1"/>
  <c r="L9" i="1"/>
</calcChain>
</file>

<file path=xl/sharedStrings.xml><?xml version="1.0" encoding="utf-8"?>
<sst xmlns="http://schemas.openxmlformats.org/spreadsheetml/2006/main" count="30" uniqueCount="28">
  <si>
    <r>
      <rPr>
        <b/>
        <i/>
        <sz val="34"/>
        <color theme="8"/>
        <rFont val="Trebuchet MS"/>
        <family val="2"/>
        <scheme val="major"/>
      </rPr>
      <t>COMPARACIÓN</t>
    </r>
    <r>
      <rPr>
        <sz val="11"/>
        <color theme="1" tint="0.34998626667073579"/>
        <rFont val="Trebuchet MS"/>
        <family val="2"/>
        <scheme val="minor"/>
      </rPr>
      <t xml:space="preserve"> </t>
    </r>
    <r>
      <rPr>
        <b/>
        <sz val="34"/>
        <color theme="0"/>
        <rFont val="Trebuchet MS"/>
        <family val="2"/>
        <scheme val="minor"/>
      </rPr>
      <t>DE HIPOTECAS</t>
    </r>
  </si>
  <si>
    <t>FECHA</t>
  </si>
  <si>
    <t>Fecha</t>
  </si>
  <si>
    <t>IMPORTE</t>
  </si>
  <si>
    <t>El gráfico de columnas que muestra la comparación de la tasa de interés se encuentra en esta celda.</t>
  </si>
  <si>
    <t>El gráfico de columnas que muestra los costes iniciales se encuentra en esta celda.</t>
  </si>
  <si>
    <t>El gráfico de columnas que muestra los pagos mensuales se encuentra en esta celda.</t>
  </si>
  <si>
    <t>#</t>
  </si>
  <si>
    <t>BANCO</t>
  </si>
  <si>
    <t>TIPO</t>
  </si>
  <si>
    <t>TRIMESTRE</t>
  </si>
  <si>
    <t>AÑOS AMORTIZADOS</t>
  </si>
  <si>
    <t>TASA</t>
  </si>
  <si>
    <t>ABR</t>
  </si>
  <si>
    <t>PUNTOS</t>
  </si>
  <si>
    <t>PUNTOS (€)</t>
  </si>
  <si>
    <t>CIERRE (€)</t>
  </si>
  <si>
    <t>INICIAL</t>
  </si>
  <si>
    <t>PAGO</t>
  </si>
  <si>
    <t>LÍMITE DE 1º AÑO</t>
  </si>
  <si>
    <t>LÍMITE ANUAL</t>
  </si>
  <si>
    <t>LÍMITE DE DURACIÓN</t>
  </si>
  <si>
    <t>Nombre 1</t>
  </si>
  <si>
    <t>Ajustable</t>
  </si>
  <si>
    <t>Nombre 2</t>
  </si>
  <si>
    <t>Nombre 3</t>
  </si>
  <si>
    <t>Fijo</t>
  </si>
  <si>
    <t>Nombre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</si>
</sst>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#,##0.00\ &quot;€&quot;;[Red]\-#,##0.00\ &quot;€&quot;"/>
    <numFmt numFmtId="164" formatCode="_ * #,##0_ ;_ * \-#,##0_ ;_ * &quot;-&quot;_ ;_ @_ "/>
    <numFmt numFmtId="165" formatCode="_ &quot;₹&quot;\ * #,##0.00_ ;_ &quot;₹&quot;\ * \-#,##0.00_ ;_ &quot;₹&quot;\ * &quot;-&quot;??_ ;_ @_ "/>
    <numFmt numFmtId="166" formatCode="_ * #,##0.00_ ;_ * \-#,##0.00_ ;_ * &quot;-&quot;??_ ;_ @_ "/>
    <numFmt numFmtId="167" formatCode="0.000%"/>
    <numFmt numFmtId="168" formatCode="#,##0\ &quot;€&quot;"/>
  </numFmts>
  <fonts count="24" x14ac:knownFonts="1">
    <font>
      <sz val="11"/>
      <color theme="1" tint="0.34998626667073579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theme="1" tint="0.34998626667073579"/>
      <name val="Trebuchet MS"/>
      <family val="2"/>
      <scheme val="minor"/>
    </font>
    <font>
      <b/>
      <sz val="34"/>
      <color theme="0"/>
      <name val="Trebuchet MS"/>
      <family val="2"/>
      <scheme val="major"/>
    </font>
    <font>
      <b/>
      <i/>
      <sz val="34"/>
      <color theme="8"/>
      <name val="Trebuchet MS"/>
      <family val="2"/>
      <scheme val="major"/>
    </font>
    <font>
      <sz val="18"/>
      <color theme="1" tint="0.34998626667073579"/>
      <name val="Trebuchet MS"/>
      <family val="2"/>
      <scheme val="minor"/>
    </font>
    <font>
      <b/>
      <sz val="18"/>
      <color theme="1"/>
      <name val="Trebuchet MS"/>
      <family val="2"/>
      <scheme val="minor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theme="1" tint="0.499984740745262"/>
      <name val="Trebuchet MS"/>
      <family val="2"/>
      <scheme val="minor"/>
    </font>
    <font>
      <sz val="11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5700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  <font>
      <b/>
      <sz val="34"/>
      <color theme="0"/>
      <name val="Trebuchet MS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/>
        <bgColor theme="1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/>
      <bottom style="thick">
        <color theme="4" tint="-0.24994659260841701"/>
      </bottom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n">
        <color theme="8" tint="-0.499984740745262"/>
      </bottom>
      <diagonal/>
    </border>
    <border>
      <left/>
      <right/>
      <top style="thin">
        <color theme="8" tint="-0.499984740745262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 wrapText="1"/>
    </xf>
    <xf numFmtId="0" fontId="3" fillId="0" borderId="0" applyNumberFormat="0" applyFill="0" applyBorder="0" applyAlignment="0" applyProtection="0"/>
    <xf numFmtId="168" fontId="2" fillId="0" borderId="0" applyFont="0" applyFill="0" applyBorder="0" applyAlignment="0" applyProtection="0"/>
    <xf numFmtId="0" fontId="5" fillId="2" borderId="1" applyNumberFormat="0" applyFill="0" applyBorder="0" applyProtection="0">
      <alignment horizontal="right" vertical="center"/>
    </xf>
    <xf numFmtId="0" fontId="10" fillId="3" borderId="0" applyNumberFormat="0" applyBorder="0" applyAlignment="0" applyProtection="0">
      <alignment vertical="center"/>
    </xf>
    <xf numFmtId="0" fontId="6" fillId="2" borderId="0" applyNumberFormat="0" applyFill="0" applyBorder="0" applyProtection="0">
      <alignment horizontal="left" vertical="center"/>
    </xf>
    <xf numFmtId="166" fontId="2" fillId="0" borderId="0" applyFill="0" applyBorder="0" applyAlignment="0" applyProtection="0"/>
    <xf numFmtId="164" fontId="2" fillId="0" borderId="0" applyFill="0" applyBorder="0" applyAlignment="0" applyProtection="0"/>
    <xf numFmtId="165" fontId="2" fillId="0" borderId="0" applyFill="0" applyBorder="0" applyAlignment="0" applyProtection="0"/>
    <xf numFmtId="9" fontId="2" fillId="0" borderId="0" applyFill="0" applyBorder="0" applyAlignment="0" applyProtection="0"/>
    <xf numFmtId="0" fontId="7" fillId="0" borderId="3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2" fillId="4" borderId="2" applyNumberFormat="0" applyAlignment="0" applyProtection="0"/>
    <xf numFmtId="0" fontId="9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7" applyNumberFormat="0" applyAlignment="0" applyProtection="0"/>
    <xf numFmtId="0" fontId="16" fillId="8" borderId="1" applyNumberFormat="0" applyAlignment="0" applyProtection="0"/>
    <xf numFmtId="0" fontId="17" fillId="0" borderId="8" applyNumberFormat="0" applyFill="0" applyAlignment="0" applyProtection="0"/>
    <xf numFmtId="0" fontId="18" fillId="9" borderId="9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6">
    <xf numFmtId="0" fontId="0" fillId="0" borderId="0" xfId="0">
      <alignment vertical="center" wrapText="1"/>
    </xf>
    <xf numFmtId="2" fontId="0" fillId="0" borderId="0" xfId="0" applyNumberFormat="1" applyAlignment="1">
      <alignment horizontal="center" vertical="center"/>
    </xf>
    <xf numFmtId="0" fontId="0" fillId="3" borderId="0" xfId="4" applyFont="1">
      <alignment vertical="center"/>
    </xf>
    <xf numFmtId="168" fontId="5" fillId="0" borderId="0" xfId="2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7" fontId="0" fillId="0" borderId="0" xfId="0" applyNumberFormat="1" applyAlignment="1">
      <alignment horizontal="center" vertical="center"/>
    </xf>
    <xf numFmtId="14" fontId="5" fillId="0" borderId="5" xfId="3" applyNumberFormat="1" applyFill="1" applyBorder="1">
      <alignment horizontal="right" vertic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8" fontId="0" fillId="0" borderId="0" xfId="0" applyNumberFormat="1" applyAlignment="1">
      <alignment horizontal="right" vertical="center"/>
    </xf>
    <xf numFmtId="0" fontId="3" fillId="3" borderId="0" xfId="1" applyFill="1" applyAlignment="1">
      <alignment vertical="center"/>
    </xf>
    <xf numFmtId="0" fontId="11" fillId="3" borderId="0" xfId="4" applyFont="1" applyAlignment="1">
      <alignment horizontal="center" vertical="center"/>
    </xf>
    <xf numFmtId="0" fontId="6" fillId="0" borderId="5" xfId="5" applyFill="1" applyBorder="1" applyAlignment="1">
      <alignment horizontal="left" vertical="center"/>
    </xf>
    <xf numFmtId="0" fontId="6" fillId="0" borderId="6" xfId="5" applyFill="1" applyBorder="1" applyAlignment="1">
      <alignment horizontal="left" vertical="center"/>
    </xf>
  </cellXfs>
  <cellStyles count="49">
    <cellStyle name="20% - Énfasis1" xfId="26" builtinId="30" customBuiltin="1"/>
    <cellStyle name="20% - Énfasis2" xfId="30" builtinId="34" customBuiltin="1"/>
    <cellStyle name="20% - Énfasis3" xfId="34" builtinId="38" customBuiltin="1"/>
    <cellStyle name="20% - Énfasis4" xfId="38" builtinId="42" customBuiltin="1"/>
    <cellStyle name="20% - Énfasis5" xfId="42" builtinId="46" customBuiltin="1"/>
    <cellStyle name="20% - Énfasis6" xfId="46" builtinId="50" customBuiltin="1"/>
    <cellStyle name="40% - Énfasis1" xfId="27" builtinId="31" customBuiltin="1"/>
    <cellStyle name="40% - Énfasis2" xfId="31" builtinId="35" customBuiltin="1"/>
    <cellStyle name="40% - Énfasis3" xfId="35" builtinId="39" customBuiltin="1"/>
    <cellStyle name="40% - Énfasis4" xfId="39" builtinId="43" customBuiltin="1"/>
    <cellStyle name="40% - Énfasis5" xfId="43" builtinId="47" customBuiltin="1"/>
    <cellStyle name="40% - Énfasis6" xfId="47" builtinId="51" customBuiltin="1"/>
    <cellStyle name="60% - Énfasis1" xfId="28" builtinId="32" customBuiltin="1"/>
    <cellStyle name="60% - Énfasis2" xfId="32" builtinId="36" customBuiltin="1"/>
    <cellStyle name="60% - Énfasis3" xfId="36" builtinId="40" customBuiltin="1"/>
    <cellStyle name="60% - Énfasis4" xfId="40" builtinId="44" customBuiltin="1"/>
    <cellStyle name="60% - Énfasis5" xfId="44" builtinId="48" customBuiltin="1"/>
    <cellStyle name="60% - Énfasis6" xfId="48" builtinId="52" customBuiltin="1"/>
    <cellStyle name="Bueno" xfId="15" builtinId="26" customBuiltin="1"/>
    <cellStyle name="Cálculo" xfId="19" builtinId="22" customBuiltin="1"/>
    <cellStyle name="Celda de comprobación" xfId="21" builtinId="23" customBuiltin="1"/>
    <cellStyle name="Celda vinculada" xfId="20" builtinId="24" customBuiltin="1"/>
    <cellStyle name="Encabezado 1" xfId="10" builtinId="16" customBuiltin="1"/>
    <cellStyle name="Encabezado 4" xfId="14" builtinId="19" customBuiltin="1"/>
    <cellStyle name="Énfasis1" xfId="25" builtinId="29" customBuiltin="1"/>
    <cellStyle name="Énfasis2" xfId="29" builtinId="33" customBuiltin="1"/>
    <cellStyle name="Énfasis3" xfId="33" builtinId="37" customBuiltin="1"/>
    <cellStyle name="Énfasis4" xfId="37" builtinId="41" customBuiltin="1"/>
    <cellStyle name="Énfasis5" xfId="41" builtinId="45" customBuiltin="1"/>
    <cellStyle name="Énfasis6" xfId="45" builtinId="49" customBuiltin="1"/>
    <cellStyle name="Entrada" xfId="3" builtinId="20" customBuiltin="1"/>
    <cellStyle name="Etiquetas de entrada" xfId="5" xr:uid="{00000000-0005-0000-0000-000009000000}"/>
    <cellStyle name="Fondo de contraste" xfId="4" xr:uid="{00000000-0005-0000-0000-000002000000}"/>
    <cellStyle name="Incorrecto" xfId="16" builtinId="27" customBuiltin="1"/>
    <cellStyle name="Millares" xfId="6" builtinId="3" customBuiltin="1"/>
    <cellStyle name="Millares [0]" xfId="7" builtinId="6" customBuiltin="1"/>
    <cellStyle name="Moneda" xfId="8" builtinId="4" customBuiltin="1"/>
    <cellStyle name="Moneda [0]" xfId="2" builtinId="7" customBuiltin="1"/>
    <cellStyle name="Neutral" xfId="17" builtinId="28" customBuiltin="1"/>
    <cellStyle name="Normal" xfId="0" builtinId="0" customBuiltin="1"/>
    <cellStyle name="Notas" xfId="13" builtinId="10" customBuiltin="1"/>
    <cellStyle name="Porcentaje" xfId="9" builtinId="5" customBuiltin="1"/>
    <cellStyle name="Salida" xfId="18" builtinId="21" customBuiltin="1"/>
    <cellStyle name="Texto de advertencia" xfId="22" builtinId="11" customBuiltin="1"/>
    <cellStyle name="Texto explicativo" xfId="23" builtinId="53" customBuiltin="1"/>
    <cellStyle name="Título" xfId="1" builtinId="15" customBuiltin="1"/>
    <cellStyle name="Título 2" xfId="11" builtinId="17" customBuiltin="1"/>
    <cellStyle name="Título 3" xfId="12" builtinId="18" customBuiltin="1"/>
    <cellStyle name="Total" xfId="24" builtinId="25" customBuiltin="1"/>
  </cellStyles>
  <dxfs count="33"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 tint="0.34998626667073579"/>
        <name val="Trebuchet MS"/>
        <family val="2"/>
        <scheme val="minor"/>
      </font>
      <numFmt numFmtId="12" formatCode="#,##0.00\ &quot;€&quot;;[Red]\-#,##0.00\ &quot;€&quot;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 tint="0.34998626667073579"/>
        <name val="Trebuchet MS"/>
        <family val="2"/>
        <scheme val="minor"/>
      </font>
      <numFmt numFmtId="12" formatCode="#,##0.00\ &quot;€&quot;;[Red]\-#,##0.00\ &quot;€&quot;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 tint="0.34998626667073579"/>
        <name val="Trebuchet MS"/>
        <family val="2"/>
        <scheme val="minor"/>
      </font>
      <numFmt numFmtId="12" formatCode="#,##0.00\ &quot;€&quot;;[Red]\-#,##0.00\ &quot;€&quot;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 tint="0.34998626667073579"/>
        <name val="Trebuchet MS"/>
        <family val="2"/>
        <scheme val="minor"/>
      </font>
      <numFmt numFmtId="12" formatCode="#,##0.00\ &quot;€&quot;;[Red]\-#,##0.00\ &quot;€&quot;"/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0.0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0.0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bottom" textRotation="0" indent="0" justifyLastLine="0" shrinkToFit="0" readingOrder="0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1"/>
      </font>
      <border>
        <bottom style="thin">
          <color theme="8" tint="-0.499984740745262"/>
        </bottom>
      </border>
    </dxf>
    <dxf>
      <font>
        <color theme="1" tint="0.34998626667073579"/>
      </font>
      <border diagonalUp="0" diagonalDown="0">
        <left/>
        <right/>
        <top/>
        <bottom/>
        <vertical style="thin">
          <color theme="8" tint="-0.499984740745262"/>
        </vertical>
        <horizontal/>
      </border>
    </dxf>
  </dxfs>
  <tableStyles count="2" defaultTableStyle="Comparación de hipotecas" defaultPivotStyle="PivotStyleLight6">
    <tableStyle name="Comparación de hipotecas" pivot="0" count="2" xr9:uid="{00000000-0011-0000-FFFF-FFFF01000000}">
      <tableStyleElement type="wholeTable" dxfId="32"/>
      <tableStyleElement type="headerRow" dxfId="31"/>
    </tableStyle>
    <tableStyle name="Custom Slicer Style" pivot="0" table="0" count="10" xr9:uid="{00000000-0011-0000-FFFF-FFFF00000000}">
      <tableStyleElement type="wholeTable" dxfId="30"/>
      <tableStyleElement type="headerRow" dxfId="29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Custom Slicer Style">
        <x14:slicerStyle name="Custom Slicer Style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accent5"/>
                </a:solidFill>
                <a:latin typeface=""/>
                <a:ea typeface=""/>
                <a:cs typeface=""/>
              </a:defRPr>
            </a:pPr>
            <a:r>
              <a:rPr lang="en-US">
                <a:solidFill>
                  <a:schemeClr val="accent5"/>
                </a:solidFill>
                <a:latin typeface="+mn-lt"/>
              </a:rPr>
              <a:t>COMPARACIÓN</a:t>
            </a:r>
            <a:r>
              <a:rPr lang="en-US"/>
              <a:t> </a:t>
            </a:r>
            <a:r>
              <a:rPr lang="en-US" b="1" i="0">
                <a:solidFill>
                  <a:schemeClr val="bg1"/>
                </a:solidFill>
                <a:latin typeface="+mn-lt"/>
              </a:rPr>
              <a:t>DE TIPO DE INTERÉS</a:t>
            </a:r>
          </a:p>
        </c:rich>
      </c:tx>
      <c:layout>
        <c:manualLayout>
          <c:xMode val="edge"/>
          <c:yMode val="edge"/>
          <c:x val="9.8210612186990134E-2"/>
          <c:y val="3.4940600978336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accent5"/>
              </a:solidFill>
              <a:latin typeface=""/>
              <a:ea typeface=""/>
              <a:cs typeface="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1"/>
        <c:ser>
          <c:idx val="1"/>
          <c:order val="0"/>
          <c:tx>
            <c:strRef>
              <c:f>'Comparación de hipotecas'!$G$5</c:f>
              <c:strCache>
                <c:ptCount val="1"/>
                <c:pt idx="0">
                  <c:v>TASA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E2D-4B0D-B78C-E8A0826228A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E2D-4B0D-B78C-E8A0826228A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E2D-4B0D-B78C-E8A0826228A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E2D-4B0D-B78C-E8A0826228A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7865B9B-2311-4794-A854-70113733496A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E2D-4B0D-B78C-E8A0826228A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9090D2D-2760-4049-B355-1F45BDCB88F8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E2D-4B0D-B78C-E8A0826228A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628ACF4-35DD-4A30-BB95-1E4BAC333F5A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E2D-4B0D-B78C-E8A0826228A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8BF89DF-E38F-4315-A7E2-09DFFE5A07D9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EE2D-4B0D-B78C-E8A0826228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'Comparación de hipotecas'!$G$6:$G$9</c:f>
              <c:numCache>
                <c:formatCode>0.000%</c:formatCode>
                <c:ptCount val="4"/>
                <c:pt idx="0">
                  <c:v>2.5000000000000001E-2</c:v>
                </c:pt>
                <c:pt idx="1">
                  <c:v>2.6249999999999999E-2</c:v>
                </c:pt>
                <c:pt idx="2">
                  <c:v>3.5000000000000003E-2</c:v>
                </c:pt>
                <c:pt idx="3">
                  <c:v>2.8750000000000001E-2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'Comparación de hipotecas'!$B$6:$B$9</c15:f>
                <c15:dlblRangeCache>
                  <c:ptCount val="4"/>
                  <c:pt idx="0">
                    <c:v>4</c:v>
                  </c:pt>
                  <c:pt idx="1">
                    <c:v>3</c:v>
                  </c:pt>
                  <c:pt idx="2">
                    <c:v>1</c:v>
                  </c:pt>
                  <c:pt idx="3">
                    <c:v>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EE2D-4B0D-B78C-E8A0826228A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9"/>
        <c:overlap val="-35"/>
        <c:axId val="606082264"/>
        <c:axId val="765263968"/>
      </c:barChart>
      <c:catAx>
        <c:axId val="606082264"/>
        <c:scaling>
          <c:orientation val="minMax"/>
        </c:scaling>
        <c:delete val="1"/>
        <c:axPos val="b"/>
        <c:majorTickMark val="none"/>
        <c:minorTickMark val="none"/>
        <c:tickLblPos val="nextTo"/>
        <c:crossAx val="765263968"/>
        <c:crosses val="autoZero"/>
        <c:auto val="1"/>
        <c:lblAlgn val="ctr"/>
        <c:lblOffset val="100"/>
        <c:noMultiLvlLbl val="0"/>
      </c:catAx>
      <c:valAx>
        <c:axId val="76526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6082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accent5"/>
                </a:solidFill>
                <a:latin typeface=""/>
                <a:ea typeface=""/>
                <a:cs typeface=""/>
              </a:defRPr>
            </a:pPr>
            <a:r>
              <a:rPr lang="en-US">
                <a:solidFill>
                  <a:schemeClr val="accent5"/>
                </a:solidFill>
                <a:latin typeface="+mn-lt"/>
              </a:rPr>
              <a:t>COSTES</a:t>
            </a:r>
            <a:r>
              <a:rPr lang="en-US"/>
              <a:t> </a:t>
            </a:r>
            <a:r>
              <a:rPr lang="en-US" b="1" i="0">
                <a:solidFill>
                  <a:schemeClr val="bg1"/>
                </a:solidFill>
                <a:latin typeface="+mn-lt"/>
              </a:rPr>
              <a:t>INICIALES </a:t>
            </a:r>
          </a:p>
        </c:rich>
      </c:tx>
      <c:layout>
        <c:manualLayout>
          <c:xMode val="edge"/>
          <c:yMode val="edge"/>
          <c:x val="0.15801470153851346"/>
          <c:y val="4.19287211740041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accent5"/>
              </a:solidFill>
              <a:latin typeface=""/>
              <a:ea typeface=""/>
              <a:cs typeface="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1"/>
        <c:ser>
          <c:idx val="1"/>
          <c:order val="0"/>
          <c:tx>
            <c:strRef>
              <c:f>'Comparación de hipotecas'!$L$5</c:f>
              <c:strCache>
                <c:ptCount val="1"/>
                <c:pt idx="0">
                  <c:v>INICIAL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50B-4106-A2F8-FB9D1332090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50B-4106-A2F8-FB9D1332090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50B-4106-A2F8-FB9D1332090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50B-4106-A2F8-FB9D1332090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F54DDC3-3B47-4922-B743-02D3873F7550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50B-4106-A2F8-FB9D1332090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9E6F656-C574-40EC-8CEC-6CD2AB1B3824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50B-4106-A2F8-FB9D1332090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B8E48BA-26F2-4B01-80FC-9E4C95F72F4D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50B-4106-A2F8-FB9D1332090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C2A2736-99BC-458D-B0E4-3AB63EABFA34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50B-4106-A2F8-FB9D133209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3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'Comparación de hipotecas'!$L$6:$L$9</c:f>
              <c:numCache>
                <c:formatCode>"€"#,##0.00_);[Red]\("€"#,##0.00\)</c:formatCode>
                <c:ptCount val="4"/>
                <c:pt idx="0">
                  <c:v>8000</c:v>
                </c:pt>
                <c:pt idx="1">
                  <c:v>7750</c:v>
                </c:pt>
                <c:pt idx="2">
                  <c:v>6625.0000000000009</c:v>
                </c:pt>
                <c:pt idx="3">
                  <c:v>6450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'Comparación de hipotecas'!$B$6:$B$9</c15:f>
                <c15:dlblRangeCache>
                  <c:ptCount val="4"/>
                  <c:pt idx="0">
                    <c:v>4</c:v>
                  </c:pt>
                  <c:pt idx="1">
                    <c:v>3</c:v>
                  </c:pt>
                  <c:pt idx="2">
                    <c:v>1</c:v>
                  </c:pt>
                  <c:pt idx="3">
                    <c:v>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850B-4106-A2F8-FB9D13320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overlap val="-35"/>
        <c:axId val="765264752"/>
        <c:axId val="765265144"/>
      </c:barChart>
      <c:catAx>
        <c:axId val="765264752"/>
        <c:scaling>
          <c:orientation val="minMax"/>
        </c:scaling>
        <c:delete val="1"/>
        <c:axPos val="b"/>
        <c:majorTickMark val="none"/>
        <c:minorTickMark val="none"/>
        <c:tickLblPos val="nextTo"/>
        <c:crossAx val="765265144"/>
        <c:crosses val="autoZero"/>
        <c:auto val="1"/>
        <c:lblAlgn val="ctr"/>
        <c:lblOffset val="100"/>
        <c:noMultiLvlLbl val="0"/>
      </c:catAx>
      <c:valAx>
        <c:axId val="76526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6526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accent5"/>
                </a:solidFill>
                <a:latin typeface=""/>
                <a:ea typeface=""/>
                <a:cs typeface=""/>
              </a:defRPr>
            </a:pPr>
            <a:r>
              <a:rPr lang="en-US">
                <a:solidFill>
                  <a:schemeClr val="accent5"/>
                </a:solidFill>
                <a:latin typeface="+mn-lt"/>
              </a:rPr>
              <a:t>PAGOS</a:t>
            </a:r>
            <a:r>
              <a:rPr lang="en-US"/>
              <a:t> </a:t>
            </a:r>
            <a:r>
              <a:rPr lang="en-US" b="1" i="0">
                <a:solidFill>
                  <a:schemeClr val="bg1"/>
                </a:solidFill>
                <a:latin typeface="+mn-lt"/>
              </a:rPr>
              <a:t>MENSUALES</a:t>
            </a:r>
          </a:p>
        </c:rich>
      </c:tx>
      <c:layout>
        <c:manualLayout>
          <c:xMode val="edge"/>
          <c:yMode val="edge"/>
          <c:x val="3.0942439125802343E-2"/>
          <c:y val="4.19287211740041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accent5"/>
              </a:solidFill>
              <a:latin typeface=""/>
              <a:ea typeface=""/>
              <a:cs typeface="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1"/>
        <c:ser>
          <c:idx val="1"/>
          <c:order val="0"/>
          <c:tx>
            <c:strRef>
              <c:f>'Comparación de hipotecas'!$M$5</c:f>
              <c:strCache>
                <c:ptCount val="1"/>
                <c:pt idx="0">
                  <c:v>PAGO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AB-4077-8B43-D0D5BC796F2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BAB-4077-8B43-D0D5BC796F2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BAB-4077-8B43-D0D5BC796F2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BAB-4077-8B43-D0D5BC796F2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A451ED2-94DD-4354-8839-DFD07D6B6517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BAB-4077-8B43-D0D5BC796F2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A88BB83-F4D1-4C7A-A80E-BC2B5D50A1B4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BAB-4077-8B43-D0D5BC796F2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59A5D72-8105-41C8-97DE-22E18E313B09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BAB-4077-8B43-D0D5BC796F2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3D11B3E-5803-4BA1-B1DD-D031DA8BA862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BAB-4077-8B43-D0D5BC796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'Comparación de hipotecas'!$M$6:$M$9</c:f>
              <c:numCache>
                <c:formatCode>"€"#,##0.00_);[Red]\("€"#,##0.00\)</c:formatCode>
                <c:ptCount val="4"/>
                <c:pt idx="0">
                  <c:v>1382.9212779864072</c:v>
                </c:pt>
                <c:pt idx="1">
                  <c:v>1405.7750296425222</c:v>
                </c:pt>
                <c:pt idx="2">
                  <c:v>1571.6548335506743</c:v>
                </c:pt>
                <c:pt idx="3">
                  <c:v>2396.0455675280091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'Comparación de hipotecas'!$B$6:$B$9</c15:f>
                <c15:dlblRangeCache>
                  <c:ptCount val="4"/>
                  <c:pt idx="0">
                    <c:v>4</c:v>
                  </c:pt>
                  <c:pt idx="1">
                    <c:v>3</c:v>
                  </c:pt>
                  <c:pt idx="2">
                    <c:v>1</c:v>
                  </c:pt>
                  <c:pt idx="3">
                    <c:v>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7BAB-4077-8B43-D0D5BC796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axId val="721642024"/>
        <c:axId val="721642416"/>
      </c:barChart>
      <c:catAx>
        <c:axId val="721642024"/>
        <c:scaling>
          <c:orientation val="minMax"/>
        </c:scaling>
        <c:delete val="1"/>
        <c:axPos val="l"/>
        <c:majorTickMark val="none"/>
        <c:minorTickMark val="none"/>
        <c:tickLblPos val="nextTo"/>
        <c:crossAx val="721642416"/>
        <c:crosses val="autoZero"/>
        <c:auto val="1"/>
        <c:lblAlgn val="ctr"/>
        <c:lblOffset val="100"/>
        <c:noMultiLvlLbl val="0"/>
      </c:catAx>
      <c:valAx>
        <c:axId val="72164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1642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400051</xdr:colOff>
      <xdr:row>3</xdr:row>
      <xdr:rowOff>114300</xdr:rowOff>
    </xdr:from>
    <xdr:to>
      <xdr:col>4</xdr:col>
      <xdr:colOff>276226</xdr:colOff>
      <xdr:row>3</xdr:row>
      <xdr:rowOff>1931670</xdr:rowOff>
    </xdr:to>
    <xdr:graphicFrame macro="">
      <xdr:nvGraphicFramePr>
        <xdr:cNvPr id="2" name="Gráfico 1" descr="Gráfico de columnas que muestra la comparación de la tasa de interés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57150</xdr:colOff>
      <xdr:row>3</xdr:row>
      <xdr:rowOff>117475</xdr:rowOff>
    </xdr:from>
    <xdr:to>
      <xdr:col>8</xdr:col>
      <xdr:colOff>323850</xdr:colOff>
      <xdr:row>3</xdr:row>
      <xdr:rowOff>1934845</xdr:rowOff>
    </xdr:to>
    <xdr:graphicFrame macro="">
      <xdr:nvGraphicFramePr>
        <xdr:cNvPr id="3" name="Gráfico 2" descr="Gráfico de columnas que muestra los costes iniciale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180975</xdr:colOff>
      <xdr:row>3</xdr:row>
      <xdr:rowOff>117475</xdr:rowOff>
    </xdr:from>
    <xdr:to>
      <xdr:col>14</xdr:col>
      <xdr:colOff>352425</xdr:colOff>
      <xdr:row>3</xdr:row>
      <xdr:rowOff>1934845</xdr:rowOff>
    </xdr:to>
    <xdr:graphicFrame macro="">
      <xdr:nvGraphicFramePr>
        <xdr:cNvPr id="4" name="Gráfico 3" descr="Gráfico de barras agrupadas que muestra los pagos mensuale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stamos" displayName="Prestamos" ref="B5:P9" headerRowDxfId="28">
  <autoFilter ref="B5:P9" xr:uid="{00000000-0009-0000-0100-000001000000}"/>
  <tableColumns count="15">
    <tableColumn id="1" xr3:uid="{00000000-0010-0000-0000-000001000000}" name="#" totalsRowLabel="Total" dataDxfId="27" totalsRowDxfId="26"/>
    <tableColumn id="2" xr3:uid="{00000000-0010-0000-0000-000002000000}" name="BANCO" dataDxfId="25"/>
    <tableColumn id="3" xr3:uid="{00000000-0010-0000-0000-000003000000}" name="TIPO" dataDxfId="24"/>
    <tableColumn id="16" xr3:uid="{00000000-0010-0000-0000-000010000000}" name="TRIMESTRE" dataDxfId="23" totalsRowDxfId="22"/>
    <tableColumn id="4" xr3:uid="{00000000-0010-0000-0000-000004000000}" name="AÑOS AMORTIZADOS" dataDxfId="21" totalsRowDxfId="20"/>
    <tableColumn id="5" xr3:uid="{00000000-0010-0000-0000-000005000000}" name="TASA" dataDxfId="19" totalsRowDxfId="18"/>
    <tableColumn id="11" xr3:uid="{00000000-0010-0000-0000-00000B000000}" name="ABR" dataDxfId="17" totalsRowDxfId="16"/>
    <tableColumn id="6" xr3:uid="{00000000-0010-0000-0000-000006000000}" name="PUNTOS" dataDxfId="15" totalsRowDxfId="14"/>
    <tableColumn id="7" xr3:uid="{00000000-0010-0000-0000-000007000000}" name="PUNTOS (€)" dataDxfId="13" totalsRowDxfId="12">
      <calculatedColumnFormula>IFERROR(Prestamos[[#This Row],[PUNTOS]]/100*_xlfn.SINGLE(CantidadPréstamo),0)</calculatedColumnFormula>
    </tableColumn>
    <tableColumn id="8" xr3:uid="{00000000-0010-0000-0000-000008000000}" name="CIERRE (€)" dataDxfId="11" totalsRowDxfId="10"/>
    <tableColumn id="12" xr3:uid="{00000000-0010-0000-0000-00000C000000}" name="INICIAL" dataDxfId="9" totalsRowDxfId="8">
      <calculatedColumnFormula>SUM(Prestamos[[#This Row],[PUNTOS (€)]:[CIERRE (€)]])</calculatedColumnFormula>
    </tableColumn>
    <tableColumn id="9" xr3:uid="{00000000-0010-0000-0000-000009000000}" name="PAGO" dataDxfId="7" totalsRowDxfId="6">
      <calculatedColumnFormula>IFERROR(PMT(Prestamos[[#This Row],[TASA]]/12,Prestamos[[#This Row],[AÑOS AMORTIZADOS]]*12,-_xlfn.SINGLE(CantidadPréstamo),1),"")</calculatedColumnFormula>
    </tableColumn>
    <tableColumn id="10" xr3:uid="{00000000-0010-0000-0000-00000A000000}" name="LÍMITE DE 1º AÑO" dataDxfId="5" totalsRowDxfId="4"/>
    <tableColumn id="13" xr3:uid="{00000000-0010-0000-0000-00000D000000}" name="LÍMITE ANUAL" dataDxfId="3" totalsRowDxfId="2"/>
    <tableColumn id="14" xr3:uid="{00000000-0010-0000-0000-00000E000000}" name="LÍMITE DE DURACIÓN" totalsRowFunction="sum" dataDxfId="1" totalsRowDxfId="0"/>
  </tableColumns>
  <tableStyleInfo name="Comparación de hipotecas" showFirstColumn="0" showLastColumn="0" showRowStripes="1" showColumnStripes="0"/>
  <extLst>
    <ext xmlns:x14="http://schemas.microsoft.com/office/spreadsheetml/2009/9/main" uri="{504A1905-F514-4f6f-8877-14C23A59335A}">
      <x14:table altTextSummary="Escriba el número, nombre del banco, trimestre, TAE, puntos, cantidad de cierre y los límites anuales y del primer año en esta tabla. Los puntos de euros, cantidad inicial y los pagos se calculan automáticamente"/>
    </ext>
  </extLst>
</table>
</file>

<file path=xl/theme/theme1.xml><?xml version="1.0" encoding="utf-8"?>
<a:theme xmlns:a="http://schemas.openxmlformats.org/drawingml/2006/main" name="Office Theme">
  <a:themeElements>
    <a:clrScheme name="Home Loan Comparison">
      <a:dk1>
        <a:sysClr val="windowText" lastClr="000000"/>
      </a:dk1>
      <a:lt1>
        <a:sysClr val="window" lastClr="FFFFFF"/>
      </a:lt1>
      <a:dk2>
        <a:srgbClr val="37081B"/>
      </a:dk2>
      <a:lt2>
        <a:srgbClr val="EBF8FD"/>
      </a:lt2>
      <a:accent1>
        <a:srgbClr val="00A6E3"/>
      </a:accent1>
      <a:accent2>
        <a:srgbClr val="C8D459"/>
      </a:accent2>
      <a:accent3>
        <a:srgbClr val="DC1F6E"/>
      </a:accent3>
      <a:accent4>
        <a:srgbClr val="F28224"/>
      </a:accent4>
      <a:accent5>
        <a:srgbClr val="F0D642"/>
      </a:accent5>
      <a:accent6>
        <a:srgbClr val="9E4F99"/>
      </a:accent6>
      <a:hlink>
        <a:srgbClr val="00A6E3"/>
      </a:hlink>
      <a:folHlink>
        <a:srgbClr val="9E4F99"/>
      </a:folHlink>
    </a:clrScheme>
    <a:fontScheme name="Home Loan Comparison">
      <a:majorFont>
        <a:latin typeface="Trebuchet MS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Q9"/>
  <sheetViews>
    <sheetView showGridLines="0" tabSelected="1" zoomScaleNormal="100" workbookViewId="0">
      <selection activeCell="B1" sqref="B1:F1"/>
    </sheetView>
  </sheetViews>
  <sheetFormatPr baseColWidth="10" defaultColWidth="9" defaultRowHeight="30" customHeight="1" x14ac:dyDescent="0.3"/>
  <cols>
    <col min="1" max="1" width="2.75" customWidth="1"/>
    <col min="3" max="3" width="17.25" customWidth="1"/>
    <col min="4" max="4" width="21.875" customWidth="1"/>
    <col min="5" max="5" width="16.375" customWidth="1"/>
    <col min="6" max="6" width="21.75" customWidth="1"/>
    <col min="9" max="9" width="10.375" customWidth="1"/>
    <col min="10" max="10" width="13.875" customWidth="1"/>
    <col min="11" max="11" width="14" customWidth="1"/>
    <col min="12" max="12" width="13.25" customWidth="1"/>
    <col min="13" max="13" width="12.875" customWidth="1"/>
    <col min="14" max="14" width="14.75" customWidth="1"/>
    <col min="15" max="15" width="15.875" customWidth="1"/>
    <col min="16" max="16" width="15.5" customWidth="1"/>
    <col min="17" max="17" width="2.75" customWidth="1"/>
  </cols>
  <sheetData>
    <row r="1" spans="1:17" ht="55.5" customHeight="1" x14ac:dyDescent="0.3">
      <c r="A1" s="2"/>
      <c r="B1" s="12" t="s">
        <v>0</v>
      </c>
      <c r="C1" s="12"/>
      <c r="D1" s="12"/>
      <c r="E1" s="12"/>
      <c r="F1" s="1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30" customHeight="1" x14ac:dyDescent="0.3">
      <c r="B2" s="14" t="s">
        <v>1</v>
      </c>
      <c r="C2" s="14"/>
      <c r="D2" s="8" t="s">
        <v>2</v>
      </c>
    </row>
    <row r="3" spans="1:17" ht="30" customHeight="1" x14ac:dyDescent="0.3">
      <c r="B3" s="15" t="s">
        <v>3</v>
      </c>
      <c r="C3" s="15"/>
      <c r="D3" s="3">
        <v>350000</v>
      </c>
    </row>
    <row r="4" spans="1:17" ht="162.6" customHeight="1" x14ac:dyDescent="0.3">
      <c r="A4" s="2"/>
      <c r="B4" s="13" t="s">
        <v>4</v>
      </c>
      <c r="C4" s="13"/>
      <c r="D4" s="13"/>
      <c r="E4" s="13"/>
      <c r="F4" s="13" t="s">
        <v>5</v>
      </c>
      <c r="G4" s="13"/>
      <c r="H4" s="13"/>
      <c r="I4" s="13"/>
      <c r="J4" s="13" t="s">
        <v>6</v>
      </c>
      <c r="K4" s="13"/>
      <c r="L4" s="13"/>
      <c r="M4" s="13"/>
      <c r="N4" s="13"/>
      <c r="O4" s="13"/>
      <c r="P4" s="2"/>
      <c r="Q4" s="2"/>
    </row>
    <row r="5" spans="1:17" s="9" customFormat="1" ht="39.950000000000003" customHeight="1" x14ac:dyDescent="0.3">
      <c r="B5" s="4" t="s">
        <v>7</v>
      </c>
      <c r="C5" s="9" t="s">
        <v>8</v>
      </c>
      <c r="D5" s="9" t="s">
        <v>9</v>
      </c>
      <c r="E5" s="4" t="s">
        <v>10</v>
      </c>
      <c r="F5" s="9" t="s">
        <v>11</v>
      </c>
      <c r="G5" s="9" t="s">
        <v>12</v>
      </c>
      <c r="H5" s="9" t="s">
        <v>13</v>
      </c>
      <c r="I5" s="9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9" t="s">
        <v>19</v>
      </c>
      <c r="O5" s="9" t="s">
        <v>20</v>
      </c>
      <c r="P5" s="9" t="s">
        <v>21</v>
      </c>
    </row>
    <row r="6" spans="1:17" ht="30" customHeight="1" x14ac:dyDescent="0.3">
      <c r="B6" s="5">
        <v>4</v>
      </c>
      <c r="C6" s="6" t="s">
        <v>22</v>
      </c>
      <c r="D6" s="6" t="s">
        <v>23</v>
      </c>
      <c r="E6" s="5">
        <v>5</v>
      </c>
      <c r="F6" s="5">
        <v>30</v>
      </c>
      <c r="G6" s="7">
        <v>2.5000000000000001E-2</v>
      </c>
      <c r="H6" s="7">
        <v>3.338E-2</v>
      </c>
      <c r="I6" s="1">
        <v>2</v>
      </c>
      <c r="J6" s="11">
        <f>IFERROR(Prestamos[[#This Row],[PUNTOS]]/100*_xlfn.SINGLE(CantidadPréstamo),0)</f>
        <v>7000</v>
      </c>
      <c r="K6" s="11">
        <v>1000</v>
      </c>
      <c r="L6" s="11">
        <f>SUM(Prestamos[[#This Row],[PUNTOS (€)]:[CIERRE (€)]])</f>
        <v>8000</v>
      </c>
      <c r="M6" s="11">
        <f>IFERROR(PMT(Prestamos[[#This Row],[TASA]]/12,Prestamos[[#This Row],[AÑOS AMORTIZADOS]]*12,-_xlfn.SINGLE(CantidadPréstamo),1),"")</f>
        <v>1382.9212779864072</v>
      </c>
      <c r="N6" s="1">
        <v>5</v>
      </c>
      <c r="O6" s="1">
        <v>2</v>
      </c>
      <c r="P6" s="1">
        <v>5</v>
      </c>
    </row>
    <row r="7" spans="1:17" ht="30" customHeight="1" x14ac:dyDescent="0.3">
      <c r="B7" s="5">
        <v>3</v>
      </c>
      <c r="C7" s="6" t="s">
        <v>24</v>
      </c>
      <c r="D7" s="6" t="s">
        <v>23</v>
      </c>
      <c r="E7" s="5">
        <v>7</v>
      </c>
      <c r="F7" s="5">
        <v>30</v>
      </c>
      <c r="G7" s="7">
        <v>2.6249999999999999E-2</v>
      </c>
      <c r="H7" s="7">
        <v>3.252E-2</v>
      </c>
      <c r="I7" s="1">
        <v>2</v>
      </c>
      <c r="J7" s="11">
        <f>IFERROR(Prestamos[[#This Row],[PUNTOS]]/100*_xlfn.SINGLE(CantidadPréstamo),0)</f>
        <v>7000</v>
      </c>
      <c r="K7" s="11">
        <v>750</v>
      </c>
      <c r="L7" s="11">
        <f>SUM(Prestamos[[#This Row],[PUNTOS (€)]:[CIERRE (€)]])</f>
        <v>7750</v>
      </c>
      <c r="M7" s="11">
        <f>IFERROR(PMT(Prestamos[[#This Row],[TASA]]/12,Prestamos[[#This Row],[AÑOS AMORTIZADOS]]*12,-_xlfn.SINGLE(CantidadPréstamo),1),"")</f>
        <v>1405.7750296425222</v>
      </c>
      <c r="N7" s="1">
        <v>5</v>
      </c>
      <c r="O7" s="1">
        <v>2</v>
      </c>
      <c r="P7" s="1">
        <v>5</v>
      </c>
    </row>
    <row r="8" spans="1:17" ht="30" customHeight="1" x14ac:dyDescent="0.3">
      <c r="B8" s="5">
        <v>1</v>
      </c>
      <c r="C8" s="6" t="s">
        <v>25</v>
      </c>
      <c r="D8" s="6" t="s">
        <v>26</v>
      </c>
      <c r="E8" s="5">
        <v>30</v>
      </c>
      <c r="F8" s="5">
        <v>30</v>
      </c>
      <c r="G8" s="7">
        <v>3.5000000000000003E-2</v>
      </c>
      <c r="H8" s="7">
        <v>3.755E-2</v>
      </c>
      <c r="I8" s="1">
        <v>1.75</v>
      </c>
      <c r="J8" s="11">
        <f>IFERROR(Prestamos[[#This Row],[PUNTOS]]/100*_xlfn.SINGLE(CantidadPréstamo),0)</f>
        <v>6125.0000000000009</v>
      </c>
      <c r="K8" s="11">
        <v>500</v>
      </c>
      <c r="L8" s="11">
        <f>SUM(Prestamos[[#This Row],[PUNTOS (€)]:[CIERRE (€)]])</f>
        <v>6625.0000000000009</v>
      </c>
      <c r="M8" s="11">
        <f>IFERROR(PMT(Prestamos[[#This Row],[TASA]]/12,Prestamos[[#This Row],[AÑOS AMORTIZADOS]]*12,-_xlfn.SINGLE(CantidadPréstamo),1),"")</f>
        <v>1571.6548335506743</v>
      </c>
      <c r="N8" s="1"/>
      <c r="O8" s="1"/>
      <c r="P8" s="1"/>
    </row>
    <row r="9" spans="1:17" ht="30" customHeight="1" x14ac:dyDescent="0.3">
      <c r="B9" s="5">
        <v>2</v>
      </c>
      <c r="C9" s="6" t="s">
        <v>27</v>
      </c>
      <c r="D9" s="6" t="s">
        <v>26</v>
      </c>
      <c r="E9" s="5">
        <v>15</v>
      </c>
      <c r="F9" s="5">
        <v>15</v>
      </c>
      <c r="G9" s="7">
        <v>2.8750000000000001E-2</v>
      </c>
      <c r="H9" s="7">
        <v>3.2910000000000002E-2</v>
      </c>
      <c r="I9" s="1">
        <v>1.5</v>
      </c>
      <c r="J9" s="11">
        <f>IFERROR(Prestamos[[#This Row],[PUNTOS]]/100*_xlfn.SINGLE(CantidadPréstamo),0)</f>
        <v>5250</v>
      </c>
      <c r="K9" s="11">
        <v>1200</v>
      </c>
      <c r="L9" s="11">
        <f>SUM(Prestamos[[#This Row],[PUNTOS (€)]:[CIERRE (€)]])</f>
        <v>6450</v>
      </c>
      <c r="M9" s="11">
        <f>IFERROR(PMT(Prestamos[[#This Row],[TASA]]/12,Prestamos[[#This Row],[AÑOS AMORTIZADOS]]*12,-_xlfn.SINGLE(CantidadPréstamo),1),"")</f>
        <v>2396.0455675280091</v>
      </c>
      <c r="N9" s="1"/>
      <c r="O9" s="1"/>
      <c r="P9" s="1">
        <v>3</v>
      </c>
    </row>
  </sheetData>
  <mergeCells count="6">
    <mergeCell ref="B1:F1"/>
    <mergeCell ref="B4:E4"/>
    <mergeCell ref="F4:I4"/>
    <mergeCell ref="J4:O4"/>
    <mergeCell ref="B2:C2"/>
    <mergeCell ref="B3:C3"/>
  </mergeCells>
  <conditionalFormatting sqref="L6:L9">
    <cfRule type="dataBar" priority="23">
      <dataBar>
        <cfvo type="min"/>
        <cfvo type="max"/>
        <color theme="0" tint="-0.14999847407452621"/>
      </dataBar>
      <extLst>
        <ext xmlns:x14="http://schemas.microsoft.com/office/spreadsheetml/2009/9/main" uri="{B025F937-C7B1-47D3-B67F-A62EFF666E3E}">
          <x14:id>{DBB2E042-4081-4F3C-A97D-4341FBA1A709}</x14:id>
        </ext>
      </extLst>
    </cfRule>
  </conditionalFormatting>
  <dataValidations count="22">
    <dataValidation allowBlank="1" showInputMessage="1" showErrorMessage="1" prompt="Cree una comparación de hipotecas en esta hoja de cálculo. Escriba los detalles en la tabla Préstamos, Fecha en la celda D2 y Cantidad de préstamo en la celda D3. Los gráficos de las celdas B4, F4 y J4 se actualizan automáticamente  " sqref="A1" xr:uid="{00000000-0002-0000-0000-000000000000}"/>
    <dataValidation allowBlank="1" showInputMessage="1" showErrorMessage="1" prompt="El título de esta hoja de cálculo se encuentra en esta celda." sqref="B1:F1" xr:uid="{00000000-0002-0000-0000-000001000000}"/>
    <dataValidation allowBlank="1" showInputMessage="1" showErrorMessage="1" prompt="Escriba la fecha en la celda de la derecha" sqref="B2:C2" xr:uid="{00000000-0002-0000-0000-000002000000}"/>
    <dataValidation allowBlank="1" showInputMessage="1" showErrorMessage="1" prompt="Escriba la fecha en esta celda" sqref="D2" xr:uid="{00000000-0002-0000-0000-000003000000}"/>
    <dataValidation allowBlank="1" showInputMessage="1" showErrorMessage="1" prompt="Escriba el Importe en la celda de la derecha" sqref="B3:C3" xr:uid="{00000000-0002-0000-0000-000004000000}"/>
    <dataValidation allowBlank="1" showInputMessage="1" showErrorMessage="1" prompt="Escriba el Importe en esta celda y detalles del préstamo en la tabla a partir de la celda B5" sqref="D3" xr:uid="{00000000-0002-0000-0000-000005000000}"/>
    <dataValidation allowBlank="1" showInputMessage="1" showErrorMessage="1" prompt="Escriba el número en esta columna, debajo de este encabezado. Use los filtros del encabezado para buscar entradas específicas" sqref="B5" xr:uid="{00000000-0002-0000-0000-000006000000}"/>
    <dataValidation allowBlank="1" showInputMessage="1" showErrorMessage="1" prompt="Escriba el Nombre del banco en esta columna, debajo de este encabezado." sqref="C5" xr:uid="{00000000-0002-0000-0000-000007000000}"/>
    <dataValidation allowBlank="1" showInputMessage="1" showErrorMessage="1" prompt="Seleccione el Tipo en esta columna debajo de este encabezado. Presione ALT + FLECHA ABAJO para abrir la lista desplegable y, después, ENTRAR para realizar la selección" sqref="D5" xr:uid="{00000000-0002-0000-0000-000008000000}"/>
    <dataValidation allowBlank="1" showInputMessage="1" showErrorMessage="1" prompt="Escriba el Trimestre en esta columna, debajo de este encabezado" sqref="E5" xr:uid="{00000000-0002-0000-0000-000009000000}"/>
    <dataValidation allowBlank="1" showInputMessage="1" showErrorMessage="1" prompt="Escriba el Año amortizado en esta columna, debajo de este encabezado" sqref="F5" xr:uid="{00000000-0002-0000-0000-00000A000000}"/>
    <dataValidation allowBlank="1" showInputMessage="1" showErrorMessage="1" prompt="Escriba la Tasa en esta columna, debajo de este encabezado" sqref="G5" xr:uid="{00000000-0002-0000-0000-00000B000000}"/>
    <dataValidation allowBlank="1" showInputMessage="1" showErrorMessage="1" prompt="Escriba la Tasa anual equivalente (TAE) en esta columna, debajo de este encabezado" sqref="H5" xr:uid="{00000000-0002-0000-0000-00000C000000}"/>
    <dataValidation allowBlank="1" showInputMessage="1" showErrorMessage="1" prompt="Escriba los Puntos en esta columna, debajo de este encabezado" sqref="I5" xr:uid="{00000000-0002-0000-0000-00000D000000}"/>
    <dataValidation allowBlank="1" showInputMessage="1" showErrorMessage="1" prompt="Los Puntos de euro se calculan automáticamente en esta columna, debajo de este encabezado." sqref="J5" xr:uid="{00000000-0002-0000-0000-00000E000000}"/>
    <dataValidation allowBlank="1" showInputMessage="1" showErrorMessage="1" prompt="Escriba la Cantidad de cierre en euros en esta columna, debajo de este encabezado" sqref="K5" xr:uid="{00000000-0002-0000-0000-00000F000000}"/>
    <dataValidation allowBlank="1" showInputMessage="1" showErrorMessage="1" prompt="La cantidad inicial se calcula automáticamente en esta columna, debajo de este encabezado. La barra de estado se actualiza automáticamente" sqref="L5" xr:uid="{00000000-0002-0000-0000-000010000000}"/>
    <dataValidation allowBlank="1" showInputMessage="1" showErrorMessage="1" prompt="El importe del pago se calcula automáticamente en esta columna, debajo de este encabezado" sqref="M5" xr:uid="{00000000-0002-0000-0000-000011000000}"/>
    <dataValidation allowBlank="1" showInputMessage="1" showErrorMessage="1" prompt="Escriba el límite de 1º año en esta columna, debajo de este encabezado" sqref="N5" xr:uid="{00000000-0002-0000-0000-000012000000}"/>
    <dataValidation allowBlank="1" showInputMessage="1" showErrorMessage="1" prompt="Escriba el límite anual en esta columna, debajo de este encabezado" sqref="O5" xr:uid="{00000000-0002-0000-0000-000013000000}"/>
    <dataValidation allowBlank="1" showInputMessage="1" showErrorMessage="1" prompt="Escriba el límite de duración en esta columna, debajo de este encabezado" sqref="P5" xr:uid="{00000000-0002-0000-0000-000014000000}"/>
    <dataValidation type="list" errorStyle="warning" allowBlank="1" showInputMessage="1" showErrorMessage="1" error="Seleccione un tipo de la lista. Seleccione CANCELAR, presione ALT+FLECHA ABAJO para ver las opciones y después use la tecla de FLECHA ABAJO y ENTRAR para realizar una selección." sqref="D6:D9" xr:uid="{00000000-0002-0000-0000-000015000000}">
      <formula1>"Fijo,Ajustable"</formula1>
    </dataValidation>
  </dataValidations>
  <printOptions horizontalCentered="1"/>
  <pageMargins left="0.45" right="0.45" top="0.4" bottom="0.4" header="0.3" footer="0.3"/>
  <pageSetup paperSize="9" scale="63" fitToHeight="0" orientation="landscape" verticalDpi="200" r:id="rId1"/>
  <headerFooter differentFirst="1">
    <oddFooter>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B2E042-4081-4F3C-A97D-4341FBA1A70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L6:L9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Comparación de hipotecas</vt:lpstr>
      <vt:lpstr>CantidadPréstamo</vt:lpstr>
      <vt:lpstr>'Comparación de hipotecas'!Títulos_a_imprimir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2019-05-17T03:34:06Z</dcterms:created>
  <dcterms:modified xsi:type="dcterms:W3CDTF">2026-10-14T07:51:00Z</dcterms:modified>
  <cp:category/>
  <cp:contentStatus/>
</cp:coreProperties>
</file>