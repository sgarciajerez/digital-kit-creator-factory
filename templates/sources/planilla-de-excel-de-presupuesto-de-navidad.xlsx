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cilia\Dropbox\Planilla Excel\Plantillas a subir 2019\Ya subidas\"/>
    </mc:Choice>
  </mc:AlternateContent>
  <bookViews>
    <workbookView xWindow="0" yWindow="0" windowWidth="20490" windowHeight="7740"/>
  </bookViews>
  <sheets>
    <sheet name="Presupuesto de Navidad" sheetId="1" r:id="rId1"/>
  </sheets>
  <definedNames>
    <definedName name="_xlnm.Print_Area" localSheetId="0">'Presupuesto de Navidad'!$B$2:$G$50</definedName>
    <definedName name="valuevx">42.314159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1" l="1"/>
  <c r="D51" i="1"/>
  <c r="J9" i="1" s="1"/>
  <c r="C51" i="1"/>
  <c r="C6" i="1" s="1"/>
  <c r="E6" i="1" s="1"/>
  <c r="E50" i="1"/>
  <c r="E49" i="1"/>
  <c r="E48" i="1"/>
  <c r="D44" i="1"/>
  <c r="D6" i="1" s="1"/>
  <c r="C44" i="1"/>
  <c r="E43" i="1"/>
  <c r="E42" i="1"/>
  <c r="E44" i="1" s="1"/>
  <c r="E41" i="1"/>
  <c r="E40" i="1"/>
  <c r="D37" i="1"/>
  <c r="C37" i="1"/>
  <c r="I7" i="1" s="1"/>
  <c r="K7" i="1" s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37" i="1" s="1"/>
  <c r="D19" i="1"/>
  <c r="J6" i="1" s="1"/>
  <c r="C19" i="1"/>
  <c r="I6" i="1" s="1"/>
  <c r="K6" i="1" s="1"/>
  <c r="E18" i="1"/>
  <c r="E17" i="1"/>
  <c r="E16" i="1"/>
  <c r="E15" i="1"/>
  <c r="E14" i="1"/>
  <c r="E13" i="1"/>
  <c r="E12" i="1"/>
  <c r="E11" i="1"/>
  <c r="E10" i="1"/>
  <c r="E19" i="1" s="1"/>
  <c r="J8" i="1"/>
  <c r="I8" i="1"/>
  <c r="K8" i="1" s="1"/>
  <c r="J7" i="1"/>
  <c r="I9" i="1" l="1"/>
  <c r="K9" i="1" s="1"/>
</calcChain>
</file>

<file path=xl/sharedStrings.xml><?xml version="1.0" encoding="utf-8"?>
<sst xmlns="http://schemas.openxmlformats.org/spreadsheetml/2006/main" count="64" uniqueCount="47">
  <si>
    <t>PRESUPUESTO</t>
  </si>
  <si>
    <t>REAL</t>
  </si>
  <si>
    <t>DIFERENCIA</t>
  </si>
  <si>
    <t>TOTAL</t>
  </si>
  <si>
    <t>REGALOS</t>
  </si>
  <si>
    <t>COMIDA</t>
  </si>
  <si>
    <t>Edite cada tabla con los conceptos y valores asociados</t>
  </si>
  <si>
    <t>{42}</t>
  </si>
  <si>
    <t>DECORACIÓN</t>
  </si>
  <si>
    <t>Regalos</t>
  </si>
  <si>
    <t>Presupuesto</t>
  </si>
  <si>
    <t>Real</t>
  </si>
  <si>
    <t>Diferencia</t>
  </si>
  <si>
    <t>OTROS</t>
  </si>
  <si>
    <t>Ornella</t>
  </si>
  <si>
    <t>Tomás</t>
  </si>
  <si>
    <t>Oliver</t>
  </si>
  <si>
    <t>Agustín</t>
  </si>
  <si>
    <t>Nicolás</t>
  </si>
  <si>
    <t>Nora</t>
  </si>
  <si>
    <t>Elena</t>
  </si>
  <si>
    <t>Eduardo</t>
  </si>
  <si>
    <t>Carlos</t>
  </si>
  <si>
    <t>Total</t>
  </si>
  <si>
    <t>Comida</t>
  </si>
  <si>
    <t>Bebidas alcohólicas</t>
  </si>
  <si>
    <t>Gaseosas</t>
  </si>
  <si>
    <t>Aguas</t>
  </si>
  <si>
    <t>Pan</t>
  </si>
  <si>
    <t>Carne</t>
  </si>
  <si>
    <t>Verdulería</t>
  </si>
  <si>
    <t>Turrones</t>
  </si>
  <si>
    <t>Frutos secos</t>
  </si>
  <si>
    <t>Pan dulce</t>
  </si>
  <si>
    <t>Aderezos</t>
  </si>
  <si>
    <t>Fiambre</t>
  </si>
  <si>
    <t>Helado</t>
  </si>
  <si>
    <t>Chocolate</t>
  </si>
  <si>
    <t>Hielo</t>
  </si>
  <si>
    <t>Otros</t>
  </si>
  <si>
    <t>Decoración</t>
  </si>
  <si>
    <t>Luces</t>
  </si>
  <si>
    <t>Ornamentos</t>
  </si>
  <si>
    <t>Guirnaldas</t>
  </si>
  <si>
    <t>Papel envoltorio</t>
  </si>
  <si>
    <t>Servilletas</t>
  </si>
  <si>
    <t>Vasos de plástico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</si>
</sst>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&quot;$&quot;#,##0.00_);[Red]\(&quot;$&quot;#,##0.00\)"/>
    <numFmt numFmtId="165" formatCode="_(* #,##0.00_);_(* \(#,##0.00\);_(* &quot;-&quot;??_);_(@_)"/>
    <numFmt numFmtId="166" formatCode="&quot;$&quot;\ #,##0.00"/>
  </numFmts>
  <fonts count="18" x14ac:knownFonts="1">
    <font>
      <sz val="8"/>
      <name val="Century Gothic"/>
      <family val="2"/>
    </font>
    <font>
      <sz val="10"/>
      <name val="Trebuchet MS"/>
      <family val="2"/>
    </font>
    <font>
      <sz val="10"/>
      <name val="Century Gothic"/>
      <family val="2"/>
    </font>
    <font>
      <sz val="8"/>
      <name val="Trebuchet MS"/>
      <family val="2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"/>
      <color indexed="9"/>
      <name val="Century Gothic"/>
      <family val="2"/>
    </font>
    <font>
      <b/>
      <sz val="12"/>
      <name val="Century Gothic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8"/>
      <name val="Trebuchet MS"/>
      <family val="2"/>
    </font>
    <font>
      <b/>
      <sz val="10"/>
      <name val="Calibri"/>
      <family val="2"/>
      <scheme val="minor"/>
    </font>
    <font>
      <sz val="10"/>
      <color indexed="60"/>
      <name val="Trebuchet MS"/>
      <family val="2"/>
    </font>
    <font>
      <b/>
      <sz val="14"/>
      <color rgb="FFE33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33D00"/>
        <bgColor indexed="64"/>
      </patternFill>
    </fill>
    <fill>
      <patternFill patternType="solid">
        <fgColor rgb="FFFFEFE7"/>
        <bgColor indexed="64"/>
      </patternFill>
    </fill>
  </fills>
  <borders count="1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rgb="FFE33D00"/>
      </left>
      <right/>
      <top style="medium">
        <color rgb="FFE33D00"/>
      </top>
      <bottom/>
      <diagonal/>
    </border>
    <border>
      <left/>
      <right/>
      <top style="medium">
        <color rgb="FFE33D00"/>
      </top>
      <bottom/>
      <diagonal/>
    </border>
    <border>
      <left/>
      <right style="medium">
        <color rgb="FFE33D00"/>
      </right>
      <top style="medium">
        <color rgb="FFE33D00"/>
      </top>
      <bottom/>
      <diagonal/>
    </border>
    <border>
      <left style="medium">
        <color rgb="FFE33D00"/>
      </left>
      <right/>
      <top/>
      <bottom/>
      <diagonal/>
    </border>
    <border>
      <left/>
      <right style="medium">
        <color rgb="FFE33D00"/>
      </right>
      <top/>
      <bottom/>
      <diagonal/>
    </border>
    <border>
      <left style="medium">
        <color rgb="FFE33D00"/>
      </left>
      <right/>
      <top/>
      <bottom style="medium">
        <color rgb="FFE33D00"/>
      </bottom>
      <diagonal/>
    </border>
    <border>
      <left/>
      <right/>
      <top/>
      <bottom style="medium">
        <color rgb="FFE33D00"/>
      </bottom>
      <diagonal/>
    </border>
    <border>
      <left/>
      <right style="medium">
        <color rgb="FFE33D00"/>
      </right>
      <top/>
      <bottom style="medium">
        <color rgb="FFE33D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165" fontId="13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2" fillId="0" borderId="0" xfId="0" applyFont="1"/>
    <xf numFmtId="0" fontId="2" fillId="0" borderId="0" xfId="0" applyFont="1" applyFill="1"/>
    <xf numFmtId="0" fontId="4" fillId="0" borderId="0" xfId="0" applyFont="1"/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Border="1"/>
    <xf numFmtId="164" fontId="7" fillId="0" borderId="0" xfId="0" applyNumberFormat="1" applyFont="1" applyFill="1" applyBorder="1" applyAlignment="1">
      <alignment vertical="center"/>
    </xf>
    <xf numFmtId="164" fontId="8" fillId="2" borderId="1" xfId="0" applyNumberFormat="1" applyFont="1" applyFill="1" applyBorder="1" applyAlignment="1">
      <alignment vertical="center"/>
    </xf>
    <xf numFmtId="164" fontId="7" fillId="0" borderId="0" xfId="0" applyNumberFormat="1" applyFont="1" applyFill="1" applyBorder="1" applyAlignment="1">
      <alignment horizontal="left" vertical="center" indent="1"/>
    </xf>
    <xf numFmtId="0" fontId="1" fillId="0" borderId="0" xfId="0" applyFont="1" applyFill="1" applyBorder="1"/>
    <xf numFmtId="0" fontId="9" fillId="0" borderId="0" xfId="0" applyFont="1" applyBorder="1" applyAlignment="1"/>
    <xf numFmtId="0" fontId="10" fillId="0" borderId="0" xfId="0" applyFont="1" applyAlignment="1">
      <alignment horizontal="right"/>
    </xf>
    <xf numFmtId="0" fontId="10" fillId="0" borderId="0" xfId="0" applyFont="1" applyFill="1" applyAlignment="1">
      <alignment horizontal="right"/>
    </xf>
    <xf numFmtId="0" fontId="5" fillId="0" borderId="0" xfId="0" applyFont="1" applyFill="1" applyBorder="1" applyAlignment="1">
      <alignment vertical="center"/>
    </xf>
    <xf numFmtId="0" fontId="3" fillId="0" borderId="0" xfId="0" applyFont="1"/>
    <xf numFmtId="0" fontId="12" fillId="0" borderId="0" xfId="0" applyFont="1" applyAlignment="1">
      <alignment horizontal="left"/>
    </xf>
    <xf numFmtId="166" fontId="12" fillId="0" borderId="2" xfId="1" applyNumberFormat="1" applyFont="1" applyFill="1" applyBorder="1" applyAlignment="1">
      <alignment horizontal="center"/>
    </xf>
    <xf numFmtId="166" fontId="12" fillId="2" borderId="2" xfId="1" applyNumberFormat="1" applyFont="1" applyFill="1" applyBorder="1" applyAlignment="1">
      <alignment horizontal="center"/>
    </xf>
    <xf numFmtId="166" fontId="12" fillId="0" borderId="0" xfId="1" applyNumberFormat="1" applyFont="1" applyFill="1" applyBorder="1" applyAlignment="1">
      <alignment horizontal="center"/>
    </xf>
    <xf numFmtId="0" fontId="3" fillId="0" borderId="0" xfId="0" applyFont="1" applyBorder="1"/>
    <xf numFmtId="0" fontId="12" fillId="0" borderId="0" xfId="0" applyFont="1"/>
    <xf numFmtId="0" fontId="12" fillId="0" borderId="0" xfId="0" applyFont="1" applyFill="1" applyBorder="1"/>
    <xf numFmtId="0" fontId="14" fillId="0" borderId="0" xfId="0" applyFont="1" applyBorder="1"/>
    <xf numFmtId="0" fontId="14" fillId="0" borderId="0" xfId="0" applyFont="1"/>
    <xf numFmtId="0" fontId="15" fillId="2" borderId="3" xfId="0" applyFont="1" applyFill="1" applyBorder="1"/>
    <xf numFmtId="166" fontId="15" fillId="2" borderId="4" xfId="0" applyNumberFormat="1" applyFont="1" applyFill="1" applyBorder="1" applyAlignment="1">
      <alignment horizontal="center"/>
    </xf>
    <xf numFmtId="166" fontId="15" fillId="2" borderId="3" xfId="0" applyNumberFormat="1" applyFont="1" applyFill="1" applyBorder="1" applyAlignment="1">
      <alignment horizontal="center"/>
    </xf>
    <xf numFmtId="166" fontId="15" fillId="0" borderId="0" xfId="0" applyNumberFormat="1" applyFont="1" applyFill="1" applyBorder="1" applyAlignment="1">
      <alignment horizontal="center"/>
    </xf>
    <xf numFmtId="0" fontId="12" fillId="0" borderId="0" xfId="0" applyFont="1" applyFill="1"/>
    <xf numFmtId="0" fontId="5" fillId="0" borderId="0" xfId="0" applyFont="1" applyFill="1" applyBorder="1" applyAlignment="1">
      <alignment horizontal="left" vertical="center"/>
    </xf>
    <xf numFmtId="166" fontId="12" fillId="0" borderId="5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 indent="1"/>
    </xf>
    <xf numFmtId="165" fontId="12" fillId="0" borderId="0" xfId="0" applyNumberFormat="1" applyFont="1" applyFill="1" applyBorder="1"/>
    <xf numFmtId="0" fontId="12" fillId="0" borderId="0" xfId="0" applyFont="1" applyBorder="1"/>
    <xf numFmtId="0" fontId="16" fillId="0" borderId="0" xfId="0" applyFont="1" applyAlignment="1">
      <alignment horizontal="right"/>
    </xf>
    <xf numFmtId="0" fontId="16" fillId="0" borderId="0" xfId="0" applyFont="1" applyFill="1" applyAlignment="1">
      <alignment horizontal="right"/>
    </xf>
    <xf numFmtId="0" fontId="0" fillId="3" borderId="0" xfId="0" applyFill="1"/>
    <xf numFmtId="164" fontId="7" fillId="2" borderId="7" xfId="0" applyNumberFormat="1" applyFont="1" applyFill="1" applyBorder="1" applyAlignment="1">
      <alignment vertical="center"/>
    </xf>
    <xf numFmtId="164" fontId="7" fillId="2" borderId="8" xfId="0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horizontal="center"/>
    </xf>
    <xf numFmtId="166" fontId="12" fillId="0" borderId="9" xfId="1" applyNumberFormat="1" applyFont="1" applyFill="1" applyBorder="1" applyAlignment="1">
      <alignment horizontal="center"/>
    </xf>
    <xf numFmtId="166" fontId="12" fillId="2" borderId="9" xfId="1" applyNumberFormat="1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43" fontId="4" fillId="0" borderId="13" xfId="0" applyNumberFormat="1" applyFont="1" applyBorder="1"/>
    <xf numFmtId="0" fontId="3" fillId="0" borderId="14" xfId="0" applyFont="1" applyBorder="1"/>
    <xf numFmtId="43" fontId="1" fillId="0" borderId="13" xfId="0" applyNumberFormat="1" applyFont="1" applyFill="1" applyBorder="1"/>
    <xf numFmtId="0" fontId="1" fillId="0" borderId="13" xfId="0" applyFont="1" applyBorder="1"/>
    <xf numFmtId="0" fontId="11" fillId="0" borderId="13" xfId="0" applyFont="1" applyFill="1" applyBorder="1"/>
    <xf numFmtId="0" fontId="2" fillId="0" borderId="13" xfId="0" applyFont="1" applyBorder="1" applyAlignment="1">
      <alignment wrapText="1"/>
    </xf>
    <xf numFmtId="0" fontId="14" fillId="0" borderId="14" xfId="0" applyFont="1" applyBorder="1"/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5" fillId="3" borderId="18" xfId="0" applyFont="1" applyFill="1" applyBorder="1" applyAlignment="1">
      <alignment horizontal="center"/>
    </xf>
    <xf numFmtId="0" fontId="0" fillId="0" borderId="0" xfId="0" applyFill="1" applyBorder="1"/>
    <xf numFmtId="0" fontId="3" fillId="0" borderId="10" xfId="0" applyFont="1" applyBorder="1" applyAlignment="1">
      <alignment horizontal="left"/>
    </xf>
    <xf numFmtId="0" fontId="1" fillId="0" borderId="11" xfId="0" applyFont="1" applyBorder="1"/>
    <xf numFmtId="0" fontId="1" fillId="0" borderId="12" xfId="0" applyFont="1" applyBorder="1"/>
  </cellXfs>
  <cellStyles count="2">
    <cellStyle name="Millares" xfId="1" builtinId="3"/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E33D00"/>
        <name val="Calibri"/>
        <scheme val="minor"/>
      </font>
      <fill>
        <patternFill patternType="solid">
          <fgColor indexed="64"/>
          <bgColor rgb="FFFFEF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E33D00"/>
        <name val="Calibri"/>
        <scheme val="minor"/>
      </font>
      <fill>
        <patternFill patternType="solid">
          <fgColor indexed="64"/>
          <bgColor rgb="FFFFEF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E33D00"/>
        <name val="Calibri"/>
        <scheme val="minor"/>
      </font>
      <fill>
        <patternFill patternType="solid">
          <fgColor indexed="64"/>
          <bgColor rgb="FFFFEF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rgb="FF14BD8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>
        <bottom style="thin">
          <color theme="0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numFmt numFmtId="166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numFmt numFmtId="166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numFmt numFmtId="166" formatCode="&quot;$&quot;\ 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&quot;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E33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realizados</a:t>
            </a:r>
          </a:p>
        </c:rich>
      </c:tx>
      <c:layout>
        <c:manualLayout>
          <c:xMode val="edge"/>
          <c:yMode val="edge"/>
          <c:x val="2.4440516364025921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'Presupuesto de Navidad'!$J$5</c:f>
              <c:strCache>
                <c:ptCount val="1"/>
                <c:pt idx="0">
                  <c:v>REAL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2"/>
              <c:layout>
                <c:manualLayout>
                  <c:x val="5.1070803305029798E-2"/>
                  <c:y val="0.1284364296041643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'Presupuesto de Navidad'!$H$6:$H$9</c:f>
              <c:strCache>
                <c:ptCount val="4"/>
                <c:pt idx="0">
                  <c:v>REGALOS</c:v>
                </c:pt>
                <c:pt idx="1">
                  <c:v>COMIDA</c:v>
                </c:pt>
                <c:pt idx="2">
                  <c:v>DECORACIÓN</c:v>
                </c:pt>
                <c:pt idx="3">
                  <c:v>OTROS</c:v>
                </c:pt>
              </c:strCache>
            </c:strRef>
          </c:cat>
          <c:val>
            <c:numRef>
              <c:f>'Presupuesto de Navidad'!$J$6:$J$9</c:f>
              <c:numCache>
                <c:formatCode>"$"#,##0.00_);[Red]\("$"#,##0.00\)</c:formatCode>
                <c:ptCount val="4"/>
                <c:pt idx="0">
                  <c:v>7120</c:v>
                </c:pt>
                <c:pt idx="1">
                  <c:v>12484</c:v>
                </c:pt>
                <c:pt idx="2">
                  <c:v>802</c:v>
                </c:pt>
                <c:pt idx="3">
                  <c:v>1180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333376</xdr:colOff>
      <xdr:row>1</xdr:row>
      <xdr:rowOff>80963</xdr:rowOff>
    </xdr:from>
    <xdr:to>
      <xdr:col>3</xdr:col>
      <xdr:colOff>323850</xdr:colOff>
      <xdr:row>1</xdr:row>
      <xdr:rowOff>566738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E66B795F-FFBA-7D41-AA5F-DD7057F88673}"/>
            </a:ext>
          </a:extLst>
        </xdr:cNvPr>
        <xdr:cNvSpPr txBox="1"/>
      </xdr:nvSpPr>
      <xdr:spPr>
        <a:xfrm>
          <a:off x="333376" y="271463"/>
          <a:ext cx="3181349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>
              <a:solidFill>
                <a:schemeClr val="bg1"/>
              </a:solidFill>
            </a:rPr>
            <a:t>Presupuesto de Navidad</a:t>
          </a:r>
        </a:p>
      </xdr:txBody>
    </xdr:sp>
    <xdr:clientData/>
  </xdr:twoCellAnchor>
  <xdr:twoCellAnchor editAs="absolute">
    <xdr:from>
      <xdr:col>8</xdr:col>
      <xdr:colOff>981076</xdr:colOff>
      <xdr:row>0</xdr:row>
      <xdr:rowOff>178594</xdr:rowOff>
    </xdr:from>
    <xdr:to>
      <xdr:col>10</xdr:col>
      <xdr:colOff>971551</xdr:colOff>
      <xdr:row>2</xdr:row>
      <xdr:rowOff>102394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8F63045-E4C8-7640-BE33-72C7688DFB27}"/>
            </a:ext>
          </a:extLst>
        </xdr:cNvPr>
        <xdr:cNvSpPr txBox="1"/>
      </xdr:nvSpPr>
      <xdr:spPr>
        <a:xfrm>
          <a:off x="8279607" y="178594"/>
          <a:ext cx="2085975" cy="745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600" b="1">
              <a:solidFill>
                <a:schemeClr val="bg1"/>
              </a:solidFill>
              <a:latin typeface="+mj-lt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  <a:endParaRPr lang="en-US" sz="1400" b="1">
            <a:solidFill>
              <a:schemeClr val="bg1"/>
            </a:solidFill>
            <a:latin typeface="+mj-lt"/>
            <a:ea typeface="Apple Symbols" panose="02000000000000000000" pitchFamily="2" charset="-79"/>
            <a:cs typeface="Apple Symbols" panose="02000000000000000000" pitchFamily="2" charset="-79"/>
          </a:endParaRPr>
        </a:p>
      </xdr:txBody>
    </xdr:sp>
    <xdr:clientData/>
  </xdr:twoCellAnchor>
  <xdr:twoCellAnchor>
    <xdr:from>
      <xdr:col>6</xdr:col>
      <xdr:colOff>1171575</xdr:colOff>
      <xdr:row>9</xdr:row>
      <xdr:rowOff>123825</xdr:rowOff>
    </xdr:from>
    <xdr:to>
      <xdr:col>11</xdr:col>
      <xdr:colOff>28575</xdr:colOff>
      <xdr:row>24</xdr:row>
      <xdr:rowOff>95250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35</xdr:row>
      <xdr:rowOff>83343</xdr:rowOff>
    </xdr:from>
    <xdr:to>
      <xdr:col>7</xdr:col>
      <xdr:colOff>47625</xdr:colOff>
      <xdr:row>36</xdr:row>
      <xdr:rowOff>154782</xdr:rowOff>
    </xdr:to>
    <xdr:cxnSp macro="">
      <xdr:nvCxnSpPr>
        <xdr:cNvPr id="6" name="Conector recto de flecha 5"/>
        <xdr:cNvCxnSpPr/>
      </xdr:nvCxnSpPr>
      <xdr:spPr>
        <a:xfrm flipH="1">
          <a:off x="5738813" y="7203281"/>
          <a:ext cx="500062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154781</xdr:colOff>
      <xdr:row>33</xdr:row>
      <xdr:rowOff>178593</xdr:rowOff>
    </xdr:from>
    <xdr:to>
      <xdr:col>8</xdr:col>
      <xdr:colOff>892969</xdr:colOff>
      <xdr:row>37</xdr:row>
      <xdr:rowOff>23811</xdr:rowOff>
    </xdr:to>
    <xdr:sp macro="" textlink="">
      <xdr:nvSpPr>
        <xdr:cNvPr id="9" name="CuadroTexto 8"/>
        <xdr:cNvSpPr txBox="1"/>
      </xdr:nvSpPr>
      <xdr:spPr>
        <a:xfrm>
          <a:off x="6346031" y="6941343"/>
          <a:ext cx="1845469" cy="5595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100"/>
            <a:t>Estire este triángulo para</a:t>
          </a:r>
          <a:r>
            <a:rPr lang="es-AR" sz="1100" baseline="0"/>
            <a:t> agregar más filas</a:t>
          </a:r>
        </a:p>
        <a:p>
          <a:pPr algn="ctr"/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B9:E19" totalsRowCount="1" headerRowDxfId="6" dataDxfId="10" totalsRowDxfId="9" headerRowBorderDxfId="7" tableBorderDxfId="8">
  <autoFilter ref="B9:E18">
    <filterColumn colId="0" hiddenButton="1"/>
    <filterColumn colId="1" hiddenButton="1"/>
    <filterColumn colId="2" hiddenButton="1"/>
    <filterColumn colId="3" hiddenButton="1"/>
  </autoFilter>
  <tableColumns count="4">
    <tableColumn id="1" name="Regalos" totalsRowLabel="Total" dataDxfId="48" totalsRowDxfId="47"/>
    <tableColumn id="2" name="Presupuesto" totalsRowFunction="sum" dataDxfId="46" totalsRowDxfId="45" dataCellStyle="Millares"/>
    <tableColumn id="3" name="Real" totalsRowFunction="sum" dataDxfId="44" totalsRowDxfId="43" dataCellStyle="Millares"/>
    <tableColumn id="4" name="Diferencia" totalsRowFunction="sum" dataDxfId="42" totalsRowDxfId="41" dataCellStyle="Millares">
      <calculatedColumnFormula>C10-D10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B21:E37" totalsRowCount="1" headerRowDxfId="4" dataDxfId="40" totalsRowDxfId="39" headerRowBorderDxfId="5">
  <autoFilter ref="B21:E36">
    <filterColumn colId="0" hiddenButton="1"/>
    <filterColumn colId="1" hiddenButton="1"/>
    <filterColumn colId="2" hiddenButton="1"/>
    <filterColumn colId="3" hiddenButton="1"/>
  </autoFilter>
  <tableColumns count="4">
    <tableColumn id="1" name="Comida" totalsRowLabel="Total" dataDxfId="38" totalsRowDxfId="37"/>
    <tableColumn id="2" name="Presupuesto" totalsRowFunction="sum" dataDxfId="36" totalsRowDxfId="35" dataCellStyle="Millares"/>
    <tableColumn id="3" name="Real" totalsRowFunction="sum" dataDxfId="34" totalsRowDxfId="33" dataCellStyle="Millares">
      <calculatedColumnFormula>Tabla3[[#This Row],[Presupuesto]]*1.1</calculatedColumnFormula>
    </tableColumn>
    <tableColumn id="4" name="Diferencia" totalsRowFunction="sum" dataDxfId="32" totalsRowDxfId="31" dataCellStyle="Millares">
      <calculatedColumnFormula>C22-D22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4" displayName="Tabla4" ref="B39:E44" totalsRowCount="1" headerRowDxfId="2" dataDxfId="30" totalsRowDxfId="29" headerRowBorderDxfId="3">
  <autoFilter ref="B39:E43">
    <filterColumn colId="0" hiddenButton="1"/>
    <filterColumn colId="1" hiddenButton="1"/>
    <filterColumn colId="2" hiddenButton="1"/>
    <filterColumn colId="3" hiddenButton="1"/>
  </autoFilter>
  <tableColumns count="4">
    <tableColumn id="1" name="Decoración" totalsRowLabel="Total" dataDxfId="28" totalsRowDxfId="27"/>
    <tableColumn id="2" name="Presupuesto" totalsRowFunction="sum" dataDxfId="26" totalsRowDxfId="25" dataCellStyle="Millares"/>
    <tableColumn id="3" name="Real" totalsRowFunction="sum" dataDxfId="24" totalsRowDxfId="23" dataCellStyle="Millares"/>
    <tableColumn id="4" name="Diferencia" totalsRowFunction="sum" dataDxfId="22" totalsRowDxfId="21" dataCellStyle="Millares">
      <calculatedColumnFormula>C40-D40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a5" displayName="Tabla5" ref="B47:E51" totalsRowCount="1" headerRowDxfId="0" dataDxfId="20" totalsRowDxfId="19" headerRowBorderDxfId="1">
  <autoFilter ref="B47:E50">
    <filterColumn colId="0" hiddenButton="1"/>
    <filterColumn colId="1" hiddenButton="1"/>
    <filterColumn colId="2" hiddenButton="1"/>
    <filterColumn colId="3" hiddenButton="1"/>
  </autoFilter>
  <tableColumns count="4">
    <tableColumn id="1" name="Otros" totalsRowLabel="Total" dataDxfId="18" totalsRowDxfId="17"/>
    <tableColumn id="2" name="Presupuesto" totalsRowFunction="sum" dataDxfId="16" totalsRowDxfId="15" dataCellStyle="Millares"/>
    <tableColumn id="3" name="Real" totalsRowFunction="sum" dataDxfId="14" totalsRowDxfId="13" dataCellStyle="Millares"/>
    <tableColumn id="4" name="Diferencia" totalsRowFunction="sum" dataDxfId="12" totalsRowDxfId="11" dataCellStyle="Millares">
      <calculatedColumnFormula>C48-D48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58"/>
  <sheetViews>
    <sheetView showGridLines="0" tabSelected="1" zoomScale="80" zoomScaleNormal="80" workbookViewId="0">
      <selection activeCell="J37" sqref="J37"/>
    </sheetView>
  </sheetViews>
  <sheetFormatPr baseColWidth="10" defaultColWidth="9.33203125" defaultRowHeight="15" x14ac:dyDescent="0.3"/>
  <cols>
    <col min="1" max="1" width="6" style="1" customWidth="1"/>
    <col min="2" max="2" width="28.6640625" style="1" customWidth="1"/>
    <col min="3" max="3" width="21.1640625" style="1" customWidth="1"/>
    <col min="4" max="4" width="21.5" style="1" customWidth="1"/>
    <col min="5" max="5" width="22" style="1" customWidth="1"/>
    <col min="6" max="6" width="4.1640625" style="2" customWidth="1"/>
    <col min="7" max="7" width="4.5" style="1" customWidth="1"/>
    <col min="8" max="8" width="19.33203125" style="1" customWidth="1"/>
    <col min="9" max="9" width="21.5" style="1" customWidth="1"/>
    <col min="10" max="10" width="15.1640625" style="1" bestFit="1" customWidth="1"/>
    <col min="11" max="11" width="18.33203125" style="1" customWidth="1"/>
    <col min="12" max="12" width="4.5" style="1" customWidth="1"/>
    <col min="13" max="16384" width="9.33203125" style="1"/>
  </cols>
  <sheetData>
    <row r="1" spans="2:12" ht="15" customHeight="1" x14ac:dyDescent="0.3"/>
    <row r="2" spans="2:12" s="3" customFormat="1" ht="49.5" customHeight="1" x14ac:dyDescent="0.3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2:12" s="60" customFormat="1" ht="8.25" customHeight="1" thickBot="1" x14ac:dyDescent="0.35"/>
    <row r="4" spans="2:12" ht="20.25" customHeight="1" x14ac:dyDescent="0.3">
      <c r="C4" s="4"/>
      <c r="D4" s="4"/>
      <c r="E4" s="4"/>
      <c r="F4" s="5"/>
      <c r="G4" s="61"/>
      <c r="H4" s="62"/>
      <c r="I4" s="62"/>
      <c r="J4" s="62"/>
      <c r="K4" s="62"/>
      <c r="L4" s="63"/>
    </row>
    <row r="5" spans="2:12" s="6" customFormat="1" ht="19.5" thickBot="1" x14ac:dyDescent="0.35">
      <c r="C5" s="42" t="s">
        <v>0</v>
      </c>
      <c r="D5" s="42" t="s">
        <v>1</v>
      </c>
      <c r="E5" s="42" t="s">
        <v>2</v>
      </c>
      <c r="F5" s="7"/>
      <c r="G5" s="46"/>
      <c r="H5" s="8"/>
      <c r="I5" s="59" t="s">
        <v>0</v>
      </c>
      <c r="J5" s="59" t="s">
        <v>1</v>
      </c>
      <c r="K5" s="59" t="s">
        <v>2</v>
      </c>
      <c r="L5" s="47"/>
    </row>
    <row r="6" spans="2:12" s="6" customFormat="1" ht="19.5" thickBot="1" x14ac:dyDescent="0.35">
      <c r="B6" s="42" t="s">
        <v>3</v>
      </c>
      <c r="C6" s="40">
        <f>Tabla1[[#Totals],[Presupuesto]]+Tabla3[[#Totals],[Presupuesto]]+Tabla4[[#Totals],[Presupuesto]]+Tabla5[[#Totals],[Presupuesto]]</f>
        <v>22532</v>
      </c>
      <c r="D6" s="41">
        <f>Tabla1[[#Totals],[Real]]+Tabla3[[#Totals],[Real]]+Tabla4[[#Totals],[Real]]+Tabla5[[#Totals],[Real]]</f>
        <v>21586</v>
      </c>
      <c r="E6" s="41">
        <f>C6-D6</f>
        <v>946</v>
      </c>
      <c r="F6" s="9"/>
      <c r="G6" s="48"/>
      <c r="H6" s="42" t="s">
        <v>4</v>
      </c>
      <c r="I6" s="10">
        <f>Tabla1[[#Totals],[Presupuesto]]</f>
        <v>6570</v>
      </c>
      <c r="J6" s="10">
        <f>Tabla1[[#Totals],[Real]]</f>
        <v>7120</v>
      </c>
      <c r="K6" s="10">
        <f>I6-J6</f>
        <v>-550</v>
      </c>
      <c r="L6" s="49"/>
    </row>
    <row r="7" spans="2:12" s="12" customFormat="1" ht="17.25" customHeight="1" thickBot="1" x14ac:dyDescent="0.35">
      <c r="B7" s="7"/>
      <c r="C7" s="11"/>
      <c r="D7" s="11"/>
      <c r="E7" s="11"/>
      <c r="F7" s="11"/>
      <c r="G7" s="50"/>
      <c r="H7" s="42" t="s">
        <v>5</v>
      </c>
      <c r="I7" s="10">
        <f>Tabla3[[#Totals],[Presupuesto]]</f>
        <v>12572</v>
      </c>
      <c r="J7" s="10">
        <f>Tabla3[[#Totals],[Real]]</f>
        <v>12484</v>
      </c>
      <c r="K7" s="10">
        <f>I7-J7</f>
        <v>88</v>
      </c>
      <c r="L7" s="49"/>
    </row>
    <row r="8" spans="2:12" ht="19.5" thickBot="1" x14ac:dyDescent="0.35">
      <c r="B8" s="13" t="s">
        <v>6</v>
      </c>
      <c r="C8" s="4"/>
      <c r="D8" s="4"/>
      <c r="E8" s="14" t="s">
        <v>7</v>
      </c>
      <c r="F8" s="15"/>
      <c r="G8" s="51"/>
      <c r="H8" s="42" t="s">
        <v>8</v>
      </c>
      <c r="I8" s="10">
        <f>Tabla4[[#Totals],[Presupuesto]]</f>
        <v>2070</v>
      </c>
      <c r="J8" s="10">
        <f>Tabla4[[#Totals],[Real]]</f>
        <v>802</v>
      </c>
      <c r="K8" s="10">
        <f>I8-J8</f>
        <v>1268</v>
      </c>
      <c r="L8" s="49"/>
    </row>
    <row r="9" spans="2:12" s="17" customFormat="1" ht="19.5" thickBot="1" x14ac:dyDescent="0.35">
      <c r="B9" s="45" t="s">
        <v>9</v>
      </c>
      <c r="C9" s="45" t="s">
        <v>10</v>
      </c>
      <c r="D9" s="45" t="s">
        <v>11</v>
      </c>
      <c r="E9" s="45" t="s">
        <v>12</v>
      </c>
      <c r="F9" s="16"/>
      <c r="G9" s="52"/>
      <c r="H9" s="42" t="s">
        <v>13</v>
      </c>
      <c r="I9" s="10">
        <f>Tabla5[[#Totals],[Presupuesto]]</f>
        <v>1320</v>
      </c>
      <c r="J9" s="10">
        <f>Tabla5[[#Totals],[Real]]</f>
        <v>1180</v>
      </c>
      <c r="K9" s="10">
        <f>I9-J9</f>
        <v>140</v>
      </c>
      <c r="L9" s="49"/>
    </row>
    <row r="10" spans="2:12" s="17" customFormat="1" ht="14.25" x14ac:dyDescent="0.3">
      <c r="B10" s="18" t="s">
        <v>14</v>
      </c>
      <c r="C10" s="43">
        <v>800</v>
      </c>
      <c r="D10" s="43">
        <v>876</v>
      </c>
      <c r="E10" s="44">
        <f>C10-D10</f>
        <v>-76</v>
      </c>
      <c r="F10" s="21"/>
      <c r="G10" s="53"/>
      <c r="H10" s="22"/>
      <c r="I10" s="22"/>
      <c r="J10" s="22"/>
      <c r="K10" s="22"/>
      <c r="L10" s="49"/>
    </row>
    <row r="11" spans="2:12" s="17" customFormat="1" ht="14.25" x14ac:dyDescent="0.3">
      <c r="B11" s="23" t="s">
        <v>15</v>
      </c>
      <c r="C11" s="19">
        <v>560</v>
      </c>
      <c r="D11" s="19">
        <v>620</v>
      </c>
      <c r="E11" s="20">
        <f>C11-D11</f>
        <v>-60</v>
      </c>
      <c r="F11" s="21"/>
      <c r="G11" s="53"/>
      <c r="H11" s="22"/>
      <c r="I11" s="22"/>
      <c r="J11" s="22"/>
      <c r="K11" s="22"/>
      <c r="L11" s="49"/>
    </row>
    <row r="12" spans="2:12" s="17" customFormat="1" ht="14.25" x14ac:dyDescent="0.3">
      <c r="B12" s="24" t="s">
        <v>16</v>
      </c>
      <c r="C12" s="19">
        <v>430</v>
      </c>
      <c r="D12" s="19">
        <v>609</v>
      </c>
      <c r="E12" s="20">
        <f t="shared" ref="E12:E17" si="0">C12-D12</f>
        <v>-179</v>
      </c>
      <c r="F12" s="21"/>
      <c r="G12" s="53"/>
      <c r="H12" s="22"/>
      <c r="I12" s="22"/>
      <c r="J12" s="22"/>
      <c r="K12" s="22"/>
      <c r="L12" s="49"/>
    </row>
    <row r="13" spans="2:12" s="17" customFormat="1" ht="14.25" x14ac:dyDescent="0.3">
      <c r="B13" s="23" t="s">
        <v>17</v>
      </c>
      <c r="C13" s="19">
        <v>950</v>
      </c>
      <c r="D13" s="19">
        <v>879</v>
      </c>
      <c r="E13" s="20">
        <f t="shared" si="0"/>
        <v>71</v>
      </c>
      <c r="F13" s="21"/>
      <c r="G13" s="53"/>
      <c r="H13" s="22"/>
      <c r="I13" s="22"/>
      <c r="J13" s="22"/>
      <c r="K13" s="22"/>
      <c r="L13" s="49"/>
    </row>
    <row r="14" spans="2:12" s="26" customFormat="1" ht="14.25" x14ac:dyDescent="0.3">
      <c r="B14" s="23" t="s">
        <v>18</v>
      </c>
      <c r="C14" s="19">
        <v>950</v>
      </c>
      <c r="D14" s="19">
        <v>1005</v>
      </c>
      <c r="E14" s="20">
        <f>C14-D14</f>
        <v>-55</v>
      </c>
      <c r="F14" s="21"/>
      <c r="G14" s="53"/>
      <c r="H14" s="25"/>
      <c r="I14" s="25"/>
      <c r="J14" s="25"/>
      <c r="K14" s="25"/>
      <c r="L14" s="54"/>
    </row>
    <row r="15" spans="2:12" s="26" customFormat="1" ht="14.25" x14ac:dyDescent="0.3">
      <c r="B15" s="23" t="s">
        <v>19</v>
      </c>
      <c r="C15" s="19">
        <v>800</v>
      </c>
      <c r="D15" s="19">
        <v>757</v>
      </c>
      <c r="E15" s="20">
        <f t="shared" si="0"/>
        <v>43</v>
      </c>
      <c r="F15" s="21"/>
      <c r="G15" s="53"/>
      <c r="H15" s="25"/>
      <c r="I15" s="25"/>
      <c r="J15" s="25"/>
      <c r="K15" s="25"/>
      <c r="L15" s="54"/>
    </row>
    <row r="16" spans="2:12" s="17" customFormat="1" ht="14.25" x14ac:dyDescent="0.3">
      <c r="B16" s="23" t="s">
        <v>20</v>
      </c>
      <c r="C16" s="19">
        <v>800</v>
      </c>
      <c r="D16" s="19">
        <v>917</v>
      </c>
      <c r="E16" s="20">
        <f t="shared" si="0"/>
        <v>-117</v>
      </c>
      <c r="F16" s="21"/>
      <c r="G16" s="53"/>
      <c r="H16" s="22"/>
      <c r="I16" s="22"/>
      <c r="J16" s="22"/>
      <c r="K16" s="22"/>
      <c r="L16" s="49"/>
    </row>
    <row r="17" spans="2:12" s="17" customFormat="1" ht="14.25" x14ac:dyDescent="0.3">
      <c r="B17" s="23" t="s">
        <v>21</v>
      </c>
      <c r="C17" s="19">
        <v>650</v>
      </c>
      <c r="D17" s="19">
        <v>697</v>
      </c>
      <c r="E17" s="20">
        <f t="shared" si="0"/>
        <v>-47</v>
      </c>
      <c r="F17" s="21"/>
      <c r="G17" s="53"/>
      <c r="H17" s="22"/>
      <c r="I17" s="22"/>
      <c r="J17" s="22"/>
      <c r="K17" s="22"/>
      <c r="L17" s="49"/>
    </row>
    <row r="18" spans="2:12" s="17" customFormat="1" ht="14.25" x14ac:dyDescent="0.3">
      <c r="B18" s="23" t="s">
        <v>22</v>
      </c>
      <c r="C18" s="19">
        <v>630</v>
      </c>
      <c r="D18" s="19">
        <v>760</v>
      </c>
      <c r="E18" s="20">
        <f>C18-D18</f>
        <v>-130</v>
      </c>
      <c r="F18" s="21"/>
      <c r="G18" s="53"/>
      <c r="H18" s="22"/>
      <c r="I18" s="22"/>
      <c r="J18" s="22"/>
      <c r="K18" s="22"/>
      <c r="L18" s="49"/>
    </row>
    <row r="19" spans="2:12" s="17" customFormat="1" ht="14.25" x14ac:dyDescent="0.3">
      <c r="B19" s="27" t="s">
        <v>23</v>
      </c>
      <c r="C19" s="28">
        <f>SUBTOTAL(109,Tabla1[Presupuesto])</f>
        <v>6570</v>
      </c>
      <c r="D19" s="28">
        <f>SUBTOTAL(109,Tabla1[Real])</f>
        <v>7120</v>
      </c>
      <c r="E19" s="29">
        <f>SUBTOTAL(109,Tabla1[Diferencia])</f>
        <v>-550</v>
      </c>
      <c r="F19" s="30"/>
      <c r="G19" s="55"/>
      <c r="H19" s="22"/>
      <c r="I19" s="22"/>
      <c r="J19" s="22"/>
      <c r="K19" s="22"/>
      <c r="L19" s="49"/>
    </row>
    <row r="20" spans="2:12" s="17" customFormat="1" ht="14.25" x14ac:dyDescent="0.3">
      <c r="B20" s="23"/>
      <c r="C20" s="23"/>
      <c r="D20" s="23"/>
      <c r="E20" s="23"/>
      <c r="F20" s="31"/>
      <c r="G20" s="55"/>
      <c r="H20" s="22"/>
      <c r="I20" s="22"/>
      <c r="J20" s="22"/>
      <c r="K20" s="22"/>
      <c r="L20" s="49"/>
    </row>
    <row r="21" spans="2:12" s="17" customFormat="1" ht="18.75" x14ac:dyDescent="0.3">
      <c r="B21" s="45" t="s">
        <v>24</v>
      </c>
      <c r="C21" s="45" t="s">
        <v>10</v>
      </c>
      <c r="D21" s="45" t="s">
        <v>11</v>
      </c>
      <c r="E21" s="45" t="s">
        <v>12</v>
      </c>
      <c r="F21" s="32"/>
      <c r="G21" s="55"/>
      <c r="H21" s="22"/>
      <c r="I21" s="22"/>
      <c r="J21" s="22"/>
      <c r="K21" s="22"/>
      <c r="L21" s="49"/>
    </row>
    <row r="22" spans="2:12" s="17" customFormat="1" ht="14.25" x14ac:dyDescent="0.3">
      <c r="B22" s="23" t="s">
        <v>25</v>
      </c>
      <c r="C22" s="19">
        <v>2500</v>
      </c>
      <c r="D22" s="19">
        <v>2750</v>
      </c>
      <c r="E22" s="20">
        <f>C22-D22</f>
        <v>-250</v>
      </c>
      <c r="F22" s="21"/>
      <c r="G22" s="55"/>
      <c r="H22" s="22"/>
      <c r="I22" s="22"/>
      <c r="J22" s="22"/>
      <c r="K22" s="22"/>
      <c r="L22" s="49"/>
    </row>
    <row r="23" spans="2:12" s="17" customFormat="1" ht="14.25" x14ac:dyDescent="0.3">
      <c r="B23" s="23" t="s">
        <v>26</v>
      </c>
      <c r="C23" s="19">
        <v>3200</v>
      </c>
      <c r="D23" s="19">
        <v>3000</v>
      </c>
      <c r="E23" s="20">
        <f>C23-D23</f>
        <v>200</v>
      </c>
      <c r="F23" s="21"/>
      <c r="G23" s="55"/>
      <c r="H23" s="22"/>
      <c r="I23" s="22"/>
      <c r="J23" s="22"/>
      <c r="K23" s="22"/>
      <c r="L23" s="49"/>
    </row>
    <row r="24" spans="2:12" s="17" customFormat="1" ht="14.25" x14ac:dyDescent="0.3">
      <c r="B24" s="23" t="s">
        <v>27</v>
      </c>
      <c r="C24" s="19">
        <v>1000</v>
      </c>
      <c r="D24" s="19">
        <v>860</v>
      </c>
      <c r="E24" s="20">
        <f>C24-D24</f>
        <v>140</v>
      </c>
      <c r="F24" s="21"/>
      <c r="G24" s="55"/>
      <c r="H24" s="22"/>
      <c r="I24" s="22"/>
      <c r="J24" s="22"/>
      <c r="K24" s="22"/>
      <c r="L24" s="49"/>
    </row>
    <row r="25" spans="2:12" s="17" customFormat="1" ht="14.25" x14ac:dyDescent="0.3">
      <c r="B25" s="23" t="s">
        <v>28</v>
      </c>
      <c r="C25" s="33">
        <v>240</v>
      </c>
      <c r="D25" s="33">
        <v>264</v>
      </c>
      <c r="E25" s="20">
        <f t="shared" ref="E25:E36" si="1">C25-D25</f>
        <v>-24</v>
      </c>
      <c r="F25" s="21"/>
      <c r="G25" s="55"/>
      <c r="H25" s="22"/>
      <c r="I25" s="22"/>
      <c r="J25" s="22"/>
      <c r="K25" s="22"/>
      <c r="L25" s="49"/>
    </row>
    <row r="26" spans="2:12" s="17" customFormat="1" thickBot="1" x14ac:dyDescent="0.35">
      <c r="B26" s="23" t="s">
        <v>29</v>
      </c>
      <c r="C26" s="33">
        <v>1800</v>
      </c>
      <c r="D26" s="33">
        <v>1980.0000000000002</v>
      </c>
      <c r="E26" s="20">
        <f t="shared" si="1"/>
        <v>-180.00000000000023</v>
      </c>
      <c r="F26" s="21"/>
      <c r="G26" s="56"/>
      <c r="H26" s="57"/>
      <c r="I26" s="57"/>
      <c r="J26" s="57"/>
      <c r="K26" s="57"/>
      <c r="L26" s="58"/>
    </row>
    <row r="27" spans="2:12" s="17" customFormat="1" ht="14.25" x14ac:dyDescent="0.3">
      <c r="B27" s="23" t="s">
        <v>30</v>
      </c>
      <c r="C27" s="33">
        <v>600</v>
      </c>
      <c r="D27" s="33">
        <v>500</v>
      </c>
      <c r="E27" s="20">
        <f t="shared" si="1"/>
        <v>100</v>
      </c>
      <c r="F27" s="21"/>
    </row>
    <row r="28" spans="2:12" s="17" customFormat="1" ht="14.25" x14ac:dyDescent="0.3">
      <c r="B28" s="23" t="s">
        <v>31</v>
      </c>
      <c r="C28" s="33">
        <v>250</v>
      </c>
      <c r="D28" s="33">
        <v>275</v>
      </c>
      <c r="E28" s="20">
        <f t="shared" si="1"/>
        <v>-25</v>
      </c>
      <c r="F28" s="21"/>
    </row>
    <row r="29" spans="2:12" s="17" customFormat="1" ht="14.25" x14ac:dyDescent="0.3">
      <c r="B29" s="23" t="s">
        <v>32</v>
      </c>
      <c r="C29" s="33">
        <v>200</v>
      </c>
      <c r="D29" s="33">
        <v>220.00000000000003</v>
      </c>
      <c r="E29" s="20">
        <f t="shared" si="1"/>
        <v>-20.000000000000028</v>
      </c>
      <c r="F29" s="21"/>
    </row>
    <row r="30" spans="2:12" s="17" customFormat="1" ht="14.25" x14ac:dyDescent="0.3">
      <c r="B30" s="23" t="s">
        <v>33</v>
      </c>
      <c r="C30" s="33">
        <v>890</v>
      </c>
      <c r="D30" s="33">
        <v>979.00000000000011</v>
      </c>
      <c r="E30" s="20">
        <f t="shared" si="1"/>
        <v>-89.000000000000114</v>
      </c>
      <c r="F30" s="21"/>
    </row>
    <row r="31" spans="2:12" s="17" customFormat="1" ht="14.25" x14ac:dyDescent="0.3">
      <c r="B31" s="23" t="s">
        <v>34</v>
      </c>
      <c r="C31" s="33">
        <v>100</v>
      </c>
      <c r="D31" s="33">
        <v>56</v>
      </c>
      <c r="E31" s="20">
        <f t="shared" si="1"/>
        <v>44</v>
      </c>
      <c r="F31" s="21"/>
    </row>
    <row r="32" spans="2:12" s="17" customFormat="1" ht="14.25" x14ac:dyDescent="0.3">
      <c r="B32" s="23" t="s">
        <v>35</v>
      </c>
      <c r="C32" s="33">
        <v>320</v>
      </c>
      <c r="D32" s="33">
        <v>250</v>
      </c>
      <c r="E32" s="20">
        <f t="shared" si="1"/>
        <v>70</v>
      </c>
      <c r="F32" s="21"/>
    </row>
    <row r="33" spans="2:6" s="17" customFormat="1" ht="14.25" x14ac:dyDescent="0.3">
      <c r="B33" s="23" t="s">
        <v>36</v>
      </c>
      <c r="C33" s="33">
        <v>780</v>
      </c>
      <c r="D33" s="33">
        <v>900</v>
      </c>
      <c r="E33" s="20">
        <f t="shared" si="1"/>
        <v>-120</v>
      </c>
      <c r="F33" s="21"/>
    </row>
    <row r="34" spans="2:6" s="17" customFormat="1" ht="14.25" x14ac:dyDescent="0.3">
      <c r="B34" s="23" t="s">
        <v>37</v>
      </c>
      <c r="C34" s="33">
        <v>420</v>
      </c>
      <c r="D34" s="33">
        <v>320</v>
      </c>
      <c r="E34" s="20">
        <f t="shared" si="1"/>
        <v>100</v>
      </c>
      <c r="F34" s="21"/>
    </row>
    <row r="35" spans="2:6" s="17" customFormat="1" ht="14.25" x14ac:dyDescent="0.3">
      <c r="B35" s="23" t="s">
        <v>38</v>
      </c>
      <c r="C35" s="33">
        <v>150</v>
      </c>
      <c r="D35" s="33">
        <v>100</v>
      </c>
      <c r="E35" s="20">
        <f t="shared" si="1"/>
        <v>50</v>
      </c>
      <c r="F35" s="21"/>
    </row>
    <row r="36" spans="2:6" s="17" customFormat="1" ht="14.25" x14ac:dyDescent="0.3">
      <c r="B36" s="23" t="s">
        <v>39</v>
      </c>
      <c r="C36" s="33">
        <v>122</v>
      </c>
      <c r="D36" s="33">
        <v>30</v>
      </c>
      <c r="E36" s="20">
        <f t="shared" si="1"/>
        <v>92</v>
      </c>
      <c r="F36" s="21"/>
    </row>
    <row r="37" spans="2:6" s="17" customFormat="1" ht="14.25" x14ac:dyDescent="0.3">
      <c r="B37" s="27" t="s">
        <v>23</v>
      </c>
      <c r="C37" s="28">
        <f>SUBTOTAL(109,Tabla3[Presupuesto])</f>
        <v>12572</v>
      </c>
      <c r="D37" s="28">
        <f>SUBTOTAL(109,Tabla3[Real])</f>
        <v>12484</v>
      </c>
      <c r="E37" s="29">
        <f>SUBTOTAL(109,Tabla3[Diferencia])</f>
        <v>87.999999999999631</v>
      </c>
      <c r="F37" s="30"/>
    </row>
    <row r="38" spans="2:6" s="17" customFormat="1" ht="14.25" x14ac:dyDescent="0.3">
      <c r="B38" s="34"/>
      <c r="C38" s="35"/>
      <c r="D38" s="35"/>
      <c r="E38" s="35"/>
      <c r="F38" s="35"/>
    </row>
    <row r="39" spans="2:6" s="17" customFormat="1" ht="18.75" x14ac:dyDescent="0.3">
      <c r="B39" s="45" t="s">
        <v>40</v>
      </c>
      <c r="C39" s="45" t="s">
        <v>10</v>
      </c>
      <c r="D39" s="45" t="s">
        <v>11</v>
      </c>
      <c r="E39" s="45" t="s">
        <v>12</v>
      </c>
      <c r="F39" s="32"/>
    </row>
    <row r="40" spans="2:6" s="17" customFormat="1" ht="14.25" x14ac:dyDescent="0.3">
      <c r="B40" s="23" t="s">
        <v>41</v>
      </c>
      <c r="C40" s="19">
        <v>1200</v>
      </c>
      <c r="D40" s="19">
        <v>800</v>
      </c>
      <c r="E40" s="20">
        <f>C40-D40</f>
        <v>400</v>
      </c>
      <c r="F40" s="21"/>
    </row>
    <row r="41" spans="2:6" s="17" customFormat="1" ht="14.25" x14ac:dyDescent="0.3">
      <c r="B41" s="23" t="s">
        <v>42</v>
      </c>
      <c r="C41" s="19">
        <v>430</v>
      </c>
      <c r="D41" s="19">
        <v>0</v>
      </c>
      <c r="E41" s="20">
        <f>C41-D41</f>
        <v>430</v>
      </c>
      <c r="F41" s="21"/>
    </row>
    <row r="42" spans="2:6" s="17" customFormat="1" ht="14.25" x14ac:dyDescent="0.3">
      <c r="B42" s="23" t="s">
        <v>43</v>
      </c>
      <c r="C42" s="33">
        <v>320</v>
      </c>
      <c r="D42" s="33">
        <v>0</v>
      </c>
      <c r="E42" s="20">
        <f>C42-D42</f>
        <v>320</v>
      </c>
      <c r="F42" s="21"/>
    </row>
    <row r="43" spans="2:6" s="17" customFormat="1" ht="14.25" x14ac:dyDescent="0.3">
      <c r="B43" s="23" t="s">
        <v>39</v>
      </c>
      <c r="C43" s="33">
        <v>120</v>
      </c>
      <c r="D43" s="33">
        <v>2</v>
      </c>
      <c r="E43" s="20">
        <f>C43-D43</f>
        <v>118</v>
      </c>
      <c r="F43" s="21"/>
    </row>
    <row r="44" spans="2:6" s="17" customFormat="1" ht="14.25" x14ac:dyDescent="0.3">
      <c r="B44" s="27" t="s">
        <v>23</v>
      </c>
      <c r="C44" s="28">
        <f>SUBTOTAL(109,Tabla4[Presupuesto])</f>
        <v>2070</v>
      </c>
      <c r="D44" s="28">
        <f>SUBTOTAL(109,Tabla4[Real])</f>
        <v>802</v>
      </c>
      <c r="E44" s="29">
        <f>SUBTOTAL(109,Tabla4[Diferencia])</f>
        <v>1268</v>
      </c>
      <c r="F44" s="30"/>
    </row>
    <row r="45" spans="2:6" s="17" customFormat="1" ht="14.25" x14ac:dyDescent="0.3">
      <c r="B45" s="23"/>
      <c r="C45" s="23"/>
      <c r="D45" s="23"/>
      <c r="E45" s="23"/>
      <c r="F45" s="31"/>
    </row>
    <row r="46" spans="2:6" s="17" customFormat="1" ht="14.25" x14ac:dyDescent="0.3">
      <c r="B46" s="23"/>
      <c r="C46" s="23"/>
      <c r="D46" s="23"/>
      <c r="E46" s="23"/>
      <c r="F46" s="31"/>
    </row>
    <row r="47" spans="2:6" s="17" customFormat="1" ht="18.75" x14ac:dyDescent="0.3">
      <c r="B47" s="45" t="s">
        <v>39</v>
      </c>
      <c r="C47" s="45" t="s">
        <v>10</v>
      </c>
      <c r="D47" s="45" t="s">
        <v>11</v>
      </c>
      <c r="E47" s="45" t="s">
        <v>12</v>
      </c>
      <c r="F47" s="32"/>
    </row>
    <row r="48" spans="2:6" s="17" customFormat="1" ht="14.25" x14ac:dyDescent="0.3">
      <c r="B48" s="23" t="s">
        <v>44</v>
      </c>
      <c r="C48" s="19">
        <v>500</v>
      </c>
      <c r="D48" s="19">
        <v>430</v>
      </c>
      <c r="E48" s="20">
        <f>C48-D48</f>
        <v>70</v>
      </c>
      <c r="F48" s="21"/>
    </row>
    <row r="49" spans="2:6" s="17" customFormat="1" ht="14.25" x14ac:dyDescent="0.3">
      <c r="B49" s="23" t="s">
        <v>45</v>
      </c>
      <c r="C49" s="19">
        <v>320</v>
      </c>
      <c r="D49" s="19">
        <v>250</v>
      </c>
      <c r="E49" s="20">
        <f>C49-D49</f>
        <v>70</v>
      </c>
      <c r="F49" s="21"/>
    </row>
    <row r="50" spans="2:6" s="17" customFormat="1" ht="14.25" x14ac:dyDescent="0.3">
      <c r="B50" s="23" t="s">
        <v>46</v>
      </c>
      <c r="C50" s="19">
        <v>500</v>
      </c>
      <c r="D50" s="19">
        <v>500</v>
      </c>
      <c r="E50" s="20">
        <f>C50-D50</f>
        <v>0</v>
      </c>
      <c r="F50" s="21"/>
    </row>
    <row r="51" spans="2:6" s="17" customFormat="1" ht="14.25" x14ac:dyDescent="0.3">
      <c r="B51" s="27" t="s">
        <v>23</v>
      </c>
      <c r="C51" s="28">
        <f>SUBTOTAL(109,Tabla5[Presupuesto])</f>
        <v>1320</v>
      </c>
      <c r="D51" s="28">
        <f>SUBTOTAL(109,Tabla5[Real])</f>
        <v>1180</v>
      </c>
      <c r="E51" s="29">
        <f>SUBTOTAL(109,Tabla5[Diferencia])</f>
        <v>140</v>
      </c>
      <c r="F51" s="30"/>
    </row>
    <row r="52" spans="2:6" s="17" customFormat="1" ht="14.25" x14ac:dyDescent="0.3">
      <c r="B52" s="23"/>
      <c r="C52" s="23"/>
      <c r="D52" s="23"/>
      <c r="E52" s="36"/>
      <c r="F52" s="24"/>
    </row>
    <row r="53" spans="2:6" x14ac:dyDescent="0.3">
      <c r="B53" s="23"/>
      <c r="C53" s="23"/>
      <c r="D53" s="23"/>
      <c r="E53" s="23"/>
      <c r="F53" s="31"/>
    </row>
    <row r="58" spans="2:6" x14ac:dyDescent="0.3">
      <c r="C58" s="37"/>
      <c r="D58" s="37"/>
      <c r="E58" s="37"/>
      <c r="F58" s="38"/>
    </row>
  </sheetData>
  <conditionalFormatting sqref="E10:F18 E38:F38 E22:F36 E40:F43 E7:F7">
    <cfRule type="cellIs" dxfId="63" priority="15" stopIfTrue="1" operator="lessThan">
      <formula>0</formula>
    </cfRule>
  </conditionalFormatting>
  <conditionalFormatting sqref="D7">
    <cfRule type="cellIs" dxfId="62" priority="14" stopIfTrue="1" operator="lessThan">
      <formula>0</formula>
    </cfRule>
  </conditionalFormatting>
  <conditionalFormatting sqref="C7">
    <cfRule type="cellIs" dxfId="61" priority="13" stopIfTrue="1" operator="lessThan">
      <formula>0</formula>
    </cfRule>
  </conditionalFormatting>
  <conditionalFormatting sqref="I6">
    <cfRule type="cellIs" dxfId="60" priority="7" stopIfTrue="1" operator="lessThan">
      <formula>0</formula>
    </cfRule>
  </conditionalFormatting>
  <conditionalFormatting sqref="C6">
    <cfRule type="cellIs" dxfId="59" priority="10" stopIfTrue="1" operator="lessThan">
      <formula>0</formula>
    </cfRule>
  </conditionalFormatting>
  <conditionalFormatting sqref="E48:F50">
    <cfRule type="cellIs" dxfId="58" priority="12" stopIfTrue="1" operator="lessThan">
      <formula>0</formula>
    </cfRule>
  </conditionalFormatting>
  <conditionalFormatting sqref="I7:I9">
    <cfRule type="cellIs" dxfId="57" priority="5" stopIfTrue="1" operator="lessThan">
      <formula>0</formula>
    </cfRule>
  </conditionalFormatting>
  <conditionalFormatting sqref="J6">
    <cfRule type="cellIs" dxfId="56" priority="6" stopIfTrue="1" operator="lessThan">
      <formula>0</formula>
    </cfRule>
  </conditionalFormatting>
  <conditionalFormatting sqref="K7">
    <cfRule type="cellIs" dxfId="55" priority="3" stopIfTrue="1" operator="lessThan">
      <formula>0</formula>
    </cfRule>
  </conditionalFormatting>
  <conditionalFormatting sqref="D6">
    <cfRule type="cellIs" dxfId="54" priority="9" stopIfTrue="1" operator="lessThan">
      <formula>0</formula>
    </cfRule>
  </conditionalFormatting>
  <conditionalFormatting sqref="K8">
    <cfRule type="cellIs" dxfId="53" priority="2" stopIfTrue="1" operator="lessThan">
      <formula>0</formula>
    </cfRule>
  </conditionalFormatting>
  <conditionalFormatting sqref="K9">
    <cfRule type="cellIs" dxfId="52" priority="1" stopIfTrue="1" operator="lessThan">
      <formula>0</formula>
    </cfRule>
  </conditionalFormatting>
  <conditionalFormatting sqref="E6:F6">
    <cfRule type="cellIs" dxfId="51" priority="11" stopIfTrue="1" operator="lessThan">
      <formula>0</formula>
    </cfRule>
  </conditionalFormatting>
  <conditionalFormatting sqref="K6">
    <cfRule type="cellIs" dxfId="50" priority="8" stopIfTrue="1" operator="lessThan">
      <formula>0</formula>
    </cfRule>
  </conditionalFormatting>
  <conditionalFormatting sqref="J7:J9">
    <cfRule type="cellIs" dxfId="49" priority="4" stopIfTrue="1" operator="lessThan">
      <formula>0</formula>
    </cfRule>
  </conditionalFormatting>
  <pageMargins left="0.75" right="0.25" top="0.5" bottom="0.25" header="0.5" footer="0.25"/>
  <pageSetup fitToHeight="0" orientation="portrait" r:id="rId1"/>
  <headerFooter alignWithMargins="0"/>
  <ignoredErrors>
    <ignoredError sqref="D22:D36" calculatedColumn="1"/>
  </ignoredErrors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 de Navidad</vt:lpstr>
      <vt:lpstr>'Presupuesto de Navidad'!Área_de_impresión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de Navidad en Excel</dc:title>
  <dc:creator>Planilla Excel</dc:creator>
  <cp:lastModifiedBy>Cecilia</cp:lastModifiedBy>
  <dcterms:created xsi:type="dcterms:W3CDTF">2019-12-14T20:42:09Z</dcterms:created>
  <dcterms:modified xsi:type="dcterms:W3CDTF">2019-12-14T21:00:48Z</dcterms:modified>
</cp:coreProperties>
</file>