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drawings/drawing6.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8"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C:\Users\cecil\Downloads\"/>
    </mc:Choice>
  </mc:AlternateContent>
  <xr:revisionPtr revIDLastSave="0" documentId="13_ncr:1_{203027BF-A88A-42E4-8256-45C4C8C01A61}" xr6:coauthVersionLast="47" xr6:coauthVersionMax="47" xr10:uidLastSave="{00000000-0000-0000-0000-000000000000}"/>
  <bookViews>
    <workbookView xWindow="19090" yWindow="-5110" windowWidth="38620" windowHeight="21820" tabRatio="846" xr2:uid="{00000000-000D-0000-FFFF-FFFF00000000}"/>
  </bookViews>
  <sheets>
    <sheet name="-AYUDA-" sheetId="20" r:id="rId1"/>
    <sheet name="Hoja1" sheetId="14" state="hidden" r:id="rId2"/>
    <sheet name="Factura" sheetId="19" r:id="rId3"/>
    <sheet name="Movimientos" sheetId="10" r:id="rId4"/>
    <sheet name="Cuenta Corriente" sheetId="15" r:id="rId5"/>
    <sheet name="Lista de productos" sheetId="3" r:id="rId6"/>
    <sheet name="Clientes" sheetId="2" r:id="rId7"/>
    <sheet name="Saldo de Stock" sheetId="16" r:id="rId8"/>
    <sheet name="Stock" sheetId="11" state="hidden" r:id="rId9"/>
  </sheets>
  <externalReferences>
    <externalReference r:id="rId10"/>
    <externalReference r:id="rId11"/>
  </externalReferences>
  <definedNames>
    <definedName name="_xlnm._FilterDatabase" localSheetId="4" hidden="1">'Cuenta Corriente'!$B$10:$F$10</definedName>
    <definedName name="_xlnm._FilterDatabase" localSheetId="5" hidden="1">'Lista de productos'!$B$7:$D$7</definedName>
    <definedName name="_xlnm._FilterDatabase" localSheetId="3" hidden="1">Movimientos!$B$6:$H$40</definedName>
    <definedName name="_xlnm.Print_Area" localSheetId="2">Factura!$A$5:$G$37</definedName>
    <definedName name="Articulo">'Lista de productos'!$B$7:$B$178</definedName>
    <definedName name="Cliente">Clientes!$B$7:$B$37</definedName>
    <definedName name="FechaHoy">[1]Configuración!$L$26</definedName>
    <definedName name="Modo">'[2]Articulos y Forma de pago'!$H$7:$H$16</definedName>
    <definedName name="Producto">Lista_Precios[PRODUCTO]</definedName>
  </definedNames>
  <calcPr calcId="191029"/>
  <pivotCaches>
    <pivotCache cacheId="0" r:id="rId12"/>
    <pivotCache cacheId="16"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6" i="2" l="1"/>
  <c r="C101" i="10"/>
  <c r="F101" i="10"/>
  <c r="C102" i="10"/>
  <c r="F102" i="10"/>
  <c r="C103" i="10"/>
  <c r="F103" i="10"/>
  <c r="C104" i="10"/>
  <c r="F104" i="10"/>
  <c r="C105" i="10"/>
  <c r="F105" i="10"/>
  <c r="C106" i="10"/>
  <c r="F106" i="10"/>
  <c r="C107" i="10"/>
  <c r="F107" i="10"/>
  <c r="C108" i="10"/>
  <c r="F108" i="10"/>
  <c r="C109" i="10"/>
  <c r="F109" i="10"/>
  <c r="C110" i="10"/>
  <c r="F110" i="10"/>
  <c r="C111" i="10"/>
  <c r="F111" i="10"/>
  <c r="C112" i="10"/>
  <c r="F112" i="10"/>
  <c r="C113" i="10"/>
  <c r="F113" i="10"/>
  <c r="C114" i="10"/>
  <c r="F114" i="10"/>
  <c r="C115" i="10"/>
  <c r="F115" i="10"/>
  <c r="C116" i="10"/>
  <c r="F116" i="10"/>
  <c r="C117" i="10"/>
  <c r="F117" i="10"/>
  <c r="C118" i="10"/>
  <c r="F118" i="10"/>
  <c r="C119" i="10"/>
  <c r="F119" i="10"/>
  <c r="C120" i="10"/>
  <c r="F120" i="10"/>
  <c r="C121" i="10"/>
  <c r="F121" i="10"/>
  <c r="C122" i="10"/>
  <c r="F122" i="10"/>
  <c r="C123" i="10"/>
  <c r="F123" i="10"/>
  <c r="C124" i="10"/>
  <c r="F124" i="10"/>
  <c r="C125" i="10"/>
  <c r="F125" i="10"/>
  <c r="C126" i="10"/>
  <c r="F126" i="10"/>
  <c r="C127" i="10"/>
  <c r="F127" i="10"/>
  <c r="C128" i="10"/>
  <c r="F128" i="10"/>
  <c r="C129" i="10"/>
  <c r="F129" i="10"/>
  <c r="C130" i="10"/>
  <c r="F130" i="10"/>
  <c r="C131" i="10"/>
  <c r="F131" i="10"/>
  <c r="C132" i="10"/>
  <c r="F132" i="10"/>
  <c r="C133" i="10"/>
  <c r="F133" i="10"/>
  <c r="C134" i="10"/>
  <c r="F134" i="10"/>
  <c r="C135" i="10"/>
  <c r="F135" i="10"/>
  <c r="C136" i="10"/>
  <c r="F136" i="10"/>
  <c r="C137" i="10"/>
  <c r="F137" i="10"/>
  <c r="C138" i="10"/>
  <c r="F138" i="10"/>
  <c r="C139" i="10"/>
  <c r="F139" i="10"/>
  <c r="C140" i="10"/>
  <c r="F140" i="10"/>
  <c r="C141" i="10"/>
  <c r="F141" i="10"/>
  <c r="C142" i="10"/>
  <c r="F142" i="10"/>
  <c r="C143" i="10"/>
  <c r="F143" i="10"/>
  <c r="C144" i="10"/>
  <c r="F144" i="10"/>
  <c r="C145" i="10"/>
  <c r="F145" i="10"/>
  <c r="C146" i="10"/>
  <c r="F146" i="10"/>
  <c r="C147" i="10"/>
  <c r="F147" i="10"/>
  <c r="C148" i="10"/>
  <c r="F148" i="10"/>
  <c r="C149" i="10"/>
  <c r="F149" i="10"/>
  <c r="C150" i="10"/>
  <c r="F150" i="10"/>
  <c r="C151" i="10"/>
  <c r="F151" i="10"/>
  <c r="C152" i="10"/>
  <c r="F152" i="10"/>
  <c r="C153" i="10"/>
  <c r="F153" i="10"/>
  <c r="C154" i="10"/>
  <c r="F154" i="10"/>
  <c r="C155" i="10"/>
  <c r="F155" i="10"/>
  <c r="C156" i="10"/>
  <c r="F156" i="10"/>
  <c r="C157" i="10"/>
  <c r="F157" i="10"/>
  <c r="C158" i="10"/>
  <c r="F158" i="10"/>
  <c r="C159" i="10"/>
  <c r="F159" i="10"/>
  <c r="C160" i="10"/>
  <c r="F160" i="10"/>
  <c r="C161" i="10"/>
  <c r="F161" i="10"/>
  <c r="C162" i="10"/>
  <c r="F162" i="10"/>
  <c r="C163" i="10"/>
  <c r="F163" i="10"/>
  <c r="C164" i="10"/>
  <c r="F164" i="10"/>
  <c r="C165" i="10"/>
  <c r="F165" i="10"/>
  <c r="C166" i="10"/>
  <c r="F166" i="10"/>
  <c r="C167" i="10"/>
  <c r="F167" i="10"/>
  <c r="C168" i="10"/>
  <c r="F168" i="10"/>
  <c r="C169" i="10"/>
  <c r="F169" i="10"/>
  <c r="C170" i="10"/>
  <c r="F170" i="10"/>
  <c r="C171" i="10"/>
  <c r="F171" i="10"/>
  <c r="C172" i="10"/>
  <c r="F172" i="10"/>
  <c r="C173" i="10"/>
  <c r="F173" i="10"/>
  <c r="C174" i="10"/>
  <c r="F174" i="10"/>
  <c r="C175" i="10"/>
  <c r="F175" i="10"/>
  <c r="C176" i="10"/>
  <c r="F176" i="10"/>
  <c r="C177" i="10"/>
  <c r="F177" i="10"/>
  <c r="C178" i="10"/>
  <c r="F178" i="10"/>
  <c r="C179" i="10"/>
  <c r="F179" i="10"/>
  <c r="C180" i="10"/>
  <c r="F180" i="10"/>
  <c r="C181" i="10"/>
  <c r="F181" i="10"/>
  <c r="C182" i="10"/>
  <c r="F182" i="10"/>
  <c r="C183" i="10"/>
  <c r="F183" i="10"/>
  <c r="C184" i="10"/>
  <c r="F184" i="10"/>
  <c r="C185" i="10"/>
  <c r="F185" i="10"/>
  <c r="C186" i="10"/>
  <c r="F186" i="10"/>
  <c r="C187" i="10"/>
  <c r="F187" i="10"/>
  <c r="C188" i="10"/>
  <c r="F188" i="10"/>
  <c r="C189" i="10"/>
  <c r="F189" i="10"/>
  <c r="C190" i="10"/>
  <c r="F190" i="10"/>
  <c r="C191" i="10"/>
  <c r="F191" i="10"/>
  <c r="C192" i="10"/>
  <c r="F192" i="10"/>
  <c r="C193" i="10"/>
  <c r="F193" i="10"/>
  <c r="C194" i="10"/>
  <c r="F194" i="10"/>
  <c r="C195" i="10"/>
  <c r="F195" i="10"/>
  <c r="C196" i="10"/>
  <c r="F196" i="10"/>
  <c r="C197" i="10"/>
  <c r="F197" i="10"/>
  <c r="C198" i="10"/>
  <c r="F198" i="10"/>
  <c r="C199" i="10"/>
  <c r="F199" i="10"/>
  <c r="C200" i="10"/>
  <c r="F200" i="10"/>
  <c r="C201" i="10"/>
  <c r="F201" i="10"/>
  <c r="C202" i="10"/>
  <c r="F202" i="10"/>
  <c r="C203" i="10"/>
  <c r="F203" i="10"/>
  <c r="C204" i="10"/>
  <c r="F204" i="10"/>
  <c r="C205" i="10"/>
  <c r="F205" i="10"/>
  <c r="C206" i="10"/>
  <c r="F206" i="10"/>
  <c r="C207" i="10"/>
  <c r="F207" i="10"/>
  <c r="C208" i="10"/>
  <c r="F208" i="10"/>
  <c r="C209" i="10"/>
  <c r="F209" i="10"/>
  <c r="C210" i="10"/>
  <c r="F210" i="10"/>
  <c r="C211" i="10"/>
  <c r="F211" i="10"/>
  <c r="C212" i="10"/>
  <c r="F212" i="10"/>
  <c r="C213" i="10"/>
  <c r="F213" i="10"/>
  <c r="C214" i="10"/>
  <c r="F214" i="10"/>
  <c r="C215" i="10"/>
  <c r="F215" i="10"/>
  <c r="C216" i="10"/>
  <c r="F216" i="10"/>
  <c r="C217" i="10"/>
  <c r="F217" i="10"/>
  <c r="C218" i="10"/>
  <c r="F218" i="10"/>
  <c r="C219" i="10"/>
  <c r="F219" i="10"/>
  <c r="C220" i="10"/>
  <c r="F220" i="10"/>
  <c r="C221" i="10"/>
  <c r="F221" i="10"/>
  <c r="C222" i="10"/>
  <c r="F222" i="10"/>
  <c r="C223" i="10"/>
  <c r="F223" i="10"/>
  <c r="C224" i="10"/>
  <c r="F224" i="10"/>
  <c r="C225" i="10"/>
  <c r="F225" i="10"/>
  <c r="C226" i="10"/>
  <c r="F226" i="10"/>
  <c r="C227" i="10"/>
  <c r="F227" i="10"/>
  <c r="C228" i="10"/>
  <c r="F228" i="10"/>
  <c r="C229" i="10"/>
  <c r="F229" i="10"/>
  <c r="C230" i="10"/>
  <c r="F230" i="10"/>
  <c r="C231" i="10"/>
  <c r="F231" i="10"/>
  <c r="C232" i="10"/>
  <c r="F232" i="10"/>
  <c r="C233" i="10"/>
  <c r="F233" i="10"/>
  <c r="C234" i="10"/>
  <c r="F234" i="10"/>
  <c r="C235" i="10"/>
  <c r="F235" i="10"/>
  <c r="C236" i="10"/>
  <c r="F236" i="10"/>
  <c r="C237" i="10"/>
  <c r="F237" i="10"/>
  <c r="C238" i="10"/>
  <c r="F238" i="10"/>
  <c r="C239" i="10"/>
  <c r="F239" i="10"/>
  <c r="C240" i="10"/>
  <c r="F240" i="10"/>
  <c r="C241" i="10"/>
  <c r="F241" i="10"/>
  <c r="C242" i="10"/>
  <c r="F242" i="10"/>
  <c r="C243" i="10"/>
  <c r="F243" i="10"/>
  <c r="C244" i="10"/>
  <c r="F244" i="10"/>
  <c r="C245" i="10"/>
  <c r="F245" i="10"/>
  <c r="C246" i="10"/>
  <c r="F246" i="10"/>
  <c r="C247" i="10"/>
  <c r="F247" i="10"/>
  <c r="C248" i="10"/>
  <c r="F248" i="10"/>
  <c r="C249" i="10"/>
  <c r="F249" i="10"/>
  <c r="C250" i="10"/>
  <c r="F250" i="10"/>
  <c r="C251" i="10"/>
  <c r="F251" i="10"/>
  <c r="C252" i="10"/>
  <c r="F252" i="10"/>
  <c r="C253" i="10"/>
  <c r="F253" i="10"/>
  <c r="C254" i="10"/>
  <c r="F254" i="10"/>
  <c r="C255" i="10"/>
  <c r="F255" i="10"/>
  <c r="C256" i="10"/>
  <c r="F256" i="10"/>
  <c r="C257" i="10"/>
  <c r="F257" i="10"/>
  <c r="C258" i="10"/>
  <c r="F258" i="10"/>
  <c r="C259" i="10"/>
  <c r="F259" i="10"/>
  <c r="C260" i="10"/>
  <c r="F260" i="10"/>
  <c r="C261" i="10"/>
  <c r="F261" i="10"/>
  <c r="C262" i="10"/>
  <c r="F262" i="10"/>
  <c r="C263" i="10"/>
  <c r="F263" i="10"/>
  <c r="C264" i="10"/>
  <c r="F264" i="10"/>
  <c r="C265" i="10"/>
  <c r="F265" i="10"/>
  <c r="C266" i="10"/>
  <c r="F266" i="10"/>
  <c r="C267" i="10"/>
  <c r="F267" i="10"/>
  <c r="C268" i="10"/>
  <c r="F268" i="10"/>
  <c r="C269" i="10"/>
  <c r="F269" i="10"/>
  <c r="C270" i="10"/>
  <c r="F270" i="10"/>
  <c r="C271" i="10"/>
  <c r="F271" i="10"/>
  <c r="C272" i="10"/>
  <c r="F272" i="10"/>
  <c r="C273" i="10"/>
  <c r="F273" i="10"/>
  <c r="C274" i="10"/>
  <c r="F274" i="10"/>
  <c r="C275" i="10"/>
  <c r="F275" i="10"/>
  <c r="C276" i="10"/>
  <c r="F276" i="10"/>
  <c r="C277" i="10"/>
  <c r="F277" i="10"/>
  <c r="C278" i="10"/>
  <c r="F278" i="10"/>
  <c r="C279" i="10"/>
  <c r="F279" i="10"/>
  <c r="C280" i="10"/>
  <c r="F280" i="10"/>
  <c r="C281" i="10"/>
  <c r="F281" i="10"/>
  <c r="C282" i="10"/>
  <c r="F282" i="10"/>
  <c r="C283" i="10"/>
  <c r="F283" i="10"/>
  <c r="C284" i="10"/>
  <c r="F284" i="10"/>
  <c r="C285" i="10"/>
  <c r="F285" i="10"/>
  <c r="C286" i="10"/>
  <c r="F286" i="10"/>
  <c r="C287" i="10"/>
  <c r="F287" i="10"/>
  <c r="C288" i="10"/>
  <c r="F288" i="10"/>
  <c r="C289" i="10"/>
  <c r="F289" i="10"/>
  <c r="C290" i="10"/>
  <c r="F290" i="10"/>
  <c r="C291" i="10"/>
  <c r="F291" i="10"/>
  <c r="C292" i="10"/>
  <c r="F292" i="10"/>
  <c r="C293" i="10"/>
  <c r="F293" i="10"/>
  <c r="C294" i="10"/>
  <c r="F294" i="10"/>
  <c r="C295" i="10"/>
  <c r="F295" i="10"/>
  <c r="C296" i="10"/>
  <c r="F296" i="10"/>
  <c r="C297" i="10"/>
  <c r="F297" i="10"/>
  <c r="C298" i="10"/>
  <c r="F298" i="10"/>
  <c r="C299" i="10"/>
  <c r="F299" i="10"/>
  <c r="C300" i="10"/>
  <c r="F300" i="10"/>
  <c r="C301" i="10"/>
  <c r="F301" i="10"/>
  <c r="C302" i="10"/>
  <c r="F302" i="10"/>
  <c r="C303" i="10"/>
  <c r="F303" i="10"/>
  <c r="C304" i="10"/>
  <c r="F304" i="10"/>
  <c r="C305" i="10"/>
  <c r="F305" i="10"/>
  <c r="C306" i="10"/>
  <c r="F306" i="10"/>
  <c r="C307" i="10"/>
  <c r="F307" i="10"/>
  <c r="C308" i="10"/>
  <c r="F308" i="10"/>
  <c r="C309" i="10"/>
  <c r="F309" i="10"/>
  <c r="C310" i="10"/>
  <c r="F310" i="10"/>
  <c r="C311" i="10"/>
  <c r="F311" i="10"/>
  <c r="C312" i="10"/>
  <c r="F312" i="10"/>
  <c r="C313" i="10"/>
  <c r="F313" i="10"/>
  <c r="C314" i="10"/>
  <c r="F314" i="10"/>
  <c r="C315" i="10"/>
  <c r="F315" i="10"/>
  <c r="C316" i="10"/>
  <c r="F316" i="10"/>
  <c r="C317" i="10"/>
  <c r="F317" i="10"/>
  <c r="C318" i="10"/>
  <c r="F318" i="10"/>
  <c r="C319" i="10"/>
  <c r="F319" i="10"/>
  <c r="C320" i="10"/>
  <c r="F320" i="10"/>
  <c r="C321" i="10"/>
  <c r="F321" i="10"/>
  <c r="C322" i="10"/>
  <c r="F322" i="10"/>
  <c r="C323" i="10"/>
  <c r="F323" i="10"/>
  <c r="C324" i="10"/>
  <c r="F324" i="10"/>
  <c r="C325" i="10"/>
  <c r="F325" i="10"/>
  <c r="C326" i="10"/>
  <c r="F326" i="10"/>
  <c r="C327" i="10"/>
  <c r="F327" i="10"/>
  <c r="C328" i="10"/>
  <c r="F328" i="10"/>
  <c r="C329" i="10"/>
  <c r="F329" i="10"/>
  <c r="C330" i="10"/>
  <c r="F330" i="10"/>
  <c r="C331" i="10"/>
  <c r="F331" i="10"/>
  <c r="C332" i="10"/>
  <c r="F332" i="10"/>
  <c r="C333" i="10"/>
  <c r="F333" i="10"/>
  <c r="C334" i="10"/>
  <c r="F334" i="10"/>
  <c r="C335" i="10"/>
  <c r="F335" i="10"/>
  <c r="C336" i="10"/>
  <c r="F336" i="10"/>
  <c r="C337" i="10"/>
  <c r="F337" i="10"/>
  <c r="C338" i="10"/>
  <c r="F338" i="10"/>
  <c r="C339" i="10"/>
  <c r="F339" i="10"/>
  <c r="C340" i="10"/>
  <c r="F340" i="10"/>
  <c r="C341" i="10"/>
  <c r="F341" i="10"/>
  <c r="C342" i="10"/>
  <c r="F342" i="10"/>
  <c r="C343" i="10"/>
  <c r="F343" i="10"/>
  <c r="C344" i="10"/>
  <c r="F344" i="10"/>
  <c r="C345" i="10"/>
  <c r="F345" i="10"/>
  <c r="C346" i="10"/>
  <c r="F346" i="10"/>
  <c r="C347" i="10"/>
  <c r="F347" i="10"/>
  <c r="C348" i="10"/>
  <c r="F348" i="10"/>
  <c r="C349" i="10"/>
  <c r="F349" i="10"/>
  <c r="C350" i="10"/>
  <c r="F350" i="10"/>
  <c r="C351" i="10"/>
  <c r="F351" i="10"/>
  <c r="C352" i="10"/>
  <c r="F352" i="10"/>
  <c r="C353" i="10"/>
  <c r="F353" i="10"/>
  <c r="C354" i="10"/>
  <c r="F354" i="10"/>
  <c r="C355" i="10"/>
  <c r="F355" i="10"/>
  <c r="C356" i="10"/>
  <c r="F356" i="10"/>
  <c r="C357" i="10"/>
  <c r="F357" i="10"/>
  <c r="C358" i="10"/>
  <c r="F358" i="10"/>
  <c r="C359" i="10"/>
  <c r="F359" i="10"/>
  <c r="C360" i="10"/>
  <c r="F360" i="10"/>
  <c r="C361" i="10"/>
  <c r="F361" i="10"/>
  <c r="C362" i="10"/>
  <c r="F362" i="10"/>
  <c r="C363" i="10"/>
  <c r="F363" i="10"/>
  <c r="C364" i="10"/>
  <c r="F364" i="10"/>
  <c r="C365" i="10"/>
  <c r="F365" i="10"/>
  <c r="C366" i="10"/>
  <c r="F366" i="10"/>
  <c r="C367" i="10"/>
  <c r="F367" i="10"/>
  <c r="C368" i="10"/>
  <c r="F368" i="10"/>
  <c r="C369" i="10"/>
  <c r="F369" i="10"/>
  <c r="C370" i="10"/>
  <c r="F370" i="10"/>
  <c r="C371" i="10"/>
  <c r="F371" i="10"/>
  <c r="C372" i="10"/>
  <c r="F372" i="10"/>
  <c r="C373" i="10"/>
  <c r="F373" i="10"/>
  <c r="C374" i="10"/>
  <c r="F374" i="10"/>
  <c r="C375" i="10"/>
  <c r="F375" i="10"/>
  <c r="C376" i="10"/>
  <c r="F376" i="10"/>
  <c r="C377" i="10"/>
  <c r="F377" i="10"/>
  <c r="C378" i="10"/>
  <c r="F378" i="10"/>
  <c r="C379" i="10"/>
  <c r="F379" i="10"/>
  <c r="C380" i="10"/>
  <c r="F380" i="10"/>
  <c r="C381" i="10"/>
  <c r="F381" i="10"/>
  <c r="C382" i="10"/>
  <c r="F382" i="10"/>
  <c r="C383" i="10"/>
  <c r="F383" i="10"/>
  <c r="C384" i="10"/>
  <c r="F384" i="10"/>
  <c r="C385" i="10"/>
  <c r="F385" i="10"/>
  <c r="C386" i="10"/>
  <c r="F386" i="10"/>
  <c r="C387" i="10"/>
  <c r="F387" i="10"/>
  <c r="C388" i="10"/>
  <c r="F388" i="10"/>
  <c r="C389" i="10"/>
  <c r="F389" i="10"/>
  <c r="C390" i="10"/>
  <c r="F390" i="10"/>
  <c r="C391" i="10"/>
  <c r="F391" i="10"/>
  <c r="C392" i="10"/>
  <c r="F392" i="10"/>
  <c r="C393" i="10"/>
  <c r="F393" i="10"/>
  <c r="C394" i="10"/>
  <c r="F394" i="10"/>
  <c r="C395" i="10"/>
  <c r="F395" i="10"/>
  <c r="C396" i="10"/>
  <c r="F396" i="10"/>
  <c r="C397" i="10"/>
  <c r="F397" i="10"/>
  <c r="C398" i="10"/>
  <c r="F398" i="10"/>
  <c r="C399" i="10"/>
  <c r="F399" i="10"/>
  <c r="C400" i="10"/>
  <c r="F400" i="10"/>
  <c r="C401" i="10"/>
  <c r="F401" i="10"/>
  <c r="C402" i="10"/>
  <c r="F402" i="10"/>
  <c r="C403" i="10"/>
  <c r="F403" i="10"/>
  <c r="C404" i="10"/>
  <c r="F404" i="10"/>
  <c r="C405" i="10"/>
  <c r="F405" i="10"/>
  <c r="C406" i="10"/>
  <c r="F406" i="10"/>
  <c r="C407" i="10"/>
  <c r="F407" i="10"/>
  <c r="C408" i="10"/>
  <c r="F408" i="10"/>
  <c r="C409" i="10"/>
  <c r="F409" i="10"/>
  <c r="C410" i="10"/>
  <c r="F410" i="10"/>
  <c r="C411" i="10"/>
  <c r="F411" i="10"/>
  <c r="C412" i="10"/>
  <c r="F412" i="10"/>
  <c r="C413" i="10"/>
  <c r="F413" i="10"/>
  <c r="C414" i="10"/>
  <c r="F414" i="10"/>
  <c r="C415" i="10"/>
  <c r="F415" i="10"/>
  <c r="C416" i="10"/>
  <c r="F416" i="10"/>
  <c r="C417" i="10"/>
  <c r="F417" i="10"/>
  <c r="C418" i="10"/>
  <c r="F418" i="10"/>
  <c r="C419" i="10"/>
  <c r="F419" i="10"/>
  <c r="C420" i="10"/>
  <c r="F420" i="10"/>
  <c r="C421" i="10"/>
  <c r="F421" i="10"/>
  <c r="C422" i="10"/>
  <c r="F422" i="10"/>
  <c r="C423" i="10"/>
  <c r="F423" i="10"/>
  <c r="C424" i="10"/>
  <c r="F424" i="10"/>
  <c r="C425" i="10"/>
  <c r="F425" i="10"/>
  <c r="C426" i="10"/>
  <c r="F426" i="10"/>
  <c r="C427" i="10"/>
  <c r="F427" i="10"/>
  <c r="C428" i="10"/>
  <c r="F428" i="10"/>
  <c r="C429" i="10"/>
  <c r="F429" i="10"/>
  <c r="C430" i="10"/>
  <c r="F430" i="10"/>
  <c r="C431" i="10"/>
  <c r="F431" i="10"/>
  <c r="C432" i="10"/>
  <c r="F432" i="10"/>
  <c r="C433" i="10"/>
  <c r="F433" i="10"/>
  <c r="C434" i="10"/>
  <c r="F434" i="10"/>
  <c r="C435" i="10"/>
  <c r="F435" i="10"/>
  <c r="C436" i="10"/>
  <c r="F436" i="10"/>
  <c r="C437" i="10"/>
  <c r="F437" i="10"/>
  <c r="C438" i="10"/>
  <c r="F438" i="10"/>
  <c r="C439" i="10"/>
  <c r="F439" i="10"/>
  <c r="C440" i="10"/>
  <c r="F440" i="10"/>
  <c r="C441" i="10"/>
  <c r="F441" i="10"/>
  <c r="C442" i="10"/>
  <c r="F442" i="10"/>
  <c r="C443" i="10"/>
  <c r="F443" i="10"/>
  <c r="C444" i="10"/>
  <c r="F444" i="10"/>
  <c r="C445" i="10"/>
  <c r="F445" i="10"/>
  <c r="C446" i="10"/>
  <c r="F446" i="10"/>
  <c r="C447" i="10"/>
  <c r="F447" i="10"/>
  <c r="C448" i="10"/>
  <c r="F448" i="10"/>
  <c r="C449" i="10"/>
  <c r="F449" i="10"/>
  <c r="C450" i="10"/>
  <c r="F450" i="10"/>
  <c r="C451" i="10"/>
  <c r="F451" i="10"/>
  <c r="C452" i="10"/>
  <c r="F452" i="10"/>
  <c r="C453" i="10"/>
  <c r="F453" i="10"/>
  <c r="C454" i="10"/>
  <c r="F454" i="10"/>
  <c r="C455" i="10"/>
  <c r="F455" i="10"/>
  <c r="C456" i="10"/>
  <c r="F456" i="10"/>
  <c r="C457" i="10"/>
  <c r="F457" i="10"/>
  <c r="C458" i="10"/>
  <c r="F458" i="10"/>
  <c r="C459" i="10"/>
  <c r="F459" i="10"/>
  <c r="C460" i="10"/>
  <c r="F460" i="10"/>
  <c r="C461" i="10"/>
  <c r="F461" i="10"/>
  <c r="C462" i="10"/>
  <c r="F462" i="10"/>
  <c r="C463" i="10"/>
  <c r="F463" i="10"/>
  <c r="C464" i="10"/>
  <c r="F464" i="10"/>
  <c r="C465" i="10"/>
  <c r="F465" i="10"/>
  <c r="C466" i="10"/>
  <c r="F466" i="10"/>
  <c r="C467" i="10"/>
  <c r="F467" i="10"/>
  <c r="C468" i="10"/>
  <c r="F468" i="10"/>
  <c r="C469" i="10"/>
  <c r="F469" i="10"/>
  <c r="C470" i="10"/>
  <c r="F470" i="10"/>
  <c r="C471" i="10"/>
  <c r="F471" i="10"/>
  <c r="C472" i="10"/>
  <c r="F472" i="10"/>
  <c r="C473" i="10"/>
  <c r="F473" i="10"/>
  <c r="C474" i="10"/>
  <c r="F474" i="10"/>
  <c r="C475" i="10"/>
  <c r="F475" i="10"/>
  <c r="C476" i="10"/>
  <c r="F476" i="10"/>
  <c r="C477" i="10"/>
  <c r="F477" i="10"/>
  <c r="C478" i="10"/>
  <c r="F478" i="10"/>
  <c r="C479" i="10"/>
  <c r="F479" i="10"/>
  <c r="C480" i="10"/>
  <c r="F480" i="10"/>
  <c r="C481" i="10"/>
  <c r="F481" i="10"/>
  <c r="C482" i="10"/>
  <c r="F482" i="10"/>
  <c r="C483" i="10"/>
  <c r="F483" i="10"/>
  <c r="C484" i="10"/>
  <c r="F484" i="10"/>
  <c r="C485" i="10"/>
  <c r="F485" i="10"/>
  <c r="C486" i="10"/>
  <c r="F486" i="10"/>
  <c r="C487" i="10"/>
  <c r="F487" i="10"/>
  <c r="C488" i="10"/>
  <c r="F488" i="10"/>
  <c r="C489" i="10"/>
  <c r="F489" i="10"/>
  <c r="C490" i="10"/>
  <c r="F490" i="10"/>
  <c r="C491" i="10"/>
  <c r="F491" i="10"/>
  <c r="C492" i="10"/>
  <c r="F492" i="10"/>
  <c r="C493" i="10"/>
  <c r="F493" i="10"/>
  <c r="C494" i="10"/>
  <c r="F494" i="10"/>
  <c r="C495" i="10"/>
  <c r="F495" i="10"/>
  <c r="C496" i="10"/>
  <c r="F496" i="10"/>
  <c r="C497" i="10"/>
  <c r="F497" i="10"/>
  <c r="C498" i="10"/>
  <c r="F498" i="10"/>
  <c r="C499" i="10"/>
  <c r="F499" i="10"/>
  <c r="C500" i="10"/>
  <c r="F500" i="10"/>
  <c r="C501" i="10"/>
  <c r="F501" i="10"/>
  <c r="C502" i="10"/>
  <c r="F502" i="10"/>
  <c r="C503" i="10"/>
  <c r="F503" i="10"/>
  <c r="C504" i="10"/>
  <c r="F504" i="10"/>
  <c r="C505" i="10"/>
  <c r="F505" i="10"/>
  <c r="C506" i="10"/>
  <c r="F506" i="10"/>
  <c r="C507" i="10"/>
  <c r="F507" i="10"/>
  <c r="C508" i="10"/>
  <c r="F508" i="10"/>
  <c r="C509" i="10"/>
  <c r="F509" i="10"/>
  <c r="C510" i="10"/>
  <c r="F510" i="10"/>
  <c r="C511" i="10"/>
  <c r="F511" i="10"/>
  <c r="C512" i="10"/>
  <c r="F512" i="10"/>
  <c r="C513" i="10"/>
  <c r="F513" i="10"/>
  <c r="C514" i="10"/>
  <c r="F514" i="10"/>
  <c r="C515" i="10"/>
  <c r="F515" i="10"/>
  <c r="C516" i="10"/>
  <c r="F516" i="10"/>
  <c r="C517" i="10"/>
  <c r="F517" i="10"/>
  <c r="C518" i="10"/>
  <c r="F518" i="10"/>
  <c r="C519" i="10"/>
  <c r="F519" i="10"/>
  <c r="C520" i="10"/>
  <c r="F520" i="10"/>
  <c r="C521" i="10"/>
  <c r="F521" i="10"/>
  <c r="C522" i="10"/>
  <c r="F522" i="10"/>
  <c r="C523" i="10"/>
  <c r="F523" i="10"/>
  <c r="C524" i="10"/>
  <c r="F524" i="10"/>
  <c r="C525" i="10"/>
  <c r="F525" i="10"/>
  <c r="C526" i="10"/>
  <c r="F526" i="10"/>
  <c r="C527" i="10"/>
  <c r="F527" i="10"/>
  <c r="C528" i="10"/>
  <c r="F528" i="10"/>
  <c r="C529" i="10"/>
  <c r="F529" i="10"/>
  <c r="C530" i="10"/>
  <c r="F530" i="10"/>
  <c r="C531" i="10"/>
  <c r="F531" i="10"/>
  <c r="C532" i="10"/>
  <c r="F532" i="10"/>
  <c r="C533" i="10"/>
  <c r="F533" i="10"/>
  <c r="C534" i="10"/>
  <c r="F534" i="10"/>
  <c r="C535" i="10"/>
  <c r="F535" i="10"/>
  <c r="C536" i="10"/>
  <c r="F536" i="10"/>
  <c r="C537" i="10"/>
  <c r="F537" i="10"/>
  <c r="C538" i="10"/>
  <c r="F538" i="10"/>
  <c r="C539" i="10"/>
  <c r="F539" i="10"/>
  <c r="C540" i="10"/>
  <c r="F540" i="10"/>
  <c r="C541" i="10"/>
  <c r="F541" i="10"/>
  <c r="C542" i="10"/>
  <c r="F542" i="10"/>
  <c r="C543" i="10"/>
  <c r="F543" i="10"/>
  <c r="C544" i="10"/>
  <c r="F544" i="10"/>
  <c r="C545" i="10"/>
  <c r="F545" i="10"/>
  <c r="C546" i="10"/>
  <c r="F546" i="10"/>
  <c r="C547" i="10"/>
  <c r="F547" i="10"/>
  <c r="C548" i="10"/>
  <c r="F548" i="10"/>
  <c r="C549" i="10"/>
  <c r="F549" i="10"/>
  <c r="C550" i="10"/>
  <c r="F550" i="10"/>
  <c r="C551" i="10"/>
  <c r="F551" i="10"/>
  <c r="C552" i="10"/>
  <c r="F552" i="10"/>
  <c r="C553" i="10"/>
  <c r="F553" i="10"/>
  <c r="C554" i="10"/>
  <c r="F554" i="10"/>
  <c r="C555" i="10"/>
  <c r="F555" i="10"/>
  <c r="C556" i="10"/>
  <c r="F556" i="10"/>
  <c r="C557" i="10"/>
  <c r="F557" i="10"/>
  <c r="C558" i="10"/>
  <c r="F558" i="10"/>
  <c r="C559" i="10"/>
  <c r="F559" i="10"/>
  <c r="C560" i="10"/>
  <c r="F560" i="10"/>
  <c r="C561" i="10"/>
  <c r="F561" i="10"/>
  <c r="C562" i="10"/>
  <c r="F562" i="10"/>
  <c r="C563" i="10"/>
  <c r="F563" i="10"/>
  <c r="C564" i="10"/>
  <c r="F564" i="10"/>
  <c r="C565" i="10"/>
  <c r="F565" i="10"/>
  <c r="C566" i="10"/>
  <c r="F566" i="10"/>
  <c r="C567" i="10"/>
  <c r="F567" i="10"/>
  <c r="C568" i="10"/>
  <c r="F568" i="10"/>
  <c r="C569" i="10"/>
  <c r="F569" i="10"/>
  <c r="C570" i="10"/>
  <c r="F570" i="10"/>
  <c r="C571" i="10"/>
  <c r="F571" i="10"/>
  <c r="C572" i="10"/>
  <c r="F572" i="10"/>
  <c r="C573" i="10"/>
  <c r="F573" i="10"/>
  <c r="C574" i="10"/>
  <c r="F574" i="10"/>
  <c r="C575" i="10"/>
  <c r="F575" i="10"/>
  <c r="C576" i="10"/>
  <c r="F576" i="10"/>
  <c r="C577" i="10"/>
  <c r="F577" i="10"/>
  <c r="C578" i="10"/>
  <c r="F578" i="10"/>
  <c r="C579" i="10"/>
  <c r="F579" i="10"/>
  <c r="C580" i="10"/>
  <c r="F580" i="10"/>
  <c r="C581" i="10"/>
  <c r="F581" i="10"/>
  <c r="C582" i="10"/>
  <c r="F582" i="10"/>
  <c r="C583" i="10"/>
  <c r="F583" i="10"/>
  <c r="C584" i="10"/>
  <c r="F584" i="10"/>
  <c r="C585" i="10"/>
  <c r="F585" i="10"/>
  <c r="C586" i="10"/>
  <c r="F586" i="10"/>
  <c r="C587" i="10"/>
  <c r="F587" i="10"/>
  <c r="C588" i="10"/>
  <c r="F588" i="10"/>
  <c r="C589" i="10"/>
  <c r="F589" i="10"/>
  <c r="C590" i="10"/>
  <c r="F590" i="10"/>
  <c r="C591" i="10"/>
  <c r="F591" i="10"/>
  <c r="C592" i="10"/>
  <c r="F592" i="10"/>
  <c r="C593" i="10"/>
  <c r="F593" i="10"/>
  <c r="C594" i="10"/>
  <c r="F594" i="10"/>
  <c r="C595" i="10"/>
  <c r="F595" i="10"/>
  <c r="C596" i="10"/>
  <c r="F596" i="10"/>
  <c r="C597" i="10"/>
  <c r="F597" i="10"/>
  <c r="C598" i="10"/>
  <c r="F598" i="10"/>
  <c r="C599" i="10"/>
  <c r="F599" i="10"/>
  <c r="C600" i="10"/>
  <c r="F600" i="10"/>
  <c r="C601" i="10"/>
  <c r="F601" i="10"/>
  <c r="C602" i="10"/>
  <c r="F602" i="10"/>
  <c r="C603" i="10"/>
  <c r="F603" i="10"/>
  <c r="C604" i="10"/>
  <c r="F604" i="10"/>
  <c r="C605" i="10"/>
  <c r="F605" i="10"/>
  <c r="C606" i="10"/>
  <c r="F606" i="10"/>
  <c r="C607" i="10"/>
  <c r="F607" i="10"/>
  <c r="C608" i="10"/>
  <c r="F608" i="10"/>
  <c r="C609" i="10"/>
  <c r="F609" i="10"/>
  <c r="C610" i="10"/>
  <c r="F610" i="10"/>
  <c r="C611" i="10"/>
  <c r="F611" i="10"/>
  <c r="C612" i="10"/>
  <c r="F612" i="10"/>
  <c r="C613" i="10"/>
  <c r="F613" i="10"/>
  <c r="C614" i="10"/>
  <c r="F614" i="10"/>
  <c r="C615" i="10"/>
  <c r="F615" i="10"/>
  <c r="C616" i="10"/>
  <c r="F616" i="10"/>
  <c r="C617" i="10"/>
  <c r="F617" i="10"/>
  <c r="C618" i="10"/>
  <c r="F618" i="10"/>
  <c r="C619" i="10"/>
  <c r="F619" i="10"/>
  <c r="C620" i="10"/>
  <c r="F620" i="10"/>
  <c r="C621" i="10"/>
  <c r="F621" i="10"/>
  <c r="C622" i="10"/>
  <c r="F622" i="10"/>
  <c r="C623" i="10"/>
  <c r="F623" i="10"/>
  <c r="C624" i="10"/>
  <c r="F624" i="10"/>
  <c r="C625" i="10"/>
  <c r="F625" i="10"/>
  <c r="C626" i="10"/>
  <c r="F626" i="10"/>
  <c r="C627" i="10"/>
  <c r="F627" i="10"/>
  <c r="C628" i="10"/>
  <c r="F628" i="10"/>
  <c r="C629" i="10"/>
  <c r="F629" i="10"/>
  <c r="C630" i="10"/>
  <c r="F630" i="10"/>
  <c r="C631" i="10"/>
  <c r="F631" i="10"/>
  <c r="C632" i="10"/>
  <c r="F632" i="10"/>
  <c r="C633" i="10"/>
  <c r="F633" i="10"/>
  <c r="C634" i="10"/>
  <c r="F634" i="10"/>
  <c r="C635" i="10"/>
  <c r="F635" i="10"/>
  <c r="C636" i="10"/>
  <c r="F636" i="10"/>
  <c r="C637" i="10"/>
  <c r="F637" i="10"/>
  <c r="C638" i="10"/>
  <c r="F638" i="10"/>
  <c r="C639" i="10"/>
  <c r="F639" i="10"/>
  <c r="C640" i="10"/>
  <c r="F640" i="10"/>
  <c r="C641" i="10"/>
  <c r="F641" i="10"/>
  <c r="C642" i="10"/>
  <c r="F642" i="10"/>
  <c r="C643" i="10"/>
  <c r="F643" i="10"/>
  <c r="C644" i="10"/>
  <c r="F644" i="10"/>
  <c r="C645" i="10"/>
  <c r="F645" i="10"/>
  <c r="C646" i="10"/>
  <c r="F646" i="10"/>
  <c r="C647" i="10"/>
  <c r="F647" i="10"/>
  <c r="C648" i="10"/>
  <c r="F648" i="10"/>
  <c r="C649" i="10"/>
  <c r="F649" i="10"/>
  <c r="C650" i="10"/>
  <c r="F650" i="10"/>
  <c r="C651" i="10"/>
  <c r="F651" i="10"/>
  <c r="C652" i="10"/>
  <c r="F652" i="10"/>
  <c r="C653" i="10"/>
  <c r="F653" i="10"/>
  <c r="C654" i="10"/>
  <c r="F654" i="10"/>
  <c r="C655" i="10"/>
  <c r="F655" i="10"/>
  <c r="C656" i="10"/>
  <c r="F656" i="10"/>
  <c r="C657" i="10"/>
  <c r="F657" i="10"/>
  <c r="C658" i="10"/>
  <c r="F658" i="10"/>
  <c r="C659" i="10"/>
  <c r="F659" i="10"/>
  <c r="C660" i="10"/>
  <c r="F660" i="10"/>
  <c r="C661" i="10"/>
  <c r="F661" i="10"/>
  <c r="C662" i="10"/>
  <c r="F662" i="10"/>
  <c r="C663" i="10"/>
  <c r="F663" i="10"/>
  <c r="C664" i="10"/>
  <c r="F664" i="10"/>
  <c r="C665" i="10"/>
  <c r="F665" i="10"/>
  <c r="C666" i="10"/>
  <c r="F666" i="10"/>
  <c r="C667" i="10"/>
  <c r="F667" i="10"/>
  <c r="C668" i="10"/>
  <c r="F668" i="10"/>
  <c r="C669" i="10"/>
  <c r="F669" i="10"/>
  <c r="C670" i="10"/>
  <c r="F670" i="10"/>
  <c r="C671" i="10"/>
  <c r="F671" i="10"/>
  <c r="C672" i="10"/>
  <c r="F672" i="10"/>
  <c r="C673" i="10"/>
  <c r="F673" i="10"/>
  <c r="C674" i="10"/>
  <c r="F674" i="10"/>
  <c r="C675" i="10"/>
  <c r="F675" i="10"/>
  <c r="C676" i="10"/>
  <c r="F676" i="10"/>
  <c r="C677" i="10"/>
  <c r="F677" i="10"/>
  <c r="C678" i="10"/>
  <c r="F678" i="10"/>
  <c r="C679" i="10"/>
  <c r="F679" i="10"/>
  <c r="C680" i="10"/>
  <c r="F680" i="10"/>
  <c r="C681" i="10"/>
  <c r="F681" i="10"/>
  <c r="C682" i="10"/>
  <c r="F682" i="10"/>
  <c r="C683" i="10"/>
  <c r="F683" i="10"/>
  <c r="C684" i="10"/>
  <c r="F684" i="10"/>
  <c r="C685" i="10"/>
  <c r="F685" i="10"/>
  <c r="C686" i="10"/>
  <c r="F686" i="10"/>
  <c r="C687" i="10"/>
  <c r="F687" i="10"/>
  <c r="C688" i="10"/>
  <c r="F688" i="10"/>
  <c r="C689" i="10"/>
  <c r="F689" i="10"/>
  <c r="C690" i="10"/>
  <c r="F690" i="10"/>
  <c r="C691" i="10"/>
  <c r="F691" i="10"/>
  <c r="C692" i="10"/>
  <c r="F692" i="10"/>
  <c r="C693" i="10"/>
  <c r="F693" i="10"/>
  <c r="C694" i="10"/>
  <c r="F694" i="10"/>
  <c r="C695" i="10"/>
  <c r="F695" i="10"/>
  <c r="C696" i="10"/>
  <c r="F696" i="10"/>
  <c r="C697" i="10"/>
  <c r="F697" i="10"/>
  <c r="C698" i="10"/>
  <c r="F698" i="10"/>
  <c r="C699" i="10"/>
  <c r="F699" i="10"/>
  <c r="C700" i="10"/>
  <c r="F700" i="10"/>
  <c r="C701" i="10"/>
  <c r="F701" i="10"/>
  <c r="C702" i="10"/>
  <c r="F702" i="10"/>
  <c r="C703" i="10"/>
  <c r="F703" i="10"/>
  <c r="C704" i="10"/>
  <c r="F704" i="10"/>
  <c r="C705" i="10"/>
  <c r="F705" i="10"/>
  <c r="C706" i="10"/>
  <c r="F706" i="10"/>
  <c r="C707" i="10"/>
  <c r="F707" i="10"/>
  <c r="C708" i="10"/>
  <c r="F708" i="10"/>
  <c r="C709" i="10"/>
  <c r="F709" i="10"/>
  <c r="C710" i="10"/>
  <c r="F710" i="10"/>
  <c r="C711" i="10"/>
  <c r="F711" i="10"/>
  <c r="C712" i="10"/>
  <c r="F712" i="10"/>
  <c r="C713" i="10"/>
  <c r="F713" i="10"/>
  <c r="C714" i="10"/>
  <c r="F714" i="10"/>
  <c r="C715" i="10"/>
  <c r="F715" i="10"/>
  <c r="C716" i="10"/>
  <c r="F716" i="10"/>
  <c r="C717" i="10"/>
  <c r="F717" i="10"/>
  <c r="C718" i="10"/>
  <c r="F718" i="10"/>
  <c r="C719" i="10"/>
  <c r="F719" i="10"/>
  <c r="C720" i="10"/>
  <c r="F720" i="10"/>
  <c r="C721" i="10"/>
  <c r="F721" i="10"/>
  <c r="C722" i="10"/>
  <c r="F722" i="10"/>
  <c r="C723" i="10"/>
  <c r="F723" i="10"/>
  <c r="C724" i="10"/>
  <c r="F724" i="10"/>
  <c r="C725" i="10"/>
  <c r="F725" i="10"/>
  <c r="C726" i="10"/>
  <c r="F726" i="10"/>
  <c r="C727" i="10"/>
  <c r="F727" i="10"/>
  <c r="C728" i="10"/>
  <c r="F728" i="10"/>
  <c r="C729" i="10"/>
  <c r="F729" i="10"/>
  <c r="C730" i="10"/>
  <c r="F730" i="10"/>
  <c r="C731" i="10"/>
  <c r="F731" i="10"/>
  <c r="C732" i="10"/>
  <c r="F732" i="10"/>
  <c r="C733" i="10"/>
  <c r="F733" i="10"/>
  <c r="C734" i="10"/>
  <c r="F734" i="10"/>
  <c r="C735" i="10"/>
  <c r="F735" i="10"/>
  <c r="C736" i="10"/>
  <c r="F736" i="10"/>
  <c r="C737" i="10"/>
  <c r="F737" i="10"/>
  <c r="C738" i="10"/>
  <c r="F738" i="10"/>
  <c r="C739" i="10"/>
  <c r="F739" i="10"/>
  <c r="C740" i="10"/>
  <c r="F740" i="10"/>
  <c r="C741" i="10"/>
  <c r="F741" i="10"/>
  <c r="C742" i="10"/>
  <c r="F742" i="10"/>
  <c r="C743" i="10"/>
  <c r="F743" i="10"/>
  <c r="C744" i="10"/>
  <c r="F744" i="10"/>
  <c r="C745" i="10"/>
  <c r="F745" i="10"/>
  <c r="C746" i="10"/>
  <c r="F746" i="10"/>
  <c r="C747" i="10"/>
  <c r="F747" i="10"/>
  <c r="C748" i="10"/>
  <c r="F748" i="10"/>
  <c r="C749" i="10"/>
  <c r="F749" i="10"/>
  <c r="C750" i="10"/>
  <c r="F750" i="10"/>
  <c r="C751" i="10"/>
  <c r="F751" i="10"/>
  <c r="C752" i="10"/>
  <c r="F752" i="10"/>
  <c r="C753" i="10"/>
  <c r="F753" i="10"/>
  <c r="C754" i="10"/>
  <c r="F754" i="10"/>
  <c r="C755" i="10"/>
  <c r="F755" i="10"/>
  <c r="C756" i="10"/>
  <c r="F756" i="10"/>
  <c r="C757" i="10"/>
  <c r="F757" i="10"/>
  <c r="C758" i="10"/>
  <c r="F758" i="10"/>
  <c r="C759" i="10"/>
  <c r="F759" i="10"/>
  <c r="C760" i="10"/>
  <c r="F760" i="10"/>
  <c r="C761" i="10"/>
  <c r="F761" i="10"/>
  <c r="C762" i="10"/>
  <c r="F762" i="10"/>
  <c r="C763" i="10"/>
  <c r="F763" i="10"/>
  <c r="C764" i="10"/>
  <c r="F764" i="10"/>
  <c r="C765" i="10"/>
  <c r="F765" i="10"/>
  <c r="C766" i="10"/>
  <c r="F766" i="10"/>
  <c r="C767" i="10"/>
  <c r="F767" i="10"/>
  <c r="C768" i="10"/>
  <c r="F768" i="10"/>
  <c r="C769" i="10"/>
  <c r="F769" i="10"/>
  <c r="C770" i="10"/>
  <c r="F770" i="10"/>
  <c r="C771" i="10"/>
  <c r="F771" i="10"/>
  <c r="C772" i="10"/>
  <c r="F772" i="10"/>
  <c r="C773" i="10"/>
  <c r="F773" i="10"/>
  <c r="C774" i="10"/>
  <c r="F774" i="10"/>
  <c r="C775" i="10"/>
  <c r="F775" i="10"/>
  <c r="C776" i="10"/>
  <c r="F776" i="10"/>
  <c r="C777" i="10"/>
  <c r="F777" i="10"/>
  <c r="C778" i="10"/>
  <c r="F778" i="10"/>
  <c r="C779" i="10"/>
  <c r="F779" i="10"/>
  <c r="C780" i="10"/>
  <c r="F780" i="10"/>
  <c r="C781" i="10"/>
  <c r="F781" i="10"/>
  <c r="C782" i="10"/>
  <c r="F782" i="10"/>
  <c r="C783" i="10"/>
  <c r="F783" i="10"/>
  <c r="C784" i="10"/>
  <c r="F784" i="10"/>
  <c r="C785" i="10"/>
  <c r="F785" i="10"/>
  <c r="C786" i="10"/>
  <c r="F786" i="10"/>
  <c r="C787" i="10"/>
  <c r="F787" i="10"/>
  <c r="C788" i="10"/>
  <c r="F788" i="10"/>
  <c r="C789" i="10"/>
  <c r="F789" i="10"/>
  <c r="C790" i="10"/>
  <c r="F790" i="10"/>
  <c r="C791" i="10"/>
  <c r="F791" i="10"/>
  <c r="C792" i="10"/>
  <c r="F792" i="10"/>
  <c r="C793" i="10"/>
  <c r="F793" i="10"/>
  <c r="C794" i="10"/>
  <c r="F794" i="10"/>
  <c r="C795" i="10"/>
  <c r="F795" i="10"/>
  <c r="C796" i="10"/>
  <c r="F796" i="10"/>
  <c r="C797" i="10"/>
  <c r="F797" i="10"/>
  <c r="C798" i="10"/>
  <c r="F798" i="10"/>
  <c r="C799" i="10"/>
  <c r="F799" i="10"/>
  <c r="C800" i="10"/>
  <c r="F800" i="10"/>
  <c r="C801" i="10"/>
  <c r="F801" i="10"/>
  <c r="C802" i="10"/>
  <c r="F802" i="10"/>
  <c r="C803" i="10"/>
  <c r="F803" i="10"/>
  <c r="C804" i="10"/>
  <c r="F804" i="10"/>
  <c r="C805" i="10"/>
  <c r="F805" i="10"/>
  <c r="C806" i="10"/>
  <c r="F806" i="10"/>
  <c r="C807" i="10"/>
  <c r="F807" i="10"/>
  <c r="C808" i="10"/>
  <c r="F808" i="10"/>
  <c r="C809" i="10"/>
  <c r="F809" i="10"/>
  <c r="C810" i="10"/>
  <c r="F810" i="10"/>
  <c r="C811" i="10"/>
  <c r="F811" i="10"/>
  <c r="C812" i="10"/>
  <c r="F812" i="10"/>
  <c r="C813" i="10"/>
  <c r="F813" i="10"/>
  <c r="C814" i="10"/>
  <c r="F814" i="10"/>
  <c r="C815" i="10"/>
  <c r="F815" i="10"/>
  <c r="C816" i="10"/>
  <c r="F816" i="10"/>
  <c r="C817" i="10"/>
  <c r="F817" i="10"/>
  <c r="C818" i="10"/>
  <c r="F818" i="10"/>
  <c r="C819" i="10"/>
  <c r="F819" i="10"/>
  <c r="C820" i="10"/>
  <c r="F820" i="10"/>
  <c r="C821" i="10"/>
  <c r="F821" i="10"/>
  <c r="C822" i="10"/>
  <c r="F822" i="10"/>
  <c r="C823" i="10"/>
  <c r="F823" i="10"/>
  <c r="C824" i="10"/>
  <c r="F824" i="10"/>
  <c r="C825" i="10"/>
  <c r="F825" i="10"/>
  <c r="C826" i="10"/>
  <c r="F826" i="10"/>
  <c r="C827" i="10"/>
  <c r="F827" i="10"/>
  <c r="C828" i="10"/>
  <c r="F828" i="10"/>
  <c r="C829" i="10"/>
  <c r="F829" i="10"/>
  <c r="C830" i="10"/>
  <c r="F830" i="10"/>
  <c r="C831" i="10"/>
  <c r="F831" i="10"/>
  <c r="C832" i="10"/>
  <c r="F832" i="10"/>
  <c r="C833" i="10"/>
  <c r="F833" i="10"/>
  <c r="C834" i="10"/>
  <c r="F834" i="10"/>
  <c r="C835" i="10"/>
  <c r="F835" i="10"/>
  <c r="C836" i="10"/>
  <c r="F836" i="10"/>
  <c r="C837" i="10"/>
  <c r="F837" i="10"/>
  <c r="C838" i="10"/>
  <c r="F838" i="10"/>
  <c r="C839" i="10"/>
  <c r="F839" i="10"/>
  <c r="C840" i="10"/>
  <c r="F840" i="10"/>
  <c r="C841" i="10"/>
  <c r="F841" i="10"/>
  <c r="C842" i="10"/>
  <c r="F842" i="10"/>
  <c r="C843" i="10"/>
  <c r="F843" i="10"/>
  <c r="C844" i="10"/>
  <c r="F844" i="10"/>
  <c r="C845" i="10"/>
  <c r="F845" i="10"/>
  <c r="C846" i="10"/>
  <c r="F846" i="10"/>
  <c r="C847" i="10"/>
  <c r="F847" i="10"/>
  <c r="C848" i="10"/>
  <c r="F848" i="10"/>
  <c r="C849" i="10"/>
  <c r="F849" i="10"/>
  <c r="C850" i="10"/>
  <c r="F850" i="10"/>
  <c r="C851" i="10"/>
  <c r="F851" i="10"/>
  <c r="C852" i="10"/>
  <c r="F852" i="10"/>
  <c r="C853" i="10"/>
  <c r="F853" i="10"/>
  <c r="C854" i="10"/>
  <c r="F854" i="10"/>
  <c r="C855" i="10"/>
  <c r="F855" i="10"/>
  <c r="C856" i="10"/>
  <c r="F856" i="10"/>
  <c r="C857" i="10"/>
  <c r="F857" i="10"/>
  <c r="C858" i="10"/>
  <c r="F858" i="10"/>
  <c r="C859" i="10"/>
  <c r="F859" i="10"/>
  <c r="C860" i="10"/>
  <c r="F860" i="10"/>
  <c r="C861" i="10"/>
  <c r="F861" i="10"/>
  <c r="C862" i="10"/>
  <c r="F862" i="10"/>
  <c r="C863" i="10"/>
  <c r="F863" i="10"/>
  <c r="C864" i="10"/>
  <c r="F864" i="10"/>
  <c r="C865" i="10"/>
  <c r="F865" i="10"/>
  <c r="C866" i="10"/>
  <c r="F866" i="10"/>
  <c r="C867" i="10"/>
  <c r="F867" i="10"/>
  <c r="C868" i="10"/>
  <c r="F868" i="10"/>
  <c r="C869" i="10"/>
  <c r="F869" i="10"/>
  <c r="C870" i="10"/>
  <c r="F870" i="10"/>
  <c r="C871" i="10"/>
  <c r="F871" i="10"/>
  <c r="C872" i="10"/>
  <c r="F872" i="10"/>
  <c r="C873" i="10"/>
  <c r="F873" i="10"/>
  <c r="C874" i="10"/>
  <c r="F874" i="10"/>
  <c r="C875" i="10"/>
  <c r="F875" i="10"/>
  <c r="C876" i="10"/>
  <c r="F876" i="10"/>
  <c r="C877" i="10"/>
  <c r="F877" i="10"/>
  <c r="C878" i="10"/>
  <c r="F878" i="10"/>
  <c r="C879" i="10"/>
  <c r="F879" i="10"/>
  <c r="C880" i="10"/>
  <c r="F880" i="10"/>
  <c r="C881" i="10"/>
  <c r="F881" i="10"/>
  <c r="C882" i="10"/>
  <c r="F882" i="10"/>
  <c r="C883" i="10"/>
  <c r="F883" i="10"/>
  <c r="C884" i="10"/>
  <c r="F884" i="10"/>
  <c r="C885" i="10"/>
  <c r="F885" i="10"/>
  <c r="C886" i="10"/>
  <c r="F886" i="10"/>
  <c r="C887" i="10"/>
  <c r="F887" i="10"/>
  <c r="C888" i="10"/>
  <c r="F888" i="10"/>
  <c r="C889" i="10"/>
  <c r="F889" i="10"/>
  <c r="C890" i="10"/>
  <c r="F890" i="10"/>
  <c r="C891" i="10"/>
  <c r="F891" i="10"/>
  <c r="C892" i="10"/>
  <c r="F892" i="10"/>
  <c r="C893" i="10"/>
  <c r="F893" i="10"/>
  <c r="C894" i="10"/>
  <c r="F894" i="10"/>
  <c r="C895" i="10"/>
  <c r="F895" i="10"/>
  <c r="C896" i="10"/>
  <c r="F896" i="10"/>
  <c r="C897" i="10"/>
  <c r="F897" i="10"/>
  <c r="C898" i="10"/>
  <c r="F898" i="10"/>
  <c r="C899" i="10"/>
  <c r="F899" i="10"/>
  <c r="C900" i="10"/>
  <c r="F900" i="10"/>
  <c r="C901" i="10"/>
  <c r="F901" i="10"/>
  <c r="C902" i="10"/>
  <c r="F902" i="10"/>
  <c r="C903" i="10"/>
  <c r="F903" i="10"/>
  <c r="C904" i="10"/>
  <c r="F904" i="10"/>
  <c r="C905" i="10"/>
  <c r="F905" i="10"/>
  <c r="C906" i="10"/>
  <c r="F906" i="10"/>
  <c r="C907" i="10"/>
  <c r="F907" i="10"/>
  <c r="C908" i="10"/>
  <c r="F908" i="10"/>
  <c r="C909" i="10"/>
  <c r="F909" i="10"/>
  <c r="C910" i="10"/>
  <c r="F910" i="10"/>
  <c r="C911" i="10"/>
  <c r="F911" i="10"/>
  <c r="C912" i="10"/>
  <c r="F912" i="10"/>
  <c r="C913" i="10"/>
  <c r="F913" i="10"/>
  <c r="C914" i="10"/>
  <c r="F914" i="10"/>
  <c r="C915" i="10"/>
  <c r="F915" i="10"/>
  <c r="C916" i="10"/>
  <c r="F916" i="10"/>
  <c r="C917" i="10"/>
  <c r="F917" i="10"/>
  <c r="C918" i="10"/>
  <c r="F918" i="10"/>
  <c r="C919" i="10"/>
  <c r="F919" i="10"/>
  <c r="C920" i="10"/>
  <c r="F920" i="10"/>
  <c r="C921" i="10"/>
  <c r="F921" i="10"/>
  <c r="C922" i="10"/>
  <c r="F922" i="10"/>
  <c r="C923" i="10"/>
  <c r="F923" i="10"/>
  <c r="C924" i="10"/>
  <c r="F924" i="10"/>
  <c r="C925" i="10"/>
  <c r="F925" i="10"/>
  <c r="C926" i="10"/>
  <c r="F926" i="10"/>
  <c r="C927" i="10"/>
  <c r="F927" i="10"/>
  <c r="C928" i="10"/>
  <c r="F928" i="10"/>
  <c r="C929" i="10"/>
  <c r="F929" i="10"/>
  <c r="C930" i="10"/>
  <c r="F930" i="10"/>
  <c r="C931" i="10"/>
  <c r="F931" i="10"/>
  <c r="C932" i="10"/>
  <c r="F932" i="10"/>
  <c r="C933" i="10"/>
  <c r="F933" i="10"/>
  <c r="C934" i="10"/>
  <c r="F934" i="10"/>
  <c r="C935" i="10"/>
  <c r="F935" i="10"/>
  <c r="C936" i="10"/>
  <c r="F936" i="10"/>
  <c r="C937" i="10"/>
  <c r="F937" i="10"/>
  <c r="C938" i="10"/>
  <c r="F938" i="10"/>
  <c r="C939" i="10"/>
  <c r="F939" i="10"/>
  <c r="C940" i="10"/>
  <c r="F940" i="10"/>
  <c r="C941" i="10"/>
  <c r="F941" i="10"/>
  <c r="C942" i="10"/>
  <c r="F942" i="10"/>
  <c r="C943" i="10"/>
  <c r="F943" i="10"/>
  <c r="C944" i="10"/>
  <c r="F944" i="10"/>
  <c r="C945" i="10"/>
  <c r="F945" i="10"/>
  <c r="C946" i="10"/>
  <c r="F946" i="10"/>
  <c r="C947" i="10"/>
  <c r="F947" i="10"/>
  <c r="C948" i="10"/>
  <c r="F948" i="10"/>
  <c r="C949" i="10"/>
  <c r="F949" i="10"/>
  <c r="C950" i="10"/>
  <c r="F950" i="10"/>
  <c r="C951" i="10"/>
  <c r="F951" i="10"/>
  <c r="C952" i="10"/>
  <c r="F952" i="10"/>
  <c r="C953" i="10"/>
  <c r="F953" i="10"/>
  <c r="C954" i="10"/>
  <c r="F954" i="10"/>
  <c r="C955" i="10"/>
  <c r="F955" i="10"/>
  <c r="C956" i="10"/>
  <c r="F956" i="10"/>
  <c r="C957" i="10"/>
  <c r="F957" i="10"/>
  <c r="C958" i="10"/>
  <c r="F958" i="10"/>
  <c r="C959" i="10"/>
  <c r="F959" i="10"/>
  <c r="C960" i="10"/>
  <c r="F960" i="10"/>
  <c r="C961" i="10"/>
  <c r="F961" i="10"/>
  <c r="C962" i="10"/>
  <c r="F962" i="10"/>
  <c r="C963" i="10"/>
  <c r="F963" i="10"/>
  <c r="C964" i="10"/>
  <c r="F964" i="10"/>
  <c r="C965" i="10"/>
  <c r="F965" i="10"/>
  <c r="C966" i="10"/>
  <c r="F966" i="10"/>
  <c r="C967" i="10"/>
  <c r="F967" i="10"/>
  <c r="C968" i="10"/>
  <c r="F968" i="10"/>
  <c r="C969" i="10"/>
  <c r="F969" i="10"/>
  <c r="C970" i="10"/>
  <c r="F970" i="10"/>
  <c r="C971" i="10"/>
  <c r="F971" i="10"/>
  <c r="C972" i="10"/>
  <c r="F972" i="10"/>
  <c r="C973" i="10"/>
  <c r="F973" i="10"/>
  <c r="C974" i="10"/>
  <c r="F974" i="10"/>
  <c r="C975" i="10"/>
  <c r="F975" i="10"/>
  <c r="C976" i="10"/>
  <c r="F976" i="10"/>
  <c r="C977" i="10"/>
  <c r="F977" i="10"/>
  <c r="C978" i="10"/>
  <c r="F978" i="10"/>
  <c r="C979" i="10"/>
  <c r="F979" i="10"/>
  <c r="C980" i="10"/>
  <c r="F980" i="10"/>
  <c r="C981" i="10"/>
  <c r="F981" i="10"/>
  <c r="C982" i="10"/>
  <c r="F982" i="10"/>
  <c r="C983" i="10"/>
  <c r="F983" i="10"/>
  <c r="C984" i="10"/>
  <c r="F984" i="10"/>
  <c r="C985" i="10"/>
  <c r="F985" i="10"/>
  <c r="C986" i="10"/>
  <c r="F986" i="10"/>
  <c r="C987" i="10"/>
  <c r="F987" i="10"/>
  <c r="C988" i="10"/>
  <c r="F988" i="10"/>
  <c r="C989" i="10"/>
  <c r="F989" i="10"/>
  <c r="C990" i="10"/>
  <c r="F990" i="10"/>
  <c r="C991" i="10"/>
  <c r="F991" i="10"/>
  <c r="C992" i="10"/>
  <c r="F992" i="10"/>
  <c r="C993" i="10"/>
  <c r="F993" i="10"/>
  <c r="C994" i="10"/>
  <c r="F994" i="10"/>
  <c r="C995" i="10"/>
  <c r="F995" i="10"/>
  <c r="C996" i="10"/>
  <c r="F996" i="10"/>
  <c r="C997" i="10"/>
  <c r="F997" i="10"/>
  <c r="C998" i="10"/>
  <c r="F998" i="10"/>
  <c r="C999" i="10"/>
  <c r="F999" i="10"/>
  <c r="C1000" i="10"/>
  <c r="F1000" i="10"/>
  <c r="C41" i="10"/>
  <c r="F41" i="10"/>
  <c r="C42" i="10"/>
  <c r="F42" i="10"/>
  <c r="C43" i="10"/>
  <c r="F43" i="10"/>
  <c r="C44" i="10"/>
  <c r="F44" i="10"/>
  <c r="C45" i="10"/>
  <c r="F45" i="10"/>
  <c r="C46" i="10"/>
  <c r="F46" i="10"/>
  <c r="C47" i="10"/>
  <c r="F47" i="10"/>
  <c r="C48" i="10"/>
  <c r="F48" i="10"/>
  <c r="C49" i="10"/>
  <c r="F49" i="10"/>
  <c r="C50" i="10"/>
  <c r="F50" i="10"/>
  <c r="C51" i="10"/>
  <c r="F51" i="10"/>
  <c r="C52" i="10"/>
  <c r="F52" i="10"/>
  <c r="C53" i="10"/>
  <c r="F53" i="10"/>
  <c r="C54" i="10"/>
  <c r="F54" i="10"/>
  <c r="C55" i="10"/>
  <c r="F55" i="10"/>
  <c r="C56" i="10"/>
  <c r="F56" i="10"/>
  <c r="C57" i="10"/>
  <c r="F57" i="10"/>
  <c r="C58" i="10"/>
  <c r="F58" i="10"/>
  <c r="C59" i="10"/>
  <c r="F59" i="10"/>
  <c r="C60" i="10"/>
  <c r="F60" i="10"/>
  <c r="C61" i="10"/>
  <c r="F61" i="10"/>
  <c r="C62" i="10"/>
  <c r="F62" i="10"/>
  <c r="C63" i="10"/>
  <c r="F63" i="10"/>
  <c r="C64" i="10"/>
  <c r="F64" i="10"/>
  <c r="C65" i="10"/>
  <c r="F65" i="10"/>
  <c r="C66" i="10"/>
  <c r="F66" i="10"/>
  <c r="C67" i="10"/>
  <c r="F67" i="10"/>
  <c r="C68" i="10"/>
  <c r="F68" i="10"/>
  <c r="C69" i="10"/>
  <c r="F69" i="10"/>
  <c r="C70" i="10"/>
  <c r="F70" i="10"/>
  <c r="C71" i="10"/>
  <c r="F71" i="10"/>
  <c r="C72" i="10"/>
  <c r="F72" i="10"/>
  <c r="C73" i="10"/>
  <c r="F73" i="10"/>
  <c r="C74" i="10"/>
  <c r="F74" i="10"/>
  <c r="C75" i="10"/>
  <c r="F75" i="10"/>
  <c r="C76" i="10"/>
  <c r="F76" i="10"/>
  <c r="C77" i="10"/>
  <c r="F77" i="10"/>
  <c r="C78" i="10"/>
  <c r="F78" i="10"/>
  <c r="C79" i="10"/>
  <c r="F79" i="10"/>
  <c r="C80" i="10"/>
  <c r="F80" i="10"/>
  <c r="C81" i="10"/>
  <c r="F81" i="10"/>
  <c r="C82" i="10"/>
  <c r="F82" i="10"/>
  <c r="C83" i="10"/>
  <c r="F83" i="10"/>
  <c r="C84" i="10"/>
  <c r="F84" i="10"/>
  <c r="C85" i="10"/>
  <c r="F85" i="10"/>
  <c r="C86" i="10"/>
  <c r="F86" i="10"/>
  <c r="C87" i="10"/>
  <c r="F87" i="10"/>
  <c r="C88" i="10"/>
  <c r="F88" i="10"/>
  <c r="C89" i="10"/>
  <c r="F89" i="10"/>
  <c r="C90" i="10"/>
  <c r="F90" i="10"/>
  <c r="C91" i="10"/>
  <c r="F91" i="10"/>
  <c r="C92" i="10"/>
  <c r="F92" i="10"/>
  <c r="C93" i="10"/>
  <c r="F93" i="10"/>
  <c r="C94" i="10"/>
  <c r="F94" i="10"/>
  <c r="C95" i="10"/>
  <c r="F95" i="10"/>
  <c r="C96" i="10"/>
  <c r="F96" i="10"/>
  <c r="C97" i="10"/>
  <c r="F97" i="10"/>
  <c r="C98" i="10"/>
  <c r="F98" i="10"/>
  <c r="C99" i="10"/>
  <c r="F99" i="10"/>
  <c r="C100" i="10"/>
  <c r="F100" i="10"/>
  <c r="F39" i="10"/>
  <c r="F40" i="10"/>
  <c r="C39" i="10"/>
  <c r="C40" i="10"/>
  <c r="J18" i="19"/>
  <c r="J19" i="19"/>
  <c r="J20" i="19"/>
  <c r="J21" i="19"/>
  <c r="J22" i="19"/>
  <c r="J23" i="19"/>
  <c r="J24" i="19"/>
  <c r="J25" i="19"/>
  <c r="J26" i="19"/>
  <c r="J27" i="19"/>
  <c r="J28" i="19"/>
  <c r="J29" i="19"/>
  <c r="J30" i="19"/>
  <c r="J17" i="19"/>
  <c r="J16" i="19"/>
  <c r="C13" i="19"/>
  <c r="C12" i="19"/>
  <c r="F7" i="10"/>
  <c r="F35" i="10"/>
  <c r="F36" i="10"/>
  <c r="F37" i="10"/>
  <c r="C38" i="10"/>
  <c r="D5" i="15"/>
  <c r="C5" i="15"/>
  <c r="M19" i="19"/>
  <c r="N19" i="19" s="1"/>
  <c r="M20" i="19"/>
  <c r="N20" i="19" s="1"/>
  <c r="M21" i="19"/>
  <c r="N21" i="19" s="1"/>
  <c r="M22" i="19"/>
  <c r="N22" i="19" s="1"/>
  <c r="M23" i="19"/>
  <c r="N23" i="19" s="1"/>
  <c r="M24" i="19"/>
  <c r="N24" i="19" s="1"/>
  <c r="M25" i="19"/>
  <c r="N25" i="19" s="1"/>
  <c r="M26" i="19"/>
  <c r="N26" i="19" s="1"/>
  <c r="M27" i="19"/>
  <c r="N27" i="19" s="1"/>
  <c r="M28" i="19"/>
  <c r="N28" i="19" s="1"/>
  <c r="M29" i="19"/>
  <c r="N29" i="19" s="1"/>
  <c r="M30" i="19"/>
  <c r="N30" i="19" s="1"/>
  <c r="K17" i="19"/>
  <c r="L17" i="19"/>
  <c r="K18" i="19"/>
  <c r="L18" i="19"/>
  <c r="K19" i="19"/>
  <c r="L19" i="19"/>
  <c r="K20" i="19"/>
  <c r="L20" i="19"/>
  <c r="K21" i="19"/>
  <c r="L21" i="19"/>
  <c r="K22" i="19"/>
  <c r="L22" i="19"/>
  <c r="K23" i="19"/>
  <c r="L23" i="19"/>
  <c r="K24" i="19"/>
  <c r="L24" i="19"/>
  <c r="K25" i="19"/>
  <c r="L25" i="19"/>
  <c r="K26" i="19"/>
  <c r="L26" i="19"/>
  <c r="K27" i="19"/>
  <c r="L27" i="19"/>
  <c r="K28" i="19"/>
  <c r="L28" i="19"/>
  <c r="K29" i="19"/>
  <c r="L29" i="19"/>
  <c r="K30" i="19"/>
  <c r="L30" i="19"/>
  <c r="L16" i="19"/>
  <c r="K16" i="19"/>
  <c r="E17" i="19"/>
  <c r="F17" i="19" s="1"/>
  <c r="E18" i="19"/>
  <c r="F18" i="19" s="1"/>
  <c r="E19" i="19"/>
  <c r="F19" i="19" s="1"/>
  <c r="E20" i="19"/>
  <c r="F20" i="19" s="1"/>
  <c r="E21" i="19"/>
  <c r="F21" i="19" s="1"/>
  <c r="E22" i="19"/>
  <c r="F22" i="19" s="1"/>
  <c r="E23" i="19"/>
  <c r="F23" i="19" s="1"/>
  <c r="E24" i="19"/>
  <c r="F24" i="19" s="1"/>
  <c r="E25" i="19"/>
  <c r="F25" i="19" s="1"/>
  <c r="E26" i="19"/>
  <c r="F26" i="19" s="1"/>
  <c r="E27" i="19"/>
  <c r="F27" i="19" s="1"/>
  <c r="E28" i="19"/>
  <c r="F28" i="19" s="1"/>
  <c r="E29" i="19"/>
  <c r="F29" i="19" s="1"/>
  <c r="E30" i="19"/>
  <c r="F30" i="19" s="1"/>
  <c r="E16" i="19"/>
  <c r="F16" i="19" s="1"/>
  <c r="B17" i="19"/>
  <c r="B18" i="19"/>
  <c r="B19" i="19"/>
  <c r="B20" i="19"/>
  <c r="B21" i="19"/>
  <c r="B22" i="19"/>
  <c r="B23" i="19"/>
  <c r="B24" i="19"/>
  <c r="B25" i="19"/>
  <c r="B26" i="19"/>
  <c r="B27" i="19"/>
  <c r="B28" i="19"/>
  <c r="B29" i="19"/>
  <c r="B30" i="19"/>
  <c r="B16" i="19"/>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M18" i="19" l="1"/>
  <c r="N18" i="19" s="1"/>
  <c r="F32" i="19"/>
  <c r="F33" i="19" s="1"/>
  <c r="F34" i="19" s="1"/>
  <c r="E5" i="15" l="1"/>
  <c r="A921" i="14" l="1"/>
  <c r="B921" i="14"/>
  <c r="A922" i="14"/>
  <c r="B922" i="14"/>
  <c r="A923" i="14"/>
  <c r="B923" i="14"/>
  <c r="A924" i="14"/>
  <c r="B924" i="14"/>
  <c r="A925" i="14"/>
  <c r="B925" i="14"/>
  <c r="A926" i="14"/>
  <c r="B926" i="14"/>
  <c r="A927" i="14"/>
  <c r="B927" i="14"/>
  <c r="A928" i="14"/>
  <c r="B928" i="14"/>
  <c r="A929" i="14"/>
  <c r="B929" i="14"/>
  <c r="A930" i="14"/>
  <c r="B930" i="14"/>
  <c r="A931" i="14"/>
  <c r="B931" i="14"/>
  <c r="A932" i="14"/>
  <c r="B932" i="14"/>
  <c r="A933" i="14"/>
  <c r="B933" i="14"/>
  <c r="A934" i="14"/>
  <c r="B934" i="14"/>
  <c r="A935" i="14"/>
  <c r="B935" i="14"/>
  <c r="A936" i="14"/>
  <c r="B936" i="14"/>
  <c r="A937" i="14"/>
  <c r="B937" i="14"/>
  <c r="A938" i="14"/>
  <c r="B938" i="14"/>
  <c r="A939" i="14"/>
  <c r="B939" i="14"/>
  <c r="A940" i="14"/>
  <c r="B940" i="14"/>
  <c r="A941" i="14"/>
  <c r="B941" i="14"/>
  <c r="A942" i="14"/>
  <c r="B942" i="14"/>
  <c r="A943" i="14"/>
  <c r="B943" i="14"/>
  <c r="A944" i="14"/>
  <c r="B944" i="14"/>
  <c r="A945" i="14"/>
  <c r="B945" i="14"/>
  <c r="A946" i="14"/>
  <c r="B946" i="14"/>
  <c r="A947" i="14"/>
  <c r="B947" i="14"/>
  <c r="A948" i="14"/>
  <c r="B948" i="14"/>
  <c r="A949" i="14"/>
  <c r="B949" i="14"/>
  <c r="A950" i="14"/>
  <c r="B950" i="14"/>
  <c r="A951" i="14"/>
  <c r="B951" i="14"/>
  <c r="A952" i="14"/>
  <c r="B952" i="14"/>
  <c r="A953" i="14"/>
  <c r="B953" i="14"/>
  <c r="A954" i="14"/>
  <c r="B954" i="14"/>
  <c r="A955" i="14"/>
  <c r="B955" i="14"/>
  <c r="A956" i="14"/>
  <c r="B956" i="14"/>
  <c r="A957" i="14"/>
  <c r="B957" i="14"/>
  <c r="A958" i="14"/>
  <c r="B958" i="14"/>
  <c r="A959" i="14"/>
  <c r="B959" i="14"/>
  <c r="A960" i="14"/>
  <c r="B960" i="14"/>
  <c r="A961" i="14"/>
  <c r="B961" i="14"/>
  <c r="A962" i="14"/>
  <c r="B962" i="14"/>
  <c r="A963" i="14"/>
  <c r="B963" i="14"/>
  <c r="A964" i="14"/>
  <c r="B964" i="14"/>
  <c r="A965" i="14"/>
  <c r="B965" i="14"/>
  <c r="A966" i="14"/>
  <c r="B966" i="14"/>
  <c r="A967" i="14"/>
  <c r="B967" i="14"/>
  <c r="A968" i="14"/>
  <c r="B968" i="14"/>
  <c r="A969" i="14"/>
  <c r="B969" i="14"/>
  <c r="A970" i="14"/>
  <c r="B970" i="14"/>
  <c r="A971" i="14"/>
  <c r="B971" i="14"/>
  <c r="A972" i="14"/>
  <c r="B972" i="14"/>
  <c r="A973" i="14"/>
  <c r="B973" i="14"/>
  <c r="A974" i="14"/>
  <c r="B974" i="14"/>
  <c r="A975" i="14"/>
  <c r="B975" i="14"/>
  <c r="A976" i="14"/>
  <c r="B976" i="14"/>
  <c r="A977" i="14"/>
  <c r="B977" i="14"/>
  <c r="A978" i="14"/>
  <c r="B978" i="14"/>
  <c r="A979" i="14"/>
  <c r="B979" i="14"/>
  <c r="A980" i="14"/>
  <c r="B980" i="14"/>
  <c r="A981" i="14"/>
  <c r="B981" i="14"/>
  <c r="A982" i="14"/>
  <c r="B982" i="14"/>
  <c r="A983" i="14"/>
  <c r="B983" i="14"/>
  <c r="A984" i="14"/>
  <c r="B984" i="14"/>
  <c r="A985" i="14"/>
  <c r="B985" i="14"/>
  <c r="A986" i="14"/>
  <c r="B986" i="14"/>
  <c r="A987" i="14"/>
  <c r="B987" i="14"/>
  <c r="A988" i="14"/>
  <c r="B988" i="14"/>
  <c r="A989" i="14"/>
  <c r="B989" i="14"/>
  <c r="A990" i="14"/>
  <c r="B990" i="14"/>
  <c r="A991" i="14"/>
  <c r="B991" i="14"/>
  <c r="A992" i="14"/>
  <c r="B992" i="14"/>
  <c r="A993" i="14"/>
  <c r="B993" i="14"/>
  <c r="A994" i="14"/>
  <c r="B994" i="14"/>
  <c r="A995" i="14"/>
  <c r="B995" i="14"/>
  <c r="A996" i="14"/>
  <c r="B996" i="14"/>
  <c r="A997" i="14"/>
  <c r="B997" i="14"/>
  <c r="A998" i="14"/>
  <c r="B998" i="14"/>
  <c r="A999" i="14"/>
  <c r="B999" i="14"/>
  <c r="A1000" i="14"/>
  <c r="B1000" i="14"/>
  <c r="A1001" i="14"/>
  <c r="B1001" i="14"/>
  <c r="A1002" i="14"/>
  <c r="B1002" i="14"/>
  <c r="A1003" i="14"/>
  <c r="B1003" i="14"/>
  <c r="A1004" i="14"/>
  <c r="B1004" i="14"/>
  <c r="A1005" i="14"/>
  <c r="B1005" i="14"/>
  <c r="A1006" i="14"/>
  <c r="B1006" i="14"/>
  <c r="A1007" i="14"/>
  <c r="B1007" i="14"/>
  <c r="A1008" i="14"/>
  <c r="B1008" i="14"/>
  <c r="A1009" i="14"/>
  <c r="B1009" i="14"/>
  <c r="A1010" i="14"/>
  <c r="B1010" i="14"/>
  <c r="A1011" i="14"/>
  <c r="B1011" i="14"/>
  <c r="A1012" i="14"/>
  <c r="B1012" i="14"/>
  <c r="A1013" i="14"/>
  <c r="B1013" i="14"/>
  <c r="A1014" i="14"/>
  <c r="B1014" i="14"/>
  <c r="A1015" i="14"/>
  <c r="B1015" i="14"/>
  <c r="A1016" i="14"/>
  <c r="B1016" i="14"/>
  <c r="A1017" i="14"/>
  <c r="B1017" i="14"/>
  <c r="A1018" i="14"/>
  <c r="B1018" i="14"/>
  <c r="A1019" i="14"/>
  <c r="B1019" i="14"/>
  <c r="A1020" i="14"/>
  <c r="B1020" i="14"/>
  <c r="A1021" i="14"/>
  <c r="B1021" i="14"/>
  <c r="A1022" i="14"/>
  <c r="B1022" i="14"/>
  <c r="A1023" i="14"/>
  <c r="B1023" i="14"/>
  <c r="A1024" i="14"/>
  <c r="B1024" i="14"/>
  <c r="A1025" i="14"/>
  <c r="B1025" i="14"/>
  <c r="A1026" i="14"/>
  <c r="B1026" i="14"/>
  <c r="A1027" i="14"/>
  <c r="B1027" i="14"/>
  <c r="A1028" i="14"/>
  <c r="B1028" i="14"/>
  <c r="A1029" i="14"/>
  <c r="B1029" i="14"/>
  <c r="A1030" i="14"/>
  <c r="B1030" i="14"/>
  <c r="A1031" i="14"/>
  <c r="B1031" i="14"/>
  <c r="A1032" i="14"/>
  <c r="B1032" i="14"/>
  <c r="A1033" i="14"/>
  <c r="B1033" i="14"/>
  <c r="A1034" i="14"/>
  <c r="B1034" i="14"/>
  <c r="A1035" i="14"/>
  <c r="B1035" i="14"/>
  <c r="A1036" i="14"/>
  <c r="B1036" i="14"/>
  <c r="A1037" i="14"/>
  <c r="B1037" i="14"/>
  <c r="A1038" i="14"/>
  <c r="B1038" i="14"/>
  <c r="A1039" i="14"/>
  <c r="B1039" i="14"/>
  <c r="A1040" i="14"/>
  <c r="B1040" i="14"/>
  <c r="A1041" i="14"/>
  <c r="B1041" i="14"/>
  <c r="A1042" i="14"/>
  <c r="B1042" i="14"/>
  <c r="A1043" i="14"/>
  <c r="B1043" i="14"/>
  <c r="A1044" i="14"/>
  <c r="B1044" i="14"/>
  <c r="A1045" i="14"/>
  <c r="B1045" i="14"/>
  <c r="A1046" i="14"/>
  <c r="B1046" i="14"/>
  <c r="A1047" i="14"/>
  <c r="B1047" i="14"/>
  <c r="A1048" i="14"/>
  <c r="B1048" i="14"/>
  <c r="A1049" i="14"/>
  <c r="B1049" i="14"/>
  <c r="A1050" i="14"/>
  <c r="B1050" i="14"/>
  <c r="A1051" i="14"/>
  <c r="B1051" i="14"/>
  <c r="A1052" i="14"/>
  <c r="B1052" i="14"/>
  <c r="A1053" i="14"/>
  <c r="B1053" i="14"/>
  <c r="A1054" i="14"/>
  <c r="B1054" i="14"/>
  <c r="A1055" i="14"/>
  <c r="B1055" i="14"/>
  <c r="A1056" i="14"/>
  <c r="B1056" i="14"/>
  <c r="A1057" i="14"/>
  <c r="B1057" i="14"/>
  <c r="A1058" i="14"/>
  <c r="B1058" i="14"/>
  <c r="A1059" i="14"/>
  <c r="B1059" i="14"/>
  <c r="A1060" i="14"/>
  <c r="B1060" i="14"/>
  <c r="A1061" i="14"/>
  <c r="B1061" i="14"/>
  <c r="A1062" i="14"/>
  <c r="B1062" i="14"/>
  <c r="A1063" i="14"/>
  <c r="B1063" i="14"/>
  <c r="A1064" i="14"/>
  <c r="B1064" i="14"/>
  <c r="A1065" i="14"/>
  <c r="B1065" i="14"/>
  <c r="A1066" i="14"/>
  <c r="B1066" i="14"/>
  <c r="A1067" i="14"/>
  <c r="B1067" i="14"/>
  <c r="A1068" i="14"/>
  <c r="B1068" i="14"/>
  <c r="A1069" i="14"/>
  <c r="B1069" i="14"/>
  <c r="A1070" i="14"/>
  <c r="B1070" i="14"/>
  <c r="A1071" i="14"/>
  <c r="B1071" i="14"/>
  <c r="A1072" i="14"/>
  <c r="B1072" i="14"/>
  <c r="A1073" i="14"/>
  <c r="B1073" i="14"/>
  <c r="A1074" i="14"/>
  <c r="B1074" i="14"/>
  <c r="A1075" i="14"/>
  <c r="B1075" i="14"/>
  <c r="A1076" i="14"/>
  <c r="B1076" i="14"/>
  <c r="A1077" i="14"/>
  <c r="B1077" i="14"/>
  <c r="A1078" i="14"/>
  <c r="B1078" i="14"/>
  <c r="A1079" i="14"/>
  <c r="B1079" i="14"/>
  <c r="A1080" i="14"/>
  <c r="B1080" i="14"/>
  <c r="A1081" i="14"/>
  <c r="B1081" i="14"/>
  <c r="A1082" i="14"/>
  <c r="B1082" i="14"/>
  <c r="A1083" i="14"/>
  <c r="B1083" i="14"/>
  <c r="A1084" i="14"/>
  <c r="B1084" i="14"/>
  <c r="A1085" i="14"/>
  <c r="B1085" i="14"/>
  <c r="A1086" i="14"/>
  <c r="B1086" i="14"/>
  <c r="A1087" i="14"/>
  <c r="B1087" i="14"/>
  <c r="A1088" i="14"/>
  <c r="B1088" i="14"/>
  <c r="A1089" i="14"/>
  <c r="B1089" i="14"/>
  <c r="A1090" i="14"/>
  <c r="B1090" i="14"/>
  <c r="A1091" i="14"/>
  <c r="B1091" i="14"/>
  <c r="A1092" i="14"/>
  <c r="B1092" i="14"/>
  <c r="A1093" i="14"/>
  <c r="B1093" i="14"/>
  <c r="A1094" i="14"/>
  <c r="B1094" i="14"/>
  <c r="A1095" i="14"/>
  <c r="B1095" i="14"/>
  <c r="A1096" i="14"/>
  <c r="B1096" i="14"/>
  <c r="A1097" i="14"/>
  <c r="B1097" i="14"/>
  <c r="A1098" i="14"/>
  <c r="B1098" i="14"/>
  <c r="A1099" i="14"/>
  <c r="B1099" i="14"/>
  <c r="A1100" i="14"/>
  <c r="B1100" i="14"/>
  <c r="A1101" i="14"/>
  <c r="B1101" i="14"/>
  <c r="A1102" i="14"/>
  <c r="B1102" i="14"/>
  <c r="A1103" i="14"/>
  <c r="B1103" i="14"/>
  <c r="A1104" i="14"/>
  <c r="B1104" i="14"/>
  <c r="A1105" i="14"/>
  <c r="B1105" i="14"/>
  <c r="A1106" i="14"/>
  <c r="B1106" i="14"/>
  <c r="A1107" i="14"/>
  <c r="B1107" i="14"/>
  <c r="A1108" i="14"/>
  <c r="B1108" i="14"/>
  <c r="A1109" i="14"/>
  <c r="B1109" i="14"/>
  <c r="A1110" i="14"/>
  <c r="B1110" i="14"/>
  <c r="A1111" i="14"/>
  <c r="B1111" i="14"/>
  <c r="A1112" i="14"/>
  <c r="B1112" i="14"/>
  <c r="A1113" i="14"/>
  <c r="B1113" i="14"/>
  <c r="A1114" i="14"/>
  <c r="B1114" i="14"/>
  <c r="A1115" i="14"/>
  <c r="B1115" i="14"/>
  <c r="A1116" i="14"/>
  <c r="B1116" i="14"/>
  <c r="A1117" i="14"/>
  <c r="B1117" i="14"/>
  <c r="A1118" i="14"/>
  <c r="B1118" i="14"/>
  <c r="A1119" i="14"/>
  <c r="B1119" i="14"/>
  <c r="A1120" i="14"/>
  <c r="B1120" i="14"/>
  <c r="A1121" i="14"/>
  <c r="B1121" i="14"/>
  <c r="A1122" i="14"/>
  <c r="B1122" i="14"/>
  <c r="A1123" i="14"/>
  <c r="B1123" i="14"/>
  <c r="A1124" i="14"/>
  <c r="B1124" i="14"/>
  <c r="A1125" i="14"/>
  <c r="B1125" i="14"/>
  <c r="A1126" i="14"/>
  <c r="B1126" i="14"/>
  <c r="A1127" i="14"/>
  <c r="B1127" i="14"/>
  <c r="A1128" i="14"/>
  <c r="B1128" i="14"/>
  <c r="A1129" i="14"/>
  <c r="B1129" i="14"/>
  <c r="A1130" i="14"/>
  <c r="B1130" i="14"/>
  <c r="A1131" i="14"/>
  <c r="B1131" i="14"/>
  <c r="A1132" i="14"/>
  <c r="B1132" i="14"/>
  <c r="A1133" i="14"/>
  <c r="B1133" i="14"/>
  <c r="A1134" i="14"/>
  <c r="B1134" i="14"/>
  <c r="A1135" i="14"/>
  <c r="B1135" i="14"/>
  <c r="A1136" i="14"/>
  <c r="B1136" i="14"/>
  <c r="A1137" i="14"/>
  <c r="B1137" i="14"/>
  <c r="A1138" i="14"/>
  <c r="B1138" i="14"/>
  <c r="A1139" i="14"/>
  <c r="B1139" i="14"/>
  <c r="A1140" i="14"/>
  <c r="B1140" i="14"/>
  <c r="A1141" i="14"/>
  <c r="B1141" i="14"/>
  <c r="A1142" i="14"/>
  <c r="B1142" i="14"/>
  <c r="A1143" i="14"/>
  <c r="B1143" i="14"/>
  <c r="A1144" i="14"/>
  <c r="B1144" i="14"/>
  <c r="A1145" i="14"/>
  <c r="B1145" i="14"/>
  <c r="A1146" i="14"/>
  <c r="B1146" i="14"/>
  <c r="A1147" i="14"/>
  <c r="B1147" i="14"/>
  <c r="A1148" i="14"/>
  <c r="B1148" i="14"/>
  <c r="A1149" i="14"/>
  <c r="B1149" i="14"/>
  <c r="A1150" i="14"/>
  <c r="B1150" i="14"/>
  <c r="A1151" i="14"/>
  <c r="B1151" i="14"/>
  <c r="A1152" i="14"/>
  <c r="B1152" i="14"/>
  <c r="A1153" i="14"/>
  <c r="B1153" i="14"/>
  <c r="A1154" i="14"/>
  <c r="B1154" i="14"/>
  <c r="A1155" i="14"/>
  <c r="B1155" i="14"/>
  <c r="A1156" i="14"/>
  <c r="B1156" i="14"/>
  <c r="A1157" i="14"/>
  <c r="B1157" i="14"/>
  <c r="A1158" i="14"/>
  <c r="B1158" i="14"/>
  <c r="A1159" i="14"/>
  <c r="B1159" i="14"/>
  <c r="A1160" i="14"/>
  <c r="B1160" i="14"/>
  <c r="A1161" i="14"/>
  <c r="B1161" i="14"/>
  <c r="A1162" i="14"/>
  <c r="B1162" i="14"/>
  <c r="A1163" i="14"/>
  <c r="B1163" i="14"/>
  <c r="A1164" i="14"/>
  <c r="B1164" i="14"/>
  <c r="A1165" i="14"/>
  <c r="B1165" i="14"/>
  <c r="A1166" i="14"/>
  <c r="B1166" i="14"/>
  <c r="A1167" i="14"/>
  <c r="B1167" i="14"/>
  <c r="A1168" i="14"/>
  <c r="B1168" i="14"/>
  <c r="A1169" i="14"/>
  <c r="B1169" i="14"/>
  <c r="A1170" i="14"/>
  <c r="B1170" i="14"/>
  <c r="A1171" i="14"/>
  <c r="B1171" i="14"/>
  <c r="A1172" i="14"/>
  <c r="B1172" i="14"/>
  <c r="A1173" i="14"/>
  <c r="B1173" i="14"/>
  <c r="A1174" i="14"/>
  <c r="B1174" i="14"/>
  <c r="A1175" i="14"/>
  <c r="B1175" i="14"/>
  <c r="A1176" i="14"/>
  <c r="B1176" i="14"/>
  <c r="A1177" i="14"/>
  <c r="B1177" i="14"/>
  <c r="A1178" i="14"/>
  <c r="B1178" i="14"/>
  <c r="A1179" i="14"/>
  <c r="B1179" i="14"/>
  <c r="A1180" i="14"/>
  <c r="B1180" i="14"/>
  <c r="A1181" i="14"/>
  <c r="B1181" i="14"/>
  <c r="A1182" i="14"/>
  <c r="B1182" i="14"/>
  <c r="A1183" i="14"/>
  <c r="B1183" i="14"/>
  <c r="A1184" i="14"/>
  <c r="B1184" i="14"/>
  <c r="A1185" i="14"/>
  <c r="B1185" i="14"/>
  <c r="A1186" i="14"/>
  <c r="B1186" i="14"/>
  <c r="A1187" i="14"/>
  <c r="B1187" i="14"/>
  <c r="A1188" i="14"/>
  <c r="B1188" i="14"/>
  <c r="A1189" i="14"/>
  <c r="B1189" i="14"/>
  <c r="A1190" i="14"/>
  <c r="B1190" i="14"/>
  <c r="A1191" i="14"/>
  <c r="B1191" i="14"/>
  <c r="A1192" i="14"/>
  <c r="B1192" i="14"/>
  <c r="A1193" i="14"/>
  <c r="B1193" i="14"/>
  <c r="A1194" i="14"/>
  <c r="B1194" i="14"/>
  <c r="A1195" i="14"/>
  <c r="B1195" i="14"/>
  <c r="A1196" i="14"/>
  <c r="B1196" i="14"/>
  <c r="A1197" i="14"/>
  <c r="B1197" i="14"/>
  <c r="A1198" i="14"/>
  <c r="B1198" i="14"/>
  <c r="A1199" i="14"/>
  <c r="B1199" i="14"/>
  <c r="A1200" i="14"/>
  <c r="B1200" i="14"/>
  <c r="A1201" i="14"/>
  <c r="B1201" i="14"/>
  <c r="A1202" i="14"/>
  <c r="B1202" i="14"/>
  <c r="A1203" i="14"/>
  <c r="B1203" i="14"/>
  <c r="A1204" i="14"/>
  <c r="B1204" i="14"/>
  <c r="A1205" i="14"/>
  <c r="B1205" i="14"/>
  <c r="A1206" i="14"/>
  <c r="B1206" i="14"/>
  <c r="A1207" i="14"/>
  <c r="B1207" i="14"/>
  <c r="A1208" i="14"/>
  <c r="B1208" i="14"/>
  <c r="A1209" i="14"/>
  <c r="B1209" i="14"/>
  <c r="A1210" i="14"/>
  <c r="B1210" i="14"/>
  <c r="A1211" i="14"/>
  <c r="B1211" i="14"/>
  <c r="A1212" i="14"/>
  <c r="B1212" i="14"/>
  <c r="A1213" i="14"/>
  <c r="B1213" i="14"/>
  <c r="A1214" i="14"/>
  <c r="B1214" i="14"/>
  <c r="A1215" i="14"/>
  <c r="B1215" i="14"/>
  <c r="A1216" i="14"/>
  <c r="B1216" i="14"/>
  <c r="A1217" i="14"/>
  <c r="B1217" i="14"/>
  <c r="A1218" i="14"/>
  <c r="B1218" i="14"/>
  <c r="A1219" i="14"/>
  <c r="B1219" i="14"/>
  <c r="A1220" i="14"/>
  <c r="B1220" i="14"/>
  <c r="A1221" i="14"/>
  <c r="B1221" i="14"/>
  <c r="A1222" i="14"/>
  <c r="B1222" i="14"/>
  <c r="A1223" i="14"/>
  <c r="B1223" i="14"/>
  <c r="A1224" i="14"/>
  <c r="B1224" i="14"/>
  <c r="A1225" i="14"/>
  <c r="B1225" i="14"/>
  <c r="A1226" i="14"/>
  <c r="B1226" i="14"/>
  <c r="A1227" i="14"/>
  <c r="B1227" i="14"/>
  <c r="A1228" i="14"/>
  <c r="B1228" i="14"/>
  <c r="A1229" i="14"/>
  <c r="B1229" i="14"/>
  <c r="A1230" i="14"/>
  <c r="B1230" i="14"/>
  <c r="A1231" i="14"/>
  <c r="B1231" i="14"/>
  <c r="A1232" i="14"/>
  <c r="B1232" i="14"/>
  <c r="A1233" i="14"/>
  <c r="B1233" i="14"/>
  <c r="A1234" i="14"/>
  <c r="B1234" i="14"/>
  <c r="A1235" i="14"/>
  <c r="B1235" i="14"/>
  <c r="A1236" i="14"/>
  <c r="B1236" i="14"/>
  <c r="A1237" i="14"/>
  <c r="B1237" i="14"/>
  <c r="A1238" i="14"/>
  <c r="B1238" i="14"/>
  <c r="A1239" i="14"/>
  <c r="B1239" i="14"/>
  <c r="A1240" i="14"/>
  <c r="B1240" i="14"/>
  <c r="A1241" i="14"/>
  <c r="B1241" i="14"/>
  <c r="A1242" i="14"/>
  <c r="B1242" i="14"/>
  <c r="A620" i="14"/>
  <c r="B620" i="14"/>
  <c r="A621" i="14"/>
  <c r="B621" i="14"/>
  <c r="A622" i="14"/>
  <c r="B622" i="14"/>
  <c r="A623" i="14"/>
  <c r="B623" i="14"/>
  <c r="A624" i="14"/>
  <c r="B624" i="14"/>
  <c r="A625" i="14"/>
  <c r="B625" i="14"/>
  <c r="A626" i="14"/>
  <c r="B626" i="14"/>
  <c r="A627" i="14"/>
  <c r="B627" i="14"/>
  <c r="A628" i="14"/>
  <c r="B628" i="14"/>
  <c r="A629" i="14"/>
  <c r="B629" i="14"/>
  <c r="A630" i="14"/>
  <c r="B630" i="14"/>
  <c r="A631" i="14"/>
  <c r="B631" i="14"/>
  <c r="A632" i="14"/>
  <c r="B632" i="14"/>
  <c r="A633" i="14"/>
  <c r="B633" i="14"/>
  <c r="A634" i="14"/>
  <c r="B634" i="14"/>
  <c r="A635" i="14"/>
  <c r="B635" i="14"/>
  <c r="A636" i="14"/>
  <c r="B636" i="14"/>
  <c r="A637" i="14"/>
  <c r="B637" i="14"/>
  <c r="A638" i="14"/>
  <c r="B638" i="14"/>
  <c r="A639" i="14"/>
  <c r="B639" i="14"/>
  <c r="A640" i="14"/>
  <c r="B640" i="14"/>
  <c r="A641" i="14"/>
  <c r="B641" i="14"/>
  <c r="A642" i="14"/>
  <c r="B642" i="14"/>
  <c r="A643" i="14"/>
  <c r="B643" i="14"/>
  <c r="A644" i="14"/>
  <c r="B644" i="14"/>
  <c r="A645" i="14"/>
  <c r="B645" i="14"/>
  <c r="A646" i="14"/>
  <c r="B646" i="14"/>
  <c r="A647" i="14"/>
  <c r="B647" i="14"/>
  <c r="A648" i="14"/>
  <c r="B648" i="14"/>
  <c r="A649" i="14"/>
  <c r="B649" i="14"/>
  <c r="A650" i="14"/>
  <c r="B650" i="14"/>
  <c r="A651" i="14"/>
  <c r="B651" i="14"/>
  <c r="A652" i="14"/>
  <c r="B652" i="14"/>
  <c r="A653" i="14"/>
  <c r="B653" i="14"/>
  <c r="A654" i="14"/>
  <c r="B654" i="14"/>
  <c r="A655" i="14"/>
  <c r="B655" i="14"/>
  <c r="A656" i="14"/>
  <c r="B656" i="14"/>
  <c r="A657" i="14"/>
  <c r="B657" i="14"/>
  <c r="A658" i="14"/>
  <c r="B658" i="14"/>
  <c r="A659" i="14"/>
  <c r="B659" i="14"/>
  <c r="A660" i="14"/>
  <c r="B660" i="14"/>
  <c r="A661" i="14"/>
  <c r="B661" i="14"/>
  <c r="A662" i="14"/>
  <c r="B662" i="14"/>
  <c r="A663" i="14"/>
  <c r="B663" i="14"/>
  <c r="A664" i="14"/>
  <c r="B664" i="14"/>
  <c r="A665" i="14"/>
  <c r="B665" i="14"/>
  <c r="A666" i="14"/>
  <c r="B666" i="14"/>
  <c r="A667" i="14"/>
  <c r="B667" i="14"/>
  <c r="A668" i="14"/>
  <c r="B668" i="14"/>
  <c r="A669" i="14"/>
  <c r="B669" i="14"/>
  <c r="A670" i="14"/>
  <c r="B670" i="14"/>
  <c r="A671" i="14"/>
  <c r="B671" i="14"/>
  <c r="A672" i="14"/>
  <c r="B672" i="14"/>
  <c r="A673" i="14"/>
  <c r="B673" i="14"/>
  <c r="A674" i="14"/>
  <c r="B674" i="14"/>
  <c r="A675" i="14"/>
  <c r="B675" i="14"/>
  <c r="A676" i="14"/>
  <c r="B676" i="14"/>
  <c r="A677" i="14"/>
  <c r="B677" i="14"/>
  <c r="A678" i="14"/>
  <c r="B678" i="14"/>
  <c r="A679" i="14"/>
  <c r="B679" i="14"/>
  <c r="A680" i="14"/>
  <c r="B680" i="14"/>
  <c r="A681" i="14"/>
  <c r="B681" i="14"/>
  <c r="A682" i="14"/>
  <c r="B682" i="14"/>
  <c r="A683" i="14"/>
  <c r="B683" i="14"/>
  <c r="A684" i="14"/>
  <c r="B684" i="14"/>
  <c r="A685" i="14"/>
  <c r="B685" i="14"/>
  <c r="A686" i="14"/>
  <c r="B686" i="14"/>
  <c r="A687" i="14"/>
  <c r="B687" i="14"/>
  <c r="A688" i="14"/>
  <c r="B688" i="14"/>
  <c r="A689" i="14"/>
  <c r="B689" i="14"/>
  <c r="A690" i="14"/>
  <c r="B690" i="14"/>
  <c r="A691" i="14"/>
  <c r="B691" i="14"/>
  <c r="A692" i="14"/>
  <c r="B692" i="14"/>
  <c r="A693" i="14"/>
  <c r="B693" i="14"/>
  <c r="A694" i="14"/>
  <c r="B694" i="14"/>
  <c r="A695" i="14"/>
  <c r="B695" i="14"/>
  <c r="A696" i="14"/>
  <c r="B696" i="14"/>
  <c r="A697" i="14"/>
  <c r="B697" i="14"/>
  <c r="A698" i="14"/>
  <c r="B698" i="14"/>
  <c r="A699" i="14"/>
  <c r="B699" i="14"/>
  <c r="A700" i="14"/>
  <c r="B700" i="14"/>
  <c r="A701" i="14"/>
  <c r="B701" i="14"/>
  <c r="A702" i="14"/>
  <c r="B702" i="14"/>
  <c r="A703" i="14"/>
  <c r="B703" i="14"/>
  <c r="A704" i="14"/>
  <c r="B704" i="14"/>
  <c r="A705" i="14"/>
  <c r="B705" i="14"/>
  <c r="A706" i="14"/>
  <c r="B706" i="14"/>
  <c r="A707" i="14"/>
  <c r="B707" i="14"/>
  <c r="A708" i="14"/>
  <c r="B708" i="14"/>
  <c r="A709" i="14"/>
  <c r="B709" i="14"/>
  <c r="A710" i="14"/>
  <c r="B710" i="14"/>
  <c r="A711" i="14"/>
  <c r="B711" i="14"/>
  <c r="A712" i="14"/>
  <c r="B712" i="14"/>
  <c r="A713" i="14"/>
  <c r="B713" i="14"/>
  <c r="A714" i="14"/>
  <c r="B714" i="14"/>
  <c r="A715" i="14"/>
  <c r="B715" i="14"/>
  <c r="A716" i="14"/>
  <c r="B716" i="14"/>
  <c r="A717" i="14"/>
  <c r="B717" i="14"/>
  <c r="A718" i="14"/>
  <c r="B718" i="14"/>
  <c r="A719" i="14"/>
  <c r="B719" i="14"/>
  <c r="A720" i="14"/>
  <c r="B720" i="14"/>
  <c r="A721" i="14"/>
  <c r="B721" i="14"/>
  <c r="A722" i="14"/>
  <c r="B722" i="14"/>
  <c r="A723" i="14"/>
  <c r="B723" i="14"/>
  <c r="A724" i="14"/>
  <c r="B724" i="14"/>
  <c r="A725" i="14"/>
  <c r="B725" i="14"/>
  <c r="A726" i="14"/>
  <c r="B726" i="14"/>
  <c r="A727" i="14"/>
  <c r="B727" i="14"/>
  <c r="A728" i="14"/>
  <c r="B728" i="14"/>
  <c r="A729" i="14"/>
  <c r="B729" i="14"/>
  <c r="A730" i="14"/>
  <c r="B730" i="14"/>
  <c r="A731" i="14"/>
  <c r="B731" i="14"/>
  <c r="A732" i="14"/>
  <c r="B732" i="14"/>
  <c r="A733" i="14"/>
  <c r="B733" i="14"/>
  <c r="A734" i="14"/>
  <c r="B734" i="14"/>
  <c r="A735" i="14"/>
  <c r="B735" i="14"/>
  <c r="A736" i="14"/>
  <c r="B736" i="14"/>
  <c r="A737" i="14"/>
  <c r="B737" i="14"/>
  <c r="A738" i="14"/>
  <c r="B738" i="14"/>
  <c r="A739" i="14"/>
  <c r="B739" i="14"/>
  <c r="A740" i="14"/>
  <c r="B740" i="14"/>
  <c r="A741" i="14"/>
  <c r="B741" i="14"/>
  <c r="A742" i="14"/>
  <c r="B742" i="14"/>
  <c r="A743" i="14"/>
  <c r="B743" i="14"/>
  <c r="A744" i="14"/>
  <c r="B744" i="14"/>
  <c r="A745" i="14"/>
  <c r="B745" i="14"/>
  <c r="A746" i="14"/>
  <c r="B746" i="14"/>
  <c r="A747" i="14"/>
  <c r="B747" i="14"/>
  <c r="A748" i="14"/>
  <c r="B748" i="14"/>
  <c r="A749" i="14"/>
  <c r="B749" i="14"/>
  <c r="A750" i="14"/>
  <c r="B750" i="14"/>
  <c r="A751" i="14"/>
  <c r="B751" i="14"/>
  <c r="A752" i="14"/>
  <c r="B752" i="14"/>
  <c r="A753" i="14"/>
  <c r="B753" i="14"/>
  <c r="A754" i="14"/>
  <c r="B754" i="14"/>
  <c r="A755" i="14"/>
  <c r="B755" i="14"/>
  <c r="A756" i="14"/>
  <c r="B756" i="14"/>
  <c r="A757" i="14"/>
  <c r="B757" i="14"/>
  <c r="A758" i="14"/>
  <c r="B758" i="14"/>
  <c r="A759" i="14"/>
  <c r="B759" i="14"/>
  <c r="A760" i="14"/>
  <c r="B760" i="14"/>
  <c r="A761" i="14"/>
  <c r="B761" i="14"/>
  <c r="A762" i="14"/>
  <c r="B762" i="14"/>
  <c r="A763" i="14"/>
  <c r="B763" i="14"/>
  <c r="A764" i="14"/>
  <c r="B764" i="14"/>
  <c r="A765" i="14"/>
  <c r="B765" i="14"/>
  <c r="A766" i="14"/>
  <c r="B766" i="14"/>
  <c r="A767" i="14"/>
  <c r="B767" i="14"/>
  <c r="A768" i="14"/>
  <c r="B768" i="14"/>
  <c r="A769" i="14"/>
  <c r="B769" i="14"/>
  <c r="A770" i="14"/>
  <c r="B770" i="14"/>
  <c r="A771" i="14"/>
  <c r="B771" i="14"/>
  <c r="A772" i="14"/>
  <c r="B772" i="14"/>
  <c r="A773" i="14"/>
  <c r="B773" i="14"/>
  <c r="A774" i="14"/>
  <c r="B774" i="14"/>
  <c r="A775" i="14"/>
  <c r="B775" i="14"/>
  <c r="A776" i="14"/>
  <c r="B776" i="14"/>
  <c r="A777" i="14"/>
  <c r="B777" i="14"/>
  <c r="A778" i="14"/>
  <c r="B778" i="14"/>
  <c r="A779" i="14"/>
  <c r="B779" i="14"/>
  <c r="A780" i="14"/>
  <c r="B780" i="14"/>
  <c r="A781" i="14"/>
  <c r="B781" i="14"/>
  <c r="A782" i="14"/>
  <c r="B782" i="14"/>
  <c r="A783" i="14"/>
  <c r="B783" i="14"/>
  <c r="A784" i="14"/>
  <c r="B784" i="14"/>
  <c r="A785" i="14"/>
  <c r="B785" i="14"/>
  <c r="A786" i="14"/>
  <c r="B786" i="14"/>
  <c r="A787" i="14"/>
  <c r="B787" i="14"/>
  <c r="A788" i="14"/>
  <c r="B788" i="14"/>
  <c r="A789" i="14"/>
  <c r="B789" i="14"/>
  <c r="A790" i="14"/>
  <c r="B790" i="14"/>
  <c r="A791" i="14"/>
  <c r="B791" i="14"/>
  <c r="A792" i="14"/>
  <c r="B792" i="14"/>
  <c r="A793" i="14"/>
  <c r="B793" i="14"/>
  <c r="A794" i="14"/>
  <c r="B794" i="14"/>
  <c r="A795" i="14"/>
  <c r="B795" i="14"/>
  <c r="A796" i="14"/>
  <c r="B796" i="14"/>
  <c r="A797" i="14"/>
  <c r="B797" i="14"/>
  <c r="A798" i="14"/>
  <c r="B798" i="14"/>
  <c r="A799" i="14"/>
  <c r="B799" i="14"/>
  <c r="A800" i="14"/>
  <c r="B800" i="14"/>
  <c r="A801" i="14"/>
  <c r="B801" i="14"/>
  <c r="A802" i="14"/>
  <c r="B802" i="14"/>
  <c r="A803" i="14"/>
  <c r="B803" i="14"/>
  <c r="A804" i="14"/>
  <c r="B804" i="14"/>
  <c r="A805" i="14"/>
  <c r="B805" i="14"/>
  <c r="A806" i="14"/>
  <c r="B806" i="14"/>
  <c r="A807" i="14"/>
  <c r="B807" i="14"/>
  <c r="A808" i="14"/>
  <c r="B808" i="14"/>
  <c r="A809" i="14"/>
  <c r="B809" i="14"/>
  <c r="A810" i="14"/>
  <c r="B810" i="14"/>
  <c r="A811" i="14"/>
  <c r="B811" i="14"/>
  <c r="A812" i="14"/>
  <c r="B812" i="14"/>
  <c r="A813" i="14"/>
  <c r="B813" i="14"/>
  <c r="A814" i="14"/>
  <c r="B814" i="14"/>
  <c r="A815" i="14"/>
  <c r="B815" i="14"/>
  <c r="A816" i="14"/>
  <c r="B816" i="14"/>
  <c r="A817" i="14"/>
  <c r="B817" i="14"/>
  <c r="A818" i="14"/>
  <c r="B818" i="14"/>
  <c r="A819" i="14"/>
  <c r="B819" i="14"/>
  <c r="A820" i="14"/>
  <c r="B820" i="14"/>
  <c r="A821" i="14"/>
  <c r="B821" i="14"/>
  <c r="A822" i="14"/>
  <c r="B822" i="14"/>
  <c r="A823" i="14"/>
  <c r="B823" i="14"/>
  <c r="A824" i="14"/>
  <c r="B824" i="14"/>
  <c r="A825" i="14"/>
  <c r="B825" i="14"/>
  <c r="A826" i="14"/>
  <c r="B826" i="14"/>
  <c r="A827" i="14"/>
  <c r="B827" i="14"/>
  <c r="A828" i="14"/>
  <c r="B828" i="14"/>
  <c r="A829" i="14"/>
  <c r="B829" i="14"/>
  <c r="A830" i="14"/>
  <c r="B830" i="14"/>
  <c r="A831" i="14"/>
  <c r="B831" i="14"/>
  <c r="A832" i="14"/>
  <c r="B832" i="14"/>
  <c r="A833" i="14"/>
  <c r="B833" i="14"/>
  <c r="A834" i="14"/>
  <c r="B834" i="14"/>
  <c r="A835" i="14"/>
  <c r="B835" i="14"/>
  <c r="A836" i="14"/>
  <c r="B836" i="14"/>
  <c r="A837" i="14"/>
  <c r="B837" i="14"/>
  <c r="A838" i="14"/>
  <c r="B838" i="14"/>
  <c r="A839" i="14"/>
  <c r="B839" i="14"/>
  <c r="A840" i="14"/>
  <c r="B840" i="14"/>
  <c r="A841" i="14"/>
  <c r="B841" i="14"/>
  <c r="A842" i="14"/>
  <c r="B842" i="14"/>
  <c r="A843" i="14"/>
  <c r="B843" i="14"/>
  <c r="A844" i="14"/>
  <c r="B844" i="14"/>
  <c r="A845" i="14"/>
  <c r="B845" i="14"/>
  <c r="A846" i="14"/>
  <c r="B846" i="14"/>
  <c r="A847" i="14"/>
  <c r="B847" i="14"/>
  <c r="A848" i="14"/>
  <c r="B848" i="14"/>
  <c r="A849" i="14"/>
  <c r="B849" i="14"/>
  <c r="A850" i="14"/>
  <c r="B850" i="14"/>
  <c r="A851" i="14"/>
  <c r="B851" i="14"/>
  <c r="A852" i="14"/>
  <c r="B852" i="14"/>
  <c r="A853" i="14"/>
  <c r="B853" i="14"/>
  <c r="A854" i="14"/>
  <c r="B854" i="14"/>
  <c r="A855" i="14"/>
  <c r="B855" i="14"/>
  <c r="A856" i="14"/>
  <c r="B856" i="14"/>
  <c r="A857" i="14"/>
  <c r="B857" i="14"/>
  <c r="A858" i="14"/>
  <c r="B858" i="14"/>
  <c r="A859" i="14"/>
  <c r="B859" i="14"/>
  <c r="A860" i="14"/>
  <c r="B860" i="14"/>
  <c r="A861" i="14"/>
  <c r="B861" i="14"/>
  <c r="A862" i="14"/>
  <c r="B862" i="14"/>
  <c r="A863" i="14"/>
  <c r="B863" i="14"/>
  <c r="A864" i="14"/>
  <c r="B864" i="14"/>
  <c r="A865" i="14"/>
  <c r="B865" i="14"/>
  <c r="A866" i="14"/>
  <c r="B866" i="14"/>
  <c r="A867" i="14"/>
  <c r="B867" i="14"/>
  <c r="A868" i="14"/>
  <c r="B868" i="14"/>
  <c r="A869" i="14"/>
  <c r="B869" i="14"/>
  <c r="A870" i="14"/>
  <c r="B870" i="14"/>
  <c r="A871" i="14"/>
  <c r="B871" i="14"/>
  <c r="A872" i="14"/>
  <c r="B872" i="14"/>
  <c r="A873" i="14"/>
  <c r="B873" i="14"/>
  <c r="A874" i="14"/>
  <c r="B874" i="14"/>
  <c r="A875" i="14"/>
  <c r="B875" i="14"/>
  <c r="A876" i="14"/>
  <c r="B876" i="14"/>
  <c r="A877" i="14"/>
  <c r="B877" i="14"/>
  <c r="A878" i="14"/>
  <c r="B878" i="14"/>
  <c r="A879" i="14"/>
  <c r="B879" i="14"/>
  <c r="A880" i="14"/>
  <c r="B880" i="14"/>
  <c r="A881" i="14"/>
  <c r="B881" i="14"/>
  <c r="A882" i="14"/>
  <c r="B882" i="14"/>
  <c r="A883" i="14"/>
  <c r="B883" i="14"/>
  <c r="A884" i="14"/>
  <c r="B884" i="14"/>
  <c r="A885" i="14"/>
  <c r="B885" i="14"/>
  <c r="A886" i="14"/>
  <c r="B886" i="14"/>
  <c r="A887" i="14"/>
  <c r="B887" i="14"/>
  <c r="A888" i="14"/>
  <c r="B888" i="14"/>
  <c r="A889" i="14"/>
  <c r="B889" i="14"/>
  <c r="A890" i="14"/>
  <c r="B890" i="14"/>
  <c r="A891" i="14"/>
  <c r="B891" i="14"/>
  <c r="A892" i="14"/>
  <c r="B892" i="14"/>
  <c r="A893" i="14"/>
  <c r="B893" i="14"/>
  <c r="A894" i="14"/>
  <c r="B894" i="14"/>
  <c r="A895" i="14"/>
  <c r="B895" i="14"/>
  <c r="A896" i="14"/>
  <c r="B896" i="14"/>
  <c r="A897" i="14"/>
  <c r="B897" i="14"/>
  <c r="A898" i="14"/>
  <c r="B898" i="14"/>
  <c r="A899" i="14"/>
  <c r="B899" i="14"/>
  <c r="A900" i="14"/>
  <c r="B900" i="14"/>
  <c r="A901" i="14"/>
  <c r="B901" i="14"/>
  <c r="A902" i="14"/>
  <c r="B902" i="14"/>
  <c r="A903" i="14"/>
  <c r="B903" i="14"/>
  <c r="A904" i="14"/>
  <c r="B904" i="14"/>
  <c r="A905" i="14"/>
  <c r="B905" i="14"/>
  <c r="A906" i="14"/>
  <c r="B906" i="14"/>
  <c r="A907" i="14"/>
  <c r="B907" i="14"/>
  <c r="A908" i="14"/>
  <c r="B908" i="14"/>
  <c r="A909" i="14"/>
  <c r="B909" i="14"/>
  <c r="A910" i="14"/>
  <c r="B910" i="14"/>
  <c r="A911" i="14"/>
  <c r="B911" i="14"/>
  <c r="A912" i="14"/>
  <c r="B912" i="14"/>
  <c r="A913" i="14"/>
  <c r="B913" i="14"/>
  <c r="A914" i="14"/>
  <c r="B914" i="14"/>
  <c r="A915" i="14"/>
  <c r="B915" i="14"/>
  <c r="A916" i="14"/>
  <c r="B916" i="14"/>
  <c r="A917" i="14"/>
  <c r="B917" i="14"/>
  <c r="A918" i="14"/>
  <c r="B918" i="14"/>
  <c r="A919" i="14"/>
  <c r="B919" i="14"/>
  <c r="A920" i="14"/>
  <c r="B920" i="14"/>
  <c r="A242" i="14"/>
  <c r="B242" i="14"/>
  <c r="A243" i="14"/>
  <c r="B243" i="14"/>
  <c r="A244" i="14"/>
  <c r="B244" i="14"/>
  <c r="A245" i="14"/>
  <c r="B245" i="14"/>
  <c r="A246" i="14"/>
  <c r="B246" i="14"/>
  <c r="A247" i="14"/>
  <c r="B247" i="14"/>
  <c r="A248" i="14"/>
  <c r="B248" i="14"/>
  <c r="A249" i="14"/>
  <c r="B249" i="14"/>
  <c r="A250" i="14"/>
  <c r="B250" i="14"/>
  <c r="A251" i="14"/>
  <c r="B251" i="14"/>
  <c r="A252" i="14"/>
  <c r="B252" i="14"/>
  <c r="A253" i="14"/>
  <c r="B253" i="14"/>
  <c r="A254" i="14"/>
  <c r="B254" i="14"/>
  <c r="A255" i="14"/>
  <c r="B255" i="14"/>
  <c r="A256" i="14"/>
  <c r="B256" i="14"/>
  <c r="A257" i="14"/>
  <c r="B257" i="14"/>
  <c r="A258" i="14"/>
  <c r="B258" i="14"/>
  <c r="A259" i="14"/>
  <c r="B259" i="14"/>
  <c r="A260" i="14"/>
  <c r="B260" i="14"/>
  <c r="A261" i="14"/>
  <c r="B261" i="14"/>
  <c r="A262" i="14"/>
  <c r="B262" i="14"/>
  <c r="A263" i="14"/>
  <c r="B263" i="14"/>
  <c r="A264" i="14"/>
  <c r="B264" i="14"/>
  <c r="A265" i="14"/>
  <c r="B265" i="14"/>
  <c r="A266" i="14"/>
  <c r="B266" i="14"/>
  <c r="A267" i="14"/>
  <c r="B267" i="14"/>
  <c r="A268" i="14"/>
  <c r="B268" i="14"/>
  <c r="A269" i="14"/>
  <c r="B269" i="14"/>
  <c r="A270" i="14"/>
  <c r="B270" i="14"/>
  <c r="A271" i="14"/>
  <c r="B271" i="14"/>
  <c r="A272" i="14"/>
  <c r="B272" i="14"/>
  <c r="A273" i="14"/>
  <c r="B273" i="14"/>
  <c r="A274" i="14"/>
  <c r="B274" i="14"/>
  <c r="A275" i="14"/>
  <c r="B275" i="14"/>
  <c r="A276" i="14"/>
  <c r="B276" i="14"/>
  <c r="A277" i="14"/>
  <c r="B277" i="14"/>
  <c r="A278" i="14"/>
  <c r="B278" i="14"/>
  <c r="A279" i="14"/>
  <c r="B279" i="14"/>
  <c r="A280" i="14"/>
  <c r="B280" i="14"/>
  <c r="A281" i="14"/>
  <c r="B281" i="14"/>
  <c r="A282" i="14"/>
  <c r="B282" i="14"/>
  <c r="A283" i="14"/>
  <c r="B283" i="14"/>
  <c r="A284" i="14"/>
  <c r="B284" i="14"/>
  <c r="A285" i="14"/>
  <c r="B285" i="14"/>
  <c r="A286" i="14"/>
  <c r="B286" i="14"/>
  <c r="A287" i="14"/>
  <c r="B287" i="14"/>
  <c r="A288" i="14"/>
  <c r="B288" i="14"/>
  <c r="A289" i="14"/>
  <c r="B289" i="14"/>
  <c r="A290" i="14"/>
  <c r="B290" i="14"/>
  <c r="A291" i="14"/>
  <c r="B291" i="14"/>
  <c r="A292" i="14"/>
  <c r="B292" i="14"/>
  <c r="A293" i="14"/>
  <c r="B293" i="14"/>
  <c r="A294" i="14"/>
  <c r="B294" i="14"/>
  <c r="A295" i="14"/>
  <c r="B295" i="14"/>
  <c r="A296" i="14"/>
  <c r="B296" i="14"/>
  <c r="A297" i="14"/>
  <c r="B297" i="14"/>
  <c r="A298" i="14"/>
  <c r="B298" i="14"/>
  <c r="A299" i="14"/>
  <c r="B299" i="14"/>
  <c r="A300" i="14"/>
  <c r="B300" i="14"/>
  <c r="A301" i="14"/>
  <c r="B301" i="14"/>
  <c r="A302" i="14"/>
  <c r="B302" i="14"/>
  <c r="A303" i="14"/>
  <c r="B303" i="14"/>
  <c r="A304" i="14"/>
  <c r="B304" i="14"/>
  <c r="A305" i="14"/>
  <c r="B305" i="14"/>
  <c r="A306" i="14"/>
  <c r="B306" i="14"/>
  <c r="A307" i="14"/>
  <c r="B307" i="14"/>
  <c r="A308" i="14"/>
  <c r="B308" i="14"/>
  <c r="A309" i="14"/>
  <c r="B309" i="14"/>
  <c r="A310" i="14"/>
  <c r="B310" i="14"/>
  <c r="A311" i="14"/>
  <c r="B311" i="14"/>
  <c r="A312" i="14"/>
  <c r="B312" i="14"/>
  <c r="A313" i="14"/>
  <c r="B313" i="14"/>
  <c r="A314" i="14"/>
  <c r="B314" i="14"/>
  <c r="A315" i="14"/>
  <c r="B315" i="14"/>
  <c r="A316" i="14"/>
  <c r="B316" i="14"/>
  <c r="A317" i="14"/>
  <c r="B317" i="14"/>
  <c r="A318" i="14"/>
  <c r="B318" i="14"/>
  <c r="A319" i="14"/>
  <c r="B319" i="14"/>
  <c r="A320" i="14"/>
  <c r="B320" i="14"/>
  <c r="A321" i="14"/>
  <c r="B321" i="14"/>
  <c r="A322" i="14"/>
  <c r="B322" i="14"/>
  <c r="A323" i="14"/>
  <c r="B323" i="14"/>
  <c r="A324" i="14"/>
  <c r="B324" i="14"/>
  <c r="A325" i="14"/>
  <c r="B325" i="14"/>
  <c r="A326" i="14"/>
  <c r="B326" i="14"/>
  <c r="A327" i="14"/>
  <c r="B327" i="14"/>
  <c r="A328" i="14"/>
  <c r="B328" i="14"/>
  <c r="A329" i="14"/>
  <c r="B329" i="14"/>
  <c r="A330" i="14"/>
  <c r="B330" i="14"/>
  <c r="A331" i="14"/>
  <c r="B331" i="14"/>
  <c r="A332" i="14"/>
  <c r="B332" i="14"/>
  <c r="A333" i="14"/>
  <c r="B333" i="14"/>
  <c r="A334" i="14"/>
  <c r="B334" i="14"/>
  <c r="A335" i="14"/>
  <c r="B335" i="14"/>
  <c r="A336" i="14"/>
  <c r="B336" i="14"/>
  <c r="A337" i="14"/>
  <c r="B337" i="14"/>
  <c r="A338" i="14"/>
  <c r="B338" i="14"/>
  <c r="A339" i="14"/>
  <c r="B339" i="14"/>
  <c r="A340" i="14"/>
  <c r="B340" i="14"/>
  <c r="A341" i="14"/>
  <c r="B341" i="14"/>
  <c r="A342" i="14"/>
  <c r="B342" i="14"/>
  <c r="A343" i="14"/>
  <c r="B343" i="14"/>
  <c r="A344" i="14"/>
  <c r="B344" i="14"/>
  <c r="A345" i="14"/>
  <c r="B345" i="14"/>
  <c r="A346" i="14"/>
  <c r="B346" i="14"/>
  <c r="A347" i="14"/>
  <c r="B347" i="14"/>
  <c r="A348" i="14"/>
  <c r="B348" i="14"/>
  <c r="A349" i="14"/>
  <c r="B349" i="14"/>
  <c r="A350" i="14"/>
  <c r="B350" i="14"/>
  <c r="A351" i="14"/>
  <c r="B351" i="14"/>
  <c r="A352" i="14"/>
  <c r="B352" i="14"/>
  <c r="A353" i="14"/>
  <c r="B353" i="14"/>
  <c r="A354" i="14"/>
  <c r="B354" i="14"/>
  <c r="A355" i="14"/>
  <c r="B355" i="14"/>
  <c r="A356" i="14"/>
  <c r="B356" i="14"/>
  <c r="A357" i="14"/>
  <c r="B357" i="14"/>
  <c r="A358" i="14"/>
  <c r="B358" i="14"/>
  <c r="A359" i="14"/>
  <c r="B359" i="14"/>
  <c r="A360" i="14"/>
  <c r="B360" i="14"/>
  <c r="A361" i="14"/>
  <c r="B361" i="14"/>
  <c r="A362" i="14"/>
  <c r="B362" i="14"/>
  <c r="A363" i="14"/>
  <c r="B363" i="14"/>
  <c r="A364" i="14"/>
  <c r="B364" i="14"/>
  <c r="A365" i="14"/>
  <c r="B365" i="14"/>
  <c r="A366" i="14"/>
  <c r="B366" i="14"/>
  <c r="A367" i="14"/>
  <c r="B367" i="14"/>
  <c r="A368" i="14"/>
  <c r="B368" i="14"/>
  <c r="A369" i="14"/>
  <c r="B369" i="14"/>
  <c r="A370" i="14"/>
  <c r="B370" i="14"/>
  <c r="A371" i="14"/>
  <c r="B371" i="14"/>
  <c r="A372" i="14"/>
  <c r="B372" i="14"/>
  <c r="A373" i="14"/>
  <c r="B373" i="14"/>
  <c r="A374" i="14"/>
  <c r="B374" i="14"/>
  <c r="A375" i="14"/>
  <c r="B375" i="14"/>
  <c r="A376" i="14"/>
  <c r="B376" i="14"/>
  <c r="A377" i="14"/>
  <c r="B377" i="14"/>
  <c r="A378" i="14"/>
  <c r="B378" i="14"/>
  <c r="A379" i="14"/>
  <c r="B379" i="14"/>
  <c r="A380" i="14"/>
  <c r="B380" i="14"/>
  <c r="A381" i="14"/>
  <c r="B381" i="14"/>
  <c r="A382" i="14"/>
  <c r="B382" i="14"/>
  <c r="A383" i="14"/>
  <c r="B383" i="14"/>
  <c r="A384" i="14"/>
  <c r="B384" i="14"/>
  <c r="A385" i="14"/>
  <c r="B385" i="14"/>
  <c r="A386" i="14"/>
  <c r="B386" i="14"/>
  <c r="A387" i="14"/>
  <c r="B387" i="14"/>
  <c r="A388" i="14"/>
  <c r="B388" i="14"/>
  <c r="A389" i="14"/>
  <c r="B389" i="14"/>
  <c r="A390" i="14"/>
  <c r="B390" i="14"/>
  <c r="A391" i="14"/>
  <c r="B391" i="14"/>
  <c r="A392" i="14"/>
  <c r="B392" i="14"/>
  <c r="A393" i="14"/>
  <c r="B393" i="14"/>
  <c r="A394" i="14"/>
  <c r="B394" i="14"/>
  <c r="A395" i="14"/>
  <c r="B395" i="14"/>
  <c r="A396" i="14"/>
  <c r="B396" i="14"/>
  <c r="A397" i="14"/>
  <c r="B397" i="14"/>
  <c r="A398" i="14"/>
  <c r="B398" i="14"/>
  <c r="A399" i="14"/>
  <c r="B399" i="14"/>
  <c r="A400" i="14"/>
  <c r="B400" i="14"/>
  <c r="A401" i="14"/>
  <c r="B401" i="14"/>
  <c r="A402" i="14"/>
  <c r="B402" i="14"/>
  <c r="A403" i="14"/>
  <c r="B403" i="14"/>
  <c r="A404" i="14"/>
  <c r="B404" i="14"/>
  <c r="A405" i="14"/>
  <c r="B405" i="14"/>
  <c r="A406" i="14"/>
  <c r="B406" i="14"/>
  <c r="A407" i="14"/>
  <c r="B407" i="14"/>
  <c r="A408" i="14"/>
  <c r="B408" i="14"/>
  <c r="A409" i="14"/>
  <c r="B409" i="14"/>
  <c r="A410" i="14"/>
  <c r="B410" i="14"/>
  <c r="A411" i="14"/>
  <c r="B411" i="14"/>
  <c r="A412" i="14"/>
  <c r="B412" i="14"/>
  <c r="A413" i="14"/>
  <c r="B413" i="14"/>
  <c r="A414" i="14"/>
  <c r="B414" i="14"/>
  <c r="A415" i="14"/>
  <c r="B415" i="14"/>
  <c r="A416" i="14"/>
  <c r="B416" i="14"/>
  <c r="A417" i="14"/>
  <c r="B417" i="14"/>
  <c r="A418" i="14"/>
  <c r="B418" i="14"/>
  <c r="A419" i="14"/>
  <c r="B419" i="14"/>
  <c r="A420" i="14"/>
  <c r="B420" i="14"/>
  <c r="A421" i="14"/>
  <c r="B421" i="14"/>
  <c r="A422" i="14"/>
  <c r="B422" i="14"/>
  <c r="A423" i="14"/>
  <c r="B423" i="14"/>
  <c r="A424" i="14"/>
  <c r="B424" i="14"/>
  <c r="A425" i="14"/>
  <c r="B425" i="14"/>
  <c r="A426" i="14"/>
  <c r="B426" i="14"/>
  <c r="A427" i="14"/>
  <c r="B427" i="14"/>
  <c r="A428" i="14"/>
  <c r="B428" i="14"/>
  <c r="A429" i="14"/>
  <c r="B429" i="14"/>
  <c r="A430" i="14"/>
  <c r="B430" i="14"/>
  <c r="A431" i="14"/>
  <c r="B431" i="14"/>
  <c r="A432" i="14"/>
  <c r="B432" i="14"/>
  <c r="A433" i="14"/>
  <c r="B433" i="14"/>
  <c r="A434" i="14"/>
  <c r="B434" i="14"/>
  <c r="A435" i="14"/>
  <c r="B435" i="14"/>
  <c r="A436" i="14"/>
  <c r="B436" i="14"/>
  <c r="A437" i="14"/>
  <c r="B437" i="14"/>
  <c r="A438" i="14"/>
  <c r="B438" i="14"/>
  <c r="A439" i="14"/>
  <c r="B439" i="14"/>
  <c r="A440" i="14"/>
  <c r="B440" i="14"/>
  <c r="A441" i="14"/>
  <c r="B441" i="14"/>
  <c r="A442" i="14"/>
  <c r="B442" i="14"/>
  <c r="A443" i="14"/>
  <c r="B443" i="14"/>
  <c r="A444" i="14"/>
  <c r="B444" i="14"/>
  <c r="A445" i="14"/>
  <c r="B445" i="14"/>
  <c r="A446" i="14"/>
  <c r="B446" i="14"/>
  <c r="A447" i="14"/>
  <c r="B447" i="14"/>
  <c r="A448" i="14"/>
  <c r="B448" i="14"/>
  <c r="A449" i="14"/>
  <c r="B449" i="14"/>
  <c r="A450" i="14"/>
  <c r="B450" i="14"/>
  <c r="A451" i="14"/>
  <c r="B451" i="14"/>
  <c r="A452" i="14"/>
  <c r="B452" i="14"/>
  <c r="A453" i="14"/>
  <c r="B453" i="14"/>
  <c r="A454" i="14"/>
  <c r="B454" i="14"/>
  <c r="A455" i="14"/>
  <c r="B455" i="14"/>
  <c r="A456" i="14"/>
  <c r="B456" i="14"/>
  <c r="A457" i="14"/>
  <c r="B457" i="14"/>
  <c r="A458" i="14"/>
  <c r="B458" i="14"/>
  <c r="A459" i="14"/>
  <c r="B459" i="14"/>
  <c r="A460" i="14"/>
  <c r="B460" i="14"/>
  <c r="A461" i="14"/>
  <c r="B461" i="14"/>
  <c r="A462" i="14"/>
  <c r="B462" i="14"/>
  <c r="A463" i="14"/>
  <c r="B463" i="14"/>
  <c r="A464" i="14"/>
  <c r="B464" i="14"/>
  <c r="A465" i="14"/>
  <c r="B465" i="14"/>
  <c r="A466" i="14"/>
  <c r="B466" i="14"/>
  <c r="A467" i="14"/>
  <c r="B467" i="14"/>
  <c r="A468" i="14"/>
  <c r="B468" i="14"/>
  <c r="A469" i="14"/>
  <c r="B469" i="14"/>
  <c r="A470" i="14"/>
  <c r="B470" i="14"/>
  <c r="A471" i="14"/>
  <c r="B471" i="14"/>
  <c r="A472" i="14"/>
  <c r="B472" i="14"/>
  <c r="A473" i="14"/>
  <c r="B473" i="14"/>
  <c r="A474" i="14"/>
  <c r="B474" i="14"/>
  <c r="A475" i="14"/>
  <c r="B475" i="14"/>
  <c r="A476" i="14"/>
  <c r="B476" i="14"/>
  <c r="A477" i="14"/>
  <c r="B477" i="14"/>
  <c r="A478" i="14"/>
  <c r="B478" i="14"/>
  <c r="A479" i="14"/>
  <c r="B479" i="14"/>
  <c r="A480" i="14"/>
  <c r="B480" i="14"/>
  <c r="A481" i="14"/>
  <c r="B481" i="14"/>
  <c r="A482" i="14"/>
  <c r="B482" i="14"/>
  <c r="A483" i="14"/>
  <c r="B483" i="14"/>
  <c r="A484" i="14"/>
  <c r="B484" i="14"/>
  <c r="A485" i="14"/>
  <c r="B485" i="14"/>
  <c r="A486" i="14"/>
  <c r="B486" i="14"/>
  <c r="A487" i="14"/>
  <c r="B487" i="14"/>
  <c r="A488" i="14"/>
  <c r="B488" i="14"/>
  <c r="A489" i="14"/>
  <c r="B489" i="14"/>
  <c r="A490" i="14"/>
  <c r="B490" i="14"/>
  <c r="A491" i="14"/>
  <c r="B491" i="14"/>
  <c r="A492" i="14"/>
  <c r="B492" i="14"/>
  <c r="A493" i="14"/>
  <c r="B493" i="14"/>
  <c r="A494" i="14"/>
  <c r="B494" i="14"/>
  <c r="A495" i="14"/>
  <c r="B495" i="14"/>
  <c r="A496" i="14"/>
  <c r="B496" i="14"/>
  <c r="A497" i="14"/>
  <c r="B497" i="14"/>
  <c r="A498" i="14"/>
  <c r="B498" i="14"/>
  <c r="A499" i="14"/>
  <c r="B499" i="14"/>
  <c r="A500" i="14"/>
  <c r="B500" i="14"/>
  <c r="A501" i="14"/>
  <c r="B501" i="14"/>
  <c r="A502" i="14"/>
  <c r="B502" i="14"/>
  <c r="A503" i="14"/>
  <c r="B503" i="14"/>
  <c r="A504" i="14"/>
  <c r="B504" i="14"/>
  <c r="A505" i="14"/>
  <c r="B505" i="14"/>
  <c r="A506" i="14"/>
  <c r="B506" i="14"/>
  <c r="A507" i="14"/>
  <c r="B507" i="14"/>
  <c r="A508" i="14"/>
  <c r="B508" i="14"/>
  <c r="A509" i="14"/>
  <c r="B509" i="14"/>
  <c r="A510" i="14"/>
  <c r="B510" i="14"/>
  <c r="A511" i="14"/>
  <c r="B511" i="14"/>
  <c r="A512" i="14"/>
  <c r="B512" i="14"/>
  <c r="A513" i="14"/>
  <c r="B513" i="14"/>
  <c r="A514" i="14"/>
  <c r="B514" i="14"/>
  <c r="A515" i="14"/>
  <c r="B515" i="14"/>
  <c r="A516" i="14"/>
  <c r="B516" i="14"/>
  <c r="A517" i="14"/>
  <c r="B517" i="14"/>
  <c r="A518" i="14"/>
  <c r="B518" i="14"/>
  <c r="A519" i="14"/>
  <c r="B519" i="14"/>
  <c r="A520" i="14"/>
  <c r="B520" i="14"/>
  <c r="A521" i="14"/>
  <c r="B521" i="14"/>
  <c r="A522" i="14"/>
  <c r="B522" i="14"/>
  <c r="A523" i="14"/>
  <c r="B523" i="14"/>
  <c r="A524" i="14"/>
  <c r="B524" i="14"/>
  <c r="A525" i="14"/>
  <c r="B525" i="14"/>
  <c r="A526" i="14"/>
  <c r="B526" i="14"/>
  <c r="A527" i="14"/>
  <c r="B527" i="14"/>
  <c r="A528" i="14"/>
  <c r="B528" i="14"/>
  <c r="A529" i="14"/>
  <c r="B529" i="14"/>
  <c r="A530" i="14"/>
  <c r="B530" i="14"/>
  <c r="A531" i="14"/>
  <c r="B531" i="14"/>
  <c r="A532" i="14"/>
  <c r="B532" i="14"/>
  <c r="A533" i="14"/>
  <c r="B533" i="14"/>
  <c r="A534" i="14"/>
  <c r="B534" i="14"/>
  <c r="A535" i="14"/>
  <c r="B535" i="14"/>
  <c r="A536" i="14"/>
  <c r="B536" i="14"/>
  <c r="A537" i="14"/>
  <c r="B537" i="14"/>
  <c r="A538" i="14"/>
  <c r="B538" i="14"/>
  <c r="A539" i="14"/>
  <c r="B539" i="14"/>
  <c r="A540" i="14"/>
  <c r="B540" i="14"/>
  <c r="A541" i="14"/>
  <c r="B541" i="14"/>
  <c r="A542" i="14"/>
  <c r="B542" i="14"/>
  <c r="A543" i="14"/>
  <c r="B543" i="14"/>
  <c r="A544" i="14"/>
  <c r="B544" i="14"/>
  <c r="A545" i="14"/>
  <c r="B545" i="14"/>
  <c r="A546" i="14"/>
  <c r="B546" i="14"/>
  <c r="A547" i="14"/>
  <c r="B547" i="14"/>
  <c r="A548" i="14"/>
  <c r="B548" i="14"/>
  <c r="A549" i="14"/>
  <c r="B549" i="14"/>
  <c r="A550" i="14"/>
  <c r="B550" i="14"/>
  <c r="A551" i="14"/>
  <c r="B551" i="14"/>
  <c r="A552" i="14"/>
  <c r="B552" i="14"/>
  <c r="A553" i="14"/>
  <c r="B553" i="14"/>
  <c r="A554" i="14"/>
  <c r="B554" i="14"/>
  <c r="A555" i="14"/>
  <c r="B555" i="14"/>
  <c r="A556" i="14"/>
  <c r="B556" i="14"/>
  <c r="A557" i="14"/>
  <c r="B557" i="14"/>
  <c r="A558" i="14"/>
  <c r="B558" i="14"/>
  <c r="A559" i="14"/>
  <c r="B559" i="14"/>
  <c r="A560" i="14"/>
  <c r="B560" i="14"/>
  <c r="A561" i="14"/>
  <c r="B561" i="14"/>
  <c r="A562" i="14"/>
  <c r="B562" i="14"/>
  <c r="A563" i="14"/>
  <c r="B563" i="14"/>
  <c r="A564" i="14"/>
  <c r="B564" i="14"/>
  <c r="A565" i="14"/>
  <c r="B565" i="14"/>
  <c r="A566" i="14"/>
  <c r="B566" i="14"/>
  <c r="A567" i="14"/>
  <c r="B567" i="14"/>
  <c r="A568" i="14"/>
  <c r="B568" i="14"/>
  <c r="A569" i="14"/>
  <c r="B569" i="14"/>
  <c r="A570" i="14"/>
  <c r="B570" i="14"/>
  <c r="A571" i="14"/>
  <c r="B571" i="14"/>
  <c r="A572" i="14"/>
  <c r="B572" i="14"/>
  <c r="A573" i="14"/>
  <c r="B573" i="14"/>
  <c r="A574" i="14"/>
  <c r="B574" i="14"/>
  <c r="A575" i="14"/>
  <c r="B575" i="14"/>
  <c r="A576" i="14"/>
  <c r="B576" i="14"/>
  <c r="A577" i="14"/>
  <c r="B577" i="14"/>
  <c r="A578" i="14"/>
  <c r="B578" i="14"/>
  <c r="A579" i="14"/>
  <c r="B579" i="14"/>
  <c r="A580" i="14"/>
  <c r="B580" i="14"/>
  <c r="A581" i="14"/>
  <c r="B581" i="14"/>
  <c r="A582" i="14"/>
  <c r="B582" i="14"/>
  <c r="A583" i="14"/>
  <c r="B583" i="14"/>
  <c r="A584" i="14"/>
  <c r="B584" i="14"/>
  <c r="A585" i="14"/>
  <c r="B585" i="14"/>
  <c r="A586" i="14"/>
  <c r="B586" i="14"/>
  <c r="A587" i="14"/>
  <c r="B587" i="14"/>
  <c r="A588" i="14"/>
  <c r="B588" i="14"/>
  <c r="A589" i="14"/>
  <c r="B589" i="14"/>
  <c r="A590" i="14"/>
  <c r="B590" i="14"/>
  <c r="A591" i="14"/>
  <c r="B591" i="14"/>
  <c r="A592" i="14"/>
  <c r="B592" i="14"/>
  <c r="A593" i="14"/>
  <c r="B593" i="14"/>
  <c r="A594" i="14"/>
  <c r="B594" i="14"/>
  <c r="A595" i="14"/>
  <c r="B595" i="14"/>
  <c r="A596" i="14"/>
  <c r="B596" i="14"/>
  <c r="A597" i="14"/>
  <c r="B597" i="14"/>
  <c r="A598" i="14"/>
  <c r="B598" i="14"/>
  <c r="A599" i="14"/>
  <c r="B599" i="14"/>
  <c r="A600" i="14"/>
  <c r="B600" i="14"/>
  <c r="A601" i="14"/>
  <c r="B601" i="14"/>
  <c r="A602" i="14"/>
  <c r="B602" i="14"/>
  <c r="A603" i="14"/>
  <c r="B603" i="14"/>
  <c r="A604" i="14"/>
  <c r="B604" i="14"/>
  <c r="A605" i="14"/>
  <c r="B605" i="14"/>
  <c r="A606" i="14"/>
  <c r="B606" i="14"/>
  <c r="A607" i="14"/>
  <c r="B607" i="14"/>
  <c r="A608" i="14"/>
  <c r="B608" i="14"/>
  <c r="A609" i="14"/>
  <c r="B609" i="14"/>
  <c r="A610" i="14"/>
  <c r="B610" i="14"/>
  <c r="A611" i="14"/>
  <c r="B611" i="14"/>
  <c r="A612" i="14"/>
  <c r="B612" i="14"/>
  <c r="A613" i="14"/>
  <c r="B613" i="14"/>
  <c r="A614" i="14"/>
  <c r="B614" i="14"/>
  <c r="A615" i="14"/>
  <c r="B615" i="14"/>
  <c r="A616" i="14"/>
  <c r="B616" i="14"/>
  <c r="A617" i="14"/>
  <c r="B617" i="14"/>
  <c r="A618" i="14"/>
  <c r="B618" i="14"/>
  <c r="A619" i="14"/>
  <c r="B619" i="14"/>
  <c r="A6" i="14"/>
  <c r="B6" i="14"/>
  <c r="A7" i="14"/>
  <c r="B7" i="14"/>
  <c r="A8" i="14"/>
  <c r="B8" i="14"/>
  <c r="A9" i="14"/>
  <c r="B9" i="14"/>
  <c r="A10" i="14"/>
  <c r="B10" i="14"/>
  <c r="A11" i="14"/>
  <c r="B11" i="14"/>
  <c r="A12" i="14"/>
  <c r="B12" i="14"/>
  <c r="A13" i="14"/>
  <c r="B13" i="14"/>
  <c r="A14" i="14"/>
  <c r="B14" i="14"/>
  <c r="A15" i="14"/>
  <c r="B15" i="14"/>
  <c r="A16" i="14"/>
  <c r="B16" i="14"/>
  <c r="A17" i="14"/>
  <c r="B17" i="14"/>
  <c r="A18" i="14"/>
  <c r="B18" i="14"/>
  <c r="A19" i="14"/>
  <c r="B19" i="14"/>
  <c r="A20" i="14"/>
  <c r="B20" i="14"/>
  <c r="A21" i="14"/>
  <c r="B21" i="14"/>
  <c r="A22" i="14"/>
  <c r="B22" i="14"/>
  <c r="A23" i="14"/>
  <c r="B23" i="14"/>
  <c r="A24" i="14"/>
  <c r="B24" i="14"/>
  <c r="A25" i="14"/>
  <c r="B25" i="14"/>
  <c r="A26" i="14"/>
  <c r="B26" i="14"/>
  <c r="A27" i="14"/>
  <c r="B27" i="14"/>
  <c r="A28" i="14"/>
  <c r="B28" i="14"/>
  <c r="A29" i="14"/>
  <c r="B29" i="14"/>
  <c r="A30" i="14"/>
  <c r="B30" i="14"/>
  <c r="A31" i="14"/>
  <c r="B31" i="14"/>
  <c r="A32" i="14"/>
  <c r="B32" i="14"/>
  <c r="A33" i="14"/>
  <c r="B33" i="14"/>
  <c r="A34" i="14"/>
  <c r="B34" i="14"/>
  <c r="A35" i="14"/>
  <c r="B35" i="14"/>
  <c r="A36" i="14"/>
  <c r="B36" i="14"/>
  <c r="A37" i="14"/>
  <c r="B37" i="14"/>
  <c r="A38" i="14"/>
  <c r="B38" i="14"/>
  <c r="A39" i="14"/>
  <c r="B39" i="14"/>
  <c r="A40" i="14"/>
  <c r="B40" i="14"/>
  <c r="A41" i="14"/>
  <c r="B41" i="14"/>
  <c r="A42" i="14"/>
  <c r="B42" i="14"/>
  <c r="A43" i="14"/>
  <c r="B43" i="14"/>
  <c r="A44" i="14"/>
  <c r="B44" i="14"/>
  <c r="A45" i="14"/>
  <c r="B45" i="14"/>
  <c r="A46" i="14"/>
  <c r="B46" i="14"/>
  <c r="A47" i="14"/>
  <c r="B47" i="14"/>
  <c r="A48" i="14"/>
  <c r="B48" i="14"/>
  <c r="A49" i="14"/>
  <c r="B49" i="14"/>
  <c r="A50" i="14"/>
  <c r="B50" i="14"/>
  <c r="A51" i="14"/>
  <c r="B51" i="14"/>
  <c r="A52" i="14"/>
  <c r="B52" i="14"/>
  <c r="A53" i="14"/>
  <c r="B53" i="14"/>
  <c r="A54" i="14"/>
  <c r="B54" i="14"/>
  <c r="A55" i="14"/>
  <c r="B55" i="14"/>
  <c r="A56" i="14"/>
  <c r="B56" i="14"/>
  <c r="A57" i="14"/>
  <c r="B57" i="14"/>
  <c r="A58" i="14"/>
  <c r="B58" i="14"/>
  <c r="A59" i="14"/>
  <c r="B59" i="14"/>
  <c r="A60" i="14"/>
  <c r="B60" i="14"/>
  <c r="A61" i="14"/>
  <c r="B61" i="14"/>
  <c r="A62" i="14"/>
  <c r="B62" i="14"/>
  <c r="A63" i="14"/>
  <c r="B63" i="14"/>
  <c r="A64" i="14"/>
  <c r="B64" i="14"/>
  <c r="A65" i="14"/>
  <c r="B65" i="14"/>
  <c r="A66" i="14"/>
  <c r="B66" i="14"/>
  <c r="A67" i="14"/>
  <c r="B67" i="14"/>
  <c r="A68" i="14"/>
  <c r="B68" i="14"/>
  <c r="A69" i="14"/>
  <c r="B69" i="14"/>
  <c r="A70" i="14"/>
  <c r="B70" i="14"/>
  <c r="A71" i="14"/>
  <c r="B71" i="14"/>
  <c r="A72" i="14"/>
  <c r="B72" i="14"/>
  <c r="A73" i="14"/>
  <c r="B73" i="14"/>
  <c r="A74" i="14"/>
  <c r="B74" i="14"/>
  <c r="A75" i="14"/>
  <c r="B75" i="14"/>
  <c r="A76" i="14"/>
  <c r="B76" i="14"/>
  <c r="A77" i="14"/>
  <c r="B77" i="14"/>
  <c r="A78" i="14"/>
  <c r="B78" i="14"/>
  <c r="A79" i="14"/>
  <c r="B79" i="14"/>
  <c r="A80" i="14"/>
  <c r="B80" i="14"/>
  <c r="A81" i="14"/>
  <c r="B81" i="14"/>
  <c r="A82" i="14"/>
  <c r="B82" i="14"/>
  <c r="A83" i="14"/>
  <c r="B83" i="14"/>
  <c r="A84" i="14"/>
  <c r="B84" i="14"/>
  <c r="A85" i="14"/>
  <c r="B85" i="14"/>
  <c r="A86" i="14"/>
  <c r="B86" i="14"/>
  <c r="A87" i="14"/>
  <c r="B87" i="14"/>
  <c r="A88" i="14"/>
  <c r="B88" i="14"/>
  <c r="A89" i="14"/>
  <c r="B89" i="14"/>
  <c r="A90" i="14"/>
  <c r="B90" i="14"/>
  <c r="A91" i="14"/>
  <c r="B91" i="14"/>
  <c r="A92" i="14"/>
  <c r="B92" i="14"/>
  <c r="A93" i="14"/>
  <c r="B93" i="14"/>
  <c r="A94" i="14"/>
  <c r="B94" i="14"/>
  <c r="A95" i="14"/>
  <c r="B95" i="14"/>
  <c r="A96" i="14"/>
  <c r="B96" i="14"/>
  <c r="A97" i="14"/>
  <c r="B97" i="14"/>
  <c r="A98" i="14"/>
  <c r="B98" i="14"/>
  <c r="A99" i="14"/>
  <c r="B99" i="14"/>
  <c r="A100" i="14"/>
  <c r="B100" i="14"/>
  <c r="A101" i="14"/>
  <c r="B101" i="14"/>
  <c r="A102" i="14"/>
  <c r="B102" i="14"/>
  <c r="A103" i="14"/>
  <c r="B103" i="14"/>
  <c r="A104" i="14"/>
  <c r="B104" i="14"/>
  <c r="A105" i="14"/>
  <c r="B105" i="14"/>
  <c r="A106" i="14"/>
  <c r="B106" i="14"/>
  <c r="A107" i="14"/>
  <c r="B107" i="14"/>
  <c r="A108" i="14"/>
  <c r="B108" i="14"/>
  <c r="A109" i="14"/>
  <c r="B109" i="14"/>
  <c r="A110" i="14"/>
  <c r="B110" i="14"/>
  <c r="A111" i="14"/>
  <c r="B111" i="14"/>
  <c r="A112" i="14"/>
  <c r="B112" i="14"/>
  <c r="A113" i="14"/>
  <c r="B113" i="14"/>
  <c r="A114" i="14"/>
  <c r="B114" i="14"/>
  <c r="A115" i="14"/>
  <c r="B115" i="14"/>
  <c r="A116" i="14"/>
  <c r="B116" i="14"/>
  <c r="A117" i="14"/>
  <c r="B117" i="14"/>
  <c r="A118" i="14"/>
  <c r="B118" i="14"/>
  <c r="A119" i="14"/>
  <c r="B119" i="14"/>
  <c r="A120" i="14"/>
  <c r="B120" i="14"/>
  <c r="A121" i="14"/>
  <c r="B121" i="14"/>
  <c r="A122" i="14"/>
  <c r="B122" i="14"/>
  <c r="A123" i="14"/>
  <c r="B123" i="14"/>
  <c r="A124" i="14"/>
  <c r="B124" i="14"/>
  <c r="A125" i="14"/>
  <c r="B125" i="14"/>
  <c r="A126" i="14"/>
  <c r="B126" i="14"/>
  <c r="A127" i="14"/>
  <c r="B127" i="14"/>
  <c r="A128" i="14"/>
  <c r="B128" i="14"/>
  <c r="A129" i="14"/>
  <c r="B129" i="14"/>
  <c r="A130" i="14"/>
  <c r="B130" i="14"/>
  <c r="A131" i="14"/>
  <c r="B131" i="14"/>
  <c r="A132" i="14"/>
  <c r="B132" i="14"/>
  <c r="A133" i="14"/>
  <c r="B133" i="14"/>
  <c r="A134" i="14"/>
  <c r="B134" i="14"/>
  <c r="A135" i="14"/>
  <c r="B135" i="14"/>
  <c r="A136" i="14"/>
  <c r="B136" i="14"/>
  <c r="A137" i="14"/>
  <c r="B137" i="14"/>
  <c r="A138" i="14"/>
  <c r="B138" i="14"/>
  <c r="A139" i="14"/>
  <c r="B139" i="14"/>
  <c r="A140" i="14"/>
  <c r="B140" i="14"/>
  <c r="A141" i="14"/>
  <c r="B141" i="14"/>
  <c r="A142" i="14"/>
  <c r="B142" i="14"/>
  <c r="A143" i="14"/>
  <c r="B143" i="14"/>
  <c r="A144" i="14"/>
  <c r="B144" i="14"/>
  <c r="A145" i="14"/>
  <c r="B145" i="14"/>
  <c r="A146" i="14"/>
  <c r="B146" i="14"/>
  <c r="A147" i="14"/>
  <c r="B147" i="14"/>
  <c r="A148" i="14"/>
  <c r="B148" i="14"/>
  <c r="A149" i="14"/>
  <c r="B149" i="14"/>
  <c r="A150" i="14"/>
  <c r="B150" i="14"/>
  <c r="A151" i="14"/>
  <c r="B151" i="14"/>
  <c r="A152" i="14"/>
  <c r="B152" i="14"/>
  <c r="A153" i="14"/>
  <c r="B153" i="14"/>
  <c r="A154" i="14"/>
  <c r="B154" i="14"/>
  <c r="A155" i="14"/>
  <c r="B155" i="14"/>
  <c r="A156" i="14"/>
  <c r="B156" i="14"/>
  <c r="A157" i="14"/>
  <c r="B157" i="14"/>
  <c r="A158" i="14"/>
  <c r="B158" i="14"/>
  <c r="A159" i="14"/>
  <c r="B159" i="14"/>
  <c r="A160" i="14"/>
  <c r="B160" i="14"/>
  <c r="A161" i="14"/>
  <c r="B161" i="14"/>
  <c r="A162" i="14"/>
  <c r="B162" i="14"/>
  <c r="A163" i="14"/>
  <c r="B163" i="14"/>
  <c r="A164" i="14"/>
  <c r="B164" i="14"/>
  <c r="A165" i="14"/>
  <c r="B165" i="14"/>
  <c r="A166" i="14"/>
  <c r="B166" i="14"/>
  <c r="A167" i="14"/>
  <c r="B167" i="14"/>
  <c r="A168" i="14"/>
  <c r="B168" i="14"/>
  <c r="A169" i="14"/>
  <c r="B169" i="14"/>
  <c r="A170" i="14"/>
  <c r="B170" i="14"/>
  <c r="A171" i="14"/>
  <c r="B171" i="14"/>
  <c r="A172" i="14"/>
  <c r="B172" i="14"/>
  <c r="A173" i="14"/>
  <c r="B173" i="14"/>
  <c r="A174" i="14"/>
  <c r="B174" i="14"/>
  <c r="A175" i="14"/>
  <c r="B175" i="14"/>
  <c r="A176" i="14"/>
  <c r="B176" i="14"/>
  <c r="A177" i="14"/>
  <c r="B177" i="14"/>
  <c r="A178" i="14"/>
  <c r="B178" i="14"/>
  <c r="A179" i="14"/>
  <c r="B179" i="14"/>
  <c r="A180" i="14"/>
  <c r="B180" i="14"/>
  <c r="A181" i="14"/>
  <c r="B181" i="14"/>
  <c r="A182" i="14"/>
  <c r="B182" i="14"/>
  <c r="A183" i="14"/>
  <c r="B183" i="14"/>
  <c r="A184" i="14"/>
  <c r="B184" i="14"/>
  <c r="A185" i="14"/>
  <c r="B185" i="14"/>
  <c r="A186" i="14"/>
  <c r="B186" i="14"/>
  <c r="A187" i="14"/>
  <c r="B187" i="14"/>
  <c r="A188" i="14"/>
  <c r="B188" i="14"/>
  <c r="A189" i="14"/>
  <c r="B189" i="14"/>
  <c r="A190" i="14"/>
  <c r="B190" i="14"/>
  <c r="A191" i="14"/>
  <c r="B191" i="14"/>
  <c r="A192" i="14"/>
  <c r="B192" i="14"/>
  <c r="A193" i="14"/>
  <c r="B193" i="14"/>
  <c r="A194" i="14"/>
  <c r="B194" i="14"/>
  <c r="A195" i="14"/>
  <c r="B195" i="14"/>
  <c r="A196" i="14"/>
  <c r="B196" i="14"/>
  <c r="A197" i="14"/>
  <c r="B197" i="14"/>
  <c r="A198" i="14"/>
  <c r="B198" i="14"/>
  <c r="A199" i="14"/>
  <c r="B199" i="14"/>
  <c r="A200" i="14"/>
  <c r="B200" i="14"/>
  <c r="A201" i="14"/>
  <c r="B201" i="14"/>
  <c r="A202" i="14"/>
  <c r="B202" i="14"/>
  <c r="A203" i="14"/>
  <c r="B203" i="14"/>
  <c r="A204" i="14"/>
  <c r="B204" i="14"/>
  <c r="A205" i="14"/>
  <c r="B205" i="14"/>
  <c r="A206" i="14"/>
  <c r="B206" i="14"/>
  <c r="A207" i="14"/>
  <c r="B207" i="14"/>
  <c r="A208" i="14"/>
  <c r="B208" i="14"/>
  <c r="A209" i="14"/>
  <c r="B209" i="14"/>
  <c r="A210" i="14"/>
  <c r="B210" i="14"/>
  <c r="A211" i="14"/>
  <c r="B211" i="14"/>
  <c r="A212" i="14"/>
  <c r="B212" i="14"/>
  <c r="A213" i="14"/>
  <c r="B213" i="14"/>
  <c r="A214" i="14"/>
  <c r="B214" i="14"/>
  <c r="A215" i="14"/>
  <c r="B215" i="14"/>
  <c r="A216" i="14"/>
  <c r="B216" i="14"/>
  <c r="A217" i="14"/>
  <c r="B217" i="14"/>
  <c r="A218" i="14"/>
  <c r="B218" i="14"/>
  <c r="A219" i="14"/>
  <c r="B219" i="14"/>
  <c r="A220" i="14"/>
  <c r="B220" i="14"/>
  <c r="A221" i="14"/>
  <c r="B221" i="14"/>
  <c r="A222" i="14"/>
  <c r="B222" i="14"/>
  <c r="A223" i="14"/>
  <c r="B223" i="14"/>
  <c r="A224" i="14"/>
  <c r="B224" i="14"/>
  <c r="A225" i="14"/>
  <c r="B225" i="14"/>
  <c r="A226" i="14"/>
  <c r="B226" i="14"/>
  <c r="A227" i="14"/>
  <c r="B227" i="14"/>
  <c r="A228" i="14"/>
  <c r="B228" i="14"/>
  <c r="A229" i="14"/>
  <c r="B229" i="14"/>
  <c r="A230" i="14"/>
  <c r="B230" i="14"/>
  <c r="A231" i="14"/>
  <c r="B231" i="14"/>
  <c r="A232" i="14"/>
  <c r="B232" i="14"/>
  <c r="A233" i="14"/>
  <c r="B233" i="14"/>
  <c r="A234" i="14"/>
  <c r="B234" i="14"/>
  <c r="A235" i="14"/>
  <c r="B235" i="14"/>
  <c r="A236" i="14"/>
  <c r="B236" i="14"/>
  <c r="A237" i="14"/>
  <c r="B237" i="14"/>
  <c r="A238" i="14"/>
  <c r="B238" i="14"/>
  <c r="A239" i="14"/>
  <c r="B239" i="14"/>
  <c r="A240" i="14"/>
  <c r="B240" i="14"/>
  <c r="A241" i="14"/>
  <c r="B241" i="14"/>
  <c r="A5" i="14"/>
  <c r="B5" i="14"/>
  <c r="C37" i="10" l="1"/>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F38" i="10" l="1"/>
  <c r="M17" i="19"/>
  <c r="N17" i="19" s="1"/>
  <c r="M16" i="19"/>
  <c r="N16" i="19" s="1"/>
</calcChain>
</file>

<file path=xl/sharedStrings.xml><?xml version="1.0" encoding="utf-8"?>
<sst xmlns="http://schemas.openxmlformats.org/spreadsheetml/2006/main" count="174" uniqueCount="117">
  <si>
    <t>PRECIO UNITARIO</t>
  </si>
  <si>
    <t>TOTAL</t>
  </si>
  <si>
    <t>CANTIDAD</t>
  </si>
  <si>
    <t>LOCALIDAD</t>
  </si>
  <si>
    <t>PROVINCIA</t>
  </si>
  <si>
    <t>TELEFONO</t>
  </si>
  <si>
    <t>EMAIL</t>
  </si>
  <si>
    <t>FECHA</t>
  </si>
  <si>
    <t>Total general</t>
  </si>
  <si>
    <t>PRODUCTO</t>
  </si>
  <si>
    <t>MES</t>
  </si>
  <si>
    <t>USB</t>
  </si>
  <si>
    <t>NOMBRE</t>
  </si>
  <si>
    <t>DOMICILIO</t>
  </si>
  <si>
    <t>Etiquetas de fila</t>
  </si>
  <si>
    <t>Auriculares</t>
  </si>
  <si>
    <t>Stock</t>
  </si>
  <si>
    <t>CLIENTE</t>
  </si>
  <si>
    <t>IMPORTE PRESUPUESTADO</t>
  </si>
  <si>
    <t>VENTAS Y COBROS</t>
  </si>
  <si>
    <t>IMPORTE COBRADO</t>
  </si>
  <si>
    <t>MÍNIMO DE STOCK TOLERABLE</t>
  </si>
  <si>
    <t>Stock Actual</t>
  </si>
  <si>
    <t>Advertencia</t>
  </si>
  <si>
    <t>A vender</t>
  </si>
  <si>
    <t>Stock Mínimo</t>
  </si>
  <si>
    <t>Datos de Clientes</t>
  </si>
  <si>
    <t>CABA</t>
  </si>
  <si>
    <t>jm@ejemplo.com</t>
  </si>
  <si>
    <t>Belgrano 120</t>
  </si>
  <si>
    <t>CÓDIGO</t>
  </si>
  <si>
    <t>IVA</t>
  </si>
  <si>
    <t>DESCRIPCIÓN</t>
  </si>
  <si>
    <t>Chacabuco</t>
  </si>
  <si>
    <t>Buenos Aires</t>
  </si>
  <si>
    <t>6810 121</t>
  </si>
  <si>
    <t>latienda@hotmail.com</t>
  </si>
  <si>
    <t>Washington 891</t>
  </si>
  <si>
    <t>La multimarca S.A</t>
  </si>
  <si>
    <t>ID FISCAL</t>
  </si>
  <si>
    <t>30-22211139-2</t>
  </si>
  <si>
    <t>30-29211139-9</t>
  </si>
  <si>
    <t xml:space="preserve">Ingrese los datos de clientes </t>
  </si>
  <si>
    <t>Listado de productos, precios y minimo de stock tolerable</t>
  </si>
  <si>
    <t>BC001</t>
  </si>
  <si>
    <t>Coca-Cola Sin Azúcar (330 ml)</t>
  </si>
  <si>
    <t>BC002</t>
  </si>
  <si>
    <t>Sprite Zero (500 ml)</t>
  </si>
  <si>
    <t>BC003</t>
  </si>
  <si>
    <t>Fanta Naranja (1 L)</t>
  </si>
  <si>
    <t>AG001</t>
  </si>
  <si>
    <t>Agua Mineral Natural (500 ml)</t>
  </si>
  <si>
    <t>AG002</t>
  </si>
  <si>
    <t>Agua Gasificada (1 L)</t>
  </si>
  <si>
    <t>AG003</t>
  </si>
  <si>
    <t>Agua Saborizada Limón (750 ml)</t>
  </si>
  <si>
    <t>JN001</t>
  </si>
  <si>
    <t>Jugo de Naranja 100% Natural (1 L)</t>
  </si>
  <si>
    <t>JN002</t>
  </si>
  <si>
    <t>Néctar de Durazno (1 L)</t>
  </si>
  <si>
    <t>JN003</t>
  </si>
  <si>
    <t>Jugo de Manzana Sin Azúcar (500 ml)</t>
  </si>
  <si>
    <t>BF001</t>
  </si>
  <si>
    <t>Bebida Energética Sin Azúcar (250 ml)</t>
  </si>
  <si>
    <t>BF002</t>
  </si>
  <si>
    <t>Bebida Isotónica de Limón (750 ml)</t>
  </si>
  <si>
    <t>BF003</t>
  </si>
  <si>
    <t>Agua Vitaminada (600 ml)</t>
  </si>
  <si>
    <t>TI001</t>
  </si>
  <si>
    <t>Té Helado de Durazno (1 L)</t>
  </si>
  <si>
    <t>TI002</t>
  </si>
  <si>
    <t>Café Frío con Leche (330 ml)</t>
  </si>
  <si>
    <t>TI003</t>
  </si>
  <si>
    <t>Matcha Latte (250 ml)</t>
  </si>
  <si>
    <t>BV001</t>
  </si>
  <si>
    <t>Licuado de Almendra con Chocolate (1 L)</t>
  </si>
  <si>
    <t>BV002</t>
  </si>
  <si>
    <t>Batido de Frutilla (500 ml)</t>
  </si>
  <si>
    <t>BV003</t>
  </si>
  <si>
    <t>Bebida de Soja con Vainilla (750 ml)</t>
  </si>
  <si>
    <t>GA001</t>
  </si>
  <si>
    <t>Gaseosa Artesanal de Manzana (330 ml)</t>
  </si>
  <si>
    <t>GA002</t>
  </si>
  <si>
    <t>Kombucha de Jengibre (500 ml)</t>
  </si>
  <si>
    <t>GA003</t>
  </si>
  <si>
    <t>Gaseosa Orgánica de Limón (1 L)</t>
  </si>
  <si>
    <t>Ingrese los datos de productos</t>
  </si>
  <si>
    <t>[Mi Empresa]</t>
  </si>
  <si>
    <t>[Domicilio]</t>
  </si>
  <si>
    <t>[ID Fiscal]</t>
  </si>
  <si>
    <t>VENCIMIENTO</t>
  </si>
  <si>
    <t>ARTÍCULO</t>
  </si>
  <si>
    <t>SUBTOTAL</t>
  </si>
  <si>
    <t>TOTAL FACTURA</t>
  </si>
  <si>
    <t>Control</t>
  </si>
  <si>
    <t>CLIENTE:</t>
  </si>
  <si>
    <t>Seleccione el cliente</t>
  </si>
  <si>
    <t>VENDIDO</t>
  </si>
  <si>
    <t>COBRADO</t>
  </si>
  <si>
    <t>SALDO PENDIENTE</t>
  </si>
  <si>
    <t>Venta</t>
  </si>
  <si>
    <t>Ingrese el stock inicial y las compras.</t>
  </si>
  <si>
    <t>FACTURA</t>
  </si>
  <si>
    <t>Nº FACTURA</t>
  </si>
  <si>
    <t>Deportes el balón</t>
  </si>
  <si>
    <t>FACTURA Nº</t>
  </si>
  <si>
    <t>Suma de CANTIDAD</t>
  </si>
  <si>
    <t>Total AG002</t>
  </si>
  <si>
    <t>Stock Inicial</t>
  </si>
  <si>
    <t>STOCK INICIAL COMPRAS Y VENTAS</t>
  </si>
  <si>
    <t>Total BC001</t>
  </si>
  <si>
    <t>Total BC002</t>
  </si>
  <si>
    <t>Total AG001</t>
  </si>
  <si>
    <t>Total AG003</t>
  </si>
  <si>
    <t>Total JN002</t>
  </si>
  <si>
    <t>Total BF001</t>
  </si>
  <si>
    <t>Compra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</si>
</sst>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7" formatCode="&quot;$&quot;\ #,##0.00;\-&quot;$&quot;\ #,##0.00"/>
    <numFmt numFmtId="43" formatCode="_-* #,##0.00_-;\-* #,##0.00_-;_-* &quot;-&quot;??_-;_-@_-"/>
    <numFmt numFmtId="164" formatCode="_ &quot;$&quot;\ * #,##0.00_ ;_ &quot;$&quot;\ * \-#,##0.00_ ;_ &quot;$&quot;\ * &quot;-&quot;??_ ;_ @_ "/>
    <numFmt numFmtId="165" formatCode="&quot;$&quot;#,##0.00"/>
    <numFmt numFmtId="166" formatCode="&quot;$&quot;\ #,##0.0"/>
    <numFmt numFmtId="167" formatCode="&quot;$&quot;\ #,##0.00"/>
    <numFmt numFmtId="168" formatCode="dd/mm/yy;@"/>
    <numFmt numFmtId="169" formatCode="dd\-mm\-yy;@"/>
    <numFmt numFmtId="170" formatCode="&quot;$&quot;\ #,##0"/>
    <numFmt numFmtId="171" formatCode="#,##0\ &quot;€&quot;"/>
    <numFmt numFmtId="172" formatCode="_-* #,##0_-;\-* #,##0_-;_-* &quot;-&quot;??_-;_-@_-"/>
    <numFmt numFmtId="173" formatCode="#,##0;;"/>
  </numFmts>
  <fonts count="48" x14ac:knownFonts="1">
    <font>
      <sz val="11"/>
      <color theme="1"/>
      <name val="Calibri"/>
      <family val="2"/>
      <scheme val="minor"/>
    </font>
    <font>
      <sz val="11"/>
      <color theme="1"/>
      <name val="Calibri"/>
      <family val="2"/>
      <scheme val="minor"/>
    </font>
    <font>
      <u/>
      <sz val="10"/>
      <color theme="10"/>
      <name val="Arial"/>
      <family val="2"/>
    </font>
    <font>
      <sz val="10"/>
      <name val="Arial"/>
      <family val="2"/>
    </font>
    <font>
      <sz val="10"/>
      <color theme="1"/>
      <name val="Calibri"/>
      <family val="2"/>
      <scheme val="minor"/>
    </font>
    <font>
      <sz val="10"/>
      <name val="Calibri"/>
      <family val="2"/>
    </font>
    <font>
      <sz val="11"/>
      <name val="Calibri"/>
      <family val="2"/>
      <scheme val="minor"/>
    </font>
    <font>
      <sz val="9"/>
      <color theme="0"/>
      <name val="Calibri"/>
      <family val="2"/>
      <scheme val="minor"/>
    </font>
    <font>
      <b/>
      <sz val="14"/>
      <color rgb="FF1A5AE6"/>
      <name val="Calibri"/>
      <family val="2"/>
      <scheme val="minor"/>
    </font>
    <font>
      <sz val="11"/>
      <color rgb="FF000000"/>
      <name val="Calibri"/>
      <family val="2"/>
      <scheme val="minor"/>
    </font>
    <font>
      <u/>
      <sz val="11"/>
      <color theme="10"/>
      <name val="Arial"/>
      <family val="2"/>
    </font>
    <font>
      <sz val="11"/>
      <name val="Arial"/>
      <family val="2"/>
    </font>
    <font>
      <b/>
      <sz val="22"/>
      <color theme="1" tint="0.249977111117893"/>
      <name val="Calibri"/>
      <family val="2"/>
      <scheme val="minor"/>
    </font>
    <font>
      <sz val="16"/>
      <color theme="0" tint="-0.499984740745262"/>
      <name val="Calibri"/>
      <family val="2"/>
      <scheme val="minor"/>
    </font>
    <font>
      <sz val="12"/>
      <color theme="1"/>
      <name val="Calibri"/>
      <family val="2"/>
      <scheme val="minor"/>
    </font>
    <font>
      <sz val="12"/>
      <color rgb="FF000000"/>
      <name val="Calibri"/>
      <family val="2"/>
      <scheme val="minor"/>
    </font>
    <font>
      <b/>
      <sz val="15"/>
      <color theme="3"/>
      <name val="Calibri"/>
      <family val="2"/>
      <scheme val="minor"/>
    </font>
    <font>
      <b/>
      <sz val="36"/>
      <color rgb="FF1A5AE6"/>
      <name val="Calibri"/>
      <family val="2"/>
      <scheme val="minor"/>
    </font>
    <font>
      <sz val="16"/>
      <color rgb="FF595959"/>
      <name val="Calibri"/>
      <family val="2"/>
      <scheme val="minor"/>
    </font>
    <font>
      <sz val="15"/>
      <color rgb="FF595959"/>
      <name val="Calibri"/>
      <family val="2"/>
      <scheme val="minor"/>
    </font>
    <font>
      <sz val="12"/>
      <color indexed="10"/>
      <name val="Calibri"/>
      <family val="2"/>
    </font>
    <font>
      <b/>
      <sz val="36"/>
      <color indexed="22"/>
      <name val="Calibri"/>
      <family val="2"/>
    </font>
    <font>
      <u/>
      <sz val="10"/>
      <color theme="10"/>
      <name val="Calibri"/>
      <family val="2"/>
    </font>
    <font>
      <u/>
      <sz val="12"/>
      <color indexed="12"/>
      <name val="Calibri"/>
      <family val="2"/>
    </font>
    <font>
      <sz val="12"/>
      <name val="Verdana"/>
      <family val="2"/>
    </font>
    <font>
      <b/>
      <sz val="14"/>
      <name val="Verdana"/>
      <family val="2"/>
    </font>
    <font>
      <b/>
      <sz val="12"/>
      <name val="Verdana"/>
      <family val="2"/>
    </font>
    <font>
      <b/>
      <sz val="11"/>
      <name val="Verdana"/>
      <family val="2"/>
    </font>
    <font>
      <b/>
      <sz val="16"/>
      <color rgb="FF1A5AE6"/>
      <name val="Calibri"/>
      <family val="2"/>
      <scheme val="minor"/>
    </font>
    <font>
      <sz val="12"/>
      <color indexed="23"/>
      <name val="Calibri"/>
      <family val="2"/>
    </font>
    <font>
      <sz val="12"/>
      <name val="Calibri"/>
      <family val="2"/>
    </font>
    <font>
      <sz val="10"/>
      <name val="Verdana"/>
      <family val="2"/>
    </font>
    <font>
      <sz val="16"/>
      <color rgb="FF595959"/>
      <name val="Calibri"/>
      <family val="2"/>
    </font>
    <font>
      <b/>
      <sz val="14"/>
      <color rgb="FF1A5AE6"/>
      <name val="Calibri"/>
      <family val="2"/>
    </font>
    <font>
      <b/>
      <sz val="16"/>
      <color rgb="FF1A5AE6"/>
      <name val="Calibri"/>
      <family val="2"/>
    </font>
    <font>
      <sz val="14"/>
      <color rgb="FF1A5AE6"/>
      <name val="Verdana"/>
      <family val="2"/>
    </font>
    <font>
      <sz val="16"/>
      <color theme="2" tint="-0.499984740745262"/>
      <name val="Calibri"/>
      <family val="2"/>
      <scheme val="minor"/>
    </font>
    <font>
      <sz val="9"/>
      <name val="Verdana"/>
      <family val="2"/>
    </font>
    <font>
      <sz val="11"/>
      <name val="Verdana"/>
      <family val="2"/>
    </font>
    <font>
      <i/>
      <sz val="14"/>
      <name val="Calibri"/>
      <family val="2"/>
    </font>
    <font>
      <sz val="14"/>
      <color theme="1"/>
      <name val="Calibri"/>
      <family val="2"/>
      <scheme val="minor"/>
    </font>
    <font>
      <b/>
      <sz val="14"/>
      <color theme="1"/>
      <name val="Calibri"/>
      <family val="2"/>
      <scheme val="minor"/>
    </font>
    <font>
      <i/>
      <sz val="10"/>
      <color theme="1"/>
      <name val="Calibri"/>
      <family val="2"/>
      <scheme val="minor"/>
    </font>
    <font>
      <b/>
      <sz val="18"/>
      <color rgb="FF1A5AE6"/>
      <name val="Calibri"/>
      <family val="2"/>
      <scheme val="minor"/>
    </font>
    <font>
      <sz val="12"/>
      <color theme="0" tint="-0.499984740745262"/>
      <name val="Calibri"/>
      <family val="2"/>
      <scheme val="minor"/>
    </font>
    <font>
      <sz val="12"/>
      <color theme="1"/>
      <name val="Calibri"/>
      <family val="2"/>
    </font>
    <font>
      <b/>
      <sz val="12"/>
      <name val="Calibri"/>
      <family val="2"/>
    </font>
    <font>
      <b/>
      <sz val="12"/>
      <color rgb="FFFF0000"/>
      <name val="Calibri"/>
      <family val="2"/>
    </font>
  </fonts>
  <fills count="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FFFFFF"/>
        <bgColor indexed="64"/>
      </patternFill>
    </fill>
    <fill>
      <patternFill patternType="solid">
        <fgColor rgb="FFDEEDFF"/>
        <bgColor indexed="64"/>
      </patternFill>
    </fill>
    <fill>
      <patternFill patternType="solid">
        <fgColor rgb="FF1A5AE6"/>
        <bgColor indexed="64"/>
      </patternFill>
    </fill>
    <fill>
      <patternFill patternType="solid">
        <fgColor rgb="FF1A59E3"/>
        <bgColor indexed="64"/>
      </patternFill>
    </fill>
    <fill>
      <patternFill patternType="solid">
        <fgColor indexed="9"/>
        <bgColor indexed="64"/>
      </patternFill>
    </fill>
  </fills>
  <borders count="3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rgb="FFC0C0C0"/>
      </left>
      <right style="thin">
        <color rgb="FFC0C0C0"/>
      </right>
      <top style="thin">
        <color rgb="FFC0C0C0"/>
      </top>
      <bottom style="thin">
        <color rgb="FFC0C0C0"/>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right/>
      <top/>
      <bottom style="thick">
        <color theme="4"/>
      </bottom>
      <diagonal/>
    </border>
    <border>
      <left style="thin">
        <color theme="0" tint="-0.499984740745262"/>
      </left>
      <right style="thin">
        <color theme="0" tint="-0.499984740745262"/>
      </right>
      <top style="thin">
        <color theme="0" tint="-0.499984740745262"/>
      </top>
      <bottom/>
      <diagonal/>
    </border>
    <border>
      <left/>
      <right/>
      <top/>
      <bottom style="thin">
        <color rgb="FF1A5AE6"/>
      </bottom>
      <diagonal/>
    </border>
    <border>
      <left/>
      <right/>
      <top/>
      <bottom style="thick">
        <color rgb="FF1A5AE6"/>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style="thin">
        <color theme="0"/>
      </right>
      <top/>
      <bottom/>
      <diagonal/>
    </border>
    <border>
      <left style="thin">
        <color theme="0"/>
      </left>
      <right/>
      <top style="thin">
        <color theme="0"/>
      </top>
      <bottom style="thin">
        <color theme="0"/>
      </bottom>
      <diagonal/>
    </border>
    <border>
      <left/>
      <right/>
      <top/>
      <bottom style="thin">
        <color theme="0"/>
      </bottom>
      <diagonal/>
    </border>
    <border>
      <left/>
      <right/>
      <top style="thin">
        <color theme="4" tint="0.39997558519241921"/>
      </top>
      <bottom style="thin">
        <color theme="4" tint="0.39997558519241921"/>
      </bottom>
      <diagonal/>
    </border>
    <border>
      <left style="thin">
        <color rgb="FFC0C0C0"/>
      </left>
      <right style="thin">
        <color rgb="FFC0C0C0"/>
      </right>
      <top style="thin">
        <color rgb="FFC0C0C0"/>
      </top>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rgb="FFC0C0C0"/>
      </left>
      <right/>
      <top style="thin">
        <color theme="4" tint="0.39997558519241921"/>
      </top>
      <bottom/>
      <diagonal/>
    </border>
    <border>
      <left style="thin">
        <color rgb="FFC0C0C0"/>
      </left>
      <right style="thin">
        <color rgb="FFC0C0C0"/>
      </right>
      <top style="thin">
        <color theme="4" tint="0.39997558519241921"/>
      </top>
      <bottom/>
      <diagonal/>
    </border>
    <border>
      <left style="thin">
        <color rgb="FFC0C0C0"/>
      </left>
      <right/>
      <top style="thin">
        <color rgb="FFC0C0C0"/>
      </top>
      <bottom/>
      <diagonal/>
    </border>
    <border>
      <left style="thin">
        <color rgb="FFC0C0C0"/>
      </left>
      <right/>
      <top style="thin">
        <color rgb="FFC0C0C0"/>
      </top>
      <bottom style="thin">
        <color rgb="FFC0C0C0"/>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top style="thin">
        <color theme="0"/>
      </top>
      <bottom style="thin">
        <color theme="0" tint="-0.14996795556505021"/>
      </bottom>
      <diagonal/>
    </border>
    <border>
      <left style="thin">
        <color theme="0" tint="-0.14996795556505021"/>
      </left>
      <right/>
      <top style="thin">
        <color theme="0" tint="-0.14993743705557422"/>
      </top>
      <bottom style="thin">
        <color theme="0" tint="-0.14993743705557422"/>
      </bottom>
      <diagonal/>
    </border>
    <border>
      <left style="thin">
        <color theme="0" tint="-0.14996795556505021"/>
      </left>
      <right/>
      <top style="thin">
        <color theme="0" tint="-0.14996795556505021"/>
      </top>
      <bottom style="thin">
        <color theme="0" tint="-0.14993743705557422"/>
      </bottom>
      <diagonal/>
    </border>
    <border>
      <left/>
      <right/>
      <top style="thick">
        <color rgb="FF1A5AE6"/>
      </top>
      <bottom/>
      <diagonal/>
    </border>
  </borders>
  <cellStyleXfs count="9">
    <xf numFmtId="0" fontId="0" fillId="0" borderId="0"/>
    <xf numFmtId="164" fontId="1" fillId="0" borderId="0" applyFont="0" applyFill="0" applyBorder="0" applyAlignment="0" applyProtection="0"/>
    <xf numFmtId="0" fontId="2" fillId="0" borderId="0" applyNumberFormat="0" applyFill="0" applyBorder="0" applyAlignment="0" applyProtection="0"/>
    <xf numFmtId="9" fontId="1" fillId="0" borderId="0" applyFont="0" applyFill="0" applyBorder="0" applyAlignment="0" applyProtection="0"/>
    <xf numFmtId="0" fontId="5" fillId="0" borderId="0"/>
    <xf numFmtId="0" fontId="16" fillId="0" borderId="8" applyNumberFormat="0" applyFill="0" applyAlignment="0" applyProtection="0"/>
    <xf numFmtId="0" fontId="3" fillId="0" borderId="0"/>
    <xf numFmtId="0" fontId="22" fillId="0" borderId="0" applyNumberFormat="0" applyFill="0" applyBorder="0" applyAlignment="0" applyProtection="0">
      <alignment vertical="top"/>
      <protection locked="0"/>
    </xf>
    <xf numFmtId="43" fontId="1" fillId="0" borderId="0" applyFont="0" applyFill="0" applyBorder="0" applyAlignment="0" applyProtection="0"/>
  </cellStyleXfs>
  <cellXfs count="149">
    <xf numFmtId="0" fontId="0" fillId="0" borderId="0" xfId="0"/>
    <xf numFmtId="0" fontId="0" fillId="0" borderId="2" xfId="0" applyBorder="1" applyAlignment="1">
      <alignment horizontal="center"/>
    </xf>
    <xf numFmtId="164" fontId="0" fillId="0" borderId="0" xfId="1" applyFont="1" applyAlignment="1">
      <alignment horizontal="center"/>
    </xf>
    <xf numFmtId="0" fontId="0" fillId="0" borderId="0" xfId="0" applyAlignment="1">
      <alignment horizontal="center"/>
    </xf>
    <xf numFmtId="0" fontId="0" fillId="4" borderId="0" xfId="0" applyFill="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4" fillId="0" borderId="0" xfId="0" applyFont="1" applyAlignment="1">
      <alignment horizontal="center"/>
    </xf>
    <xf numFmtId="2" fontId="0" fillId="0" borderId="0" xfId="0" applyNumberFormat="1"/>
    <xf numFmtId="2" fontId="0" fillId="4" borderId="0" xfId="0" applyNumberFormat="1" applyFill="1"/>
    <xf numFmtId="168" fontId="0" fillId="0" borderId="0" xfId="0" applyNumberFormat="1"/>
    <xf numFmtId="169" fontId="5" fillId="3" borderId="0" xfId="0" applyNumberFormat="1" applyFont="1" applyFill="1" applyAlignment="1">
      <alignment horizontal="center" vertical="center"/>
    </xf>
    <xf numFmtId="2" fontId="6" fillId="0" borderId="0" xfId="0" applyNumberFormat="1" applyFont="1"/>
    <xf numFmtId="1" fontId="0" fillId="0" borderId="0" xfId="0" applyNumberFormat="1"/>
    <xf numFmtId="0" fontId="8" fillId="5" borderId="0" xfId="0" applyFont="1" applyFill="1" applyAlignment="1">
      <alignment horizontal="center" vertical="center"/>
    </xf>
    <xf numFmtId="0" fontId="9" fillId="2" borderId="4" xfId="0" applyFont="1" applyFill="1" applyBorder="1" applyAlignment="1">
      <alignment horizontal="center"/>
    </xf>
    <xf numFmtId="0" fontId="10" fillId="2" borderId="4" xfId="2" applyFont="1" applyFill="1" applyBorder="1" applyAlignment="1">
      <alignment horizontal="center"/>
    </xf>
    <xf numFmtId="0" fontId="6" fillId="2" borderId="4" xfId="2" applyFont="1" applyFill="1" applyBorder="1" applyAlignment="1">
      <alignment horizontal="center"/>
    </xf>
    <xf numFmtId="0" fontId="0" fillId="2" borderId="4" xfId="0" applyFill="1" applyBorder="1" applyAlignment="1">
      <alignment horizontal="center"/>
    </xf>
    <xf numFmtId="0" fontId="9" fillId="0" borderId="4" xfId="0" applyFont="1" applyBorder="1" applyAlignment="1">
      <alignment horizontal="center" wrapText="1"/>
    </xf>
    <xf numFmtId="0" fontId="10" fillId="0" borderId="4" xfId="2" applyFont="1" applyBorder="1" applyAlignment="1">
      <alignment horizontal="center" wrapText="1"/>
    </xf>
    <xf numFmtId="0" fontId="0" fillId="0" borderId="4" xfId="0" applyBorder="1" applyAlignment="1">
      <alignment horizontal="center"/>
    </xf>
    <xf numFmtId="0" fontId="11" fillId="2" borderId="4" xfId="2" applyFont="1" applyFill="1" applyBorder="1" applyAlignment="1">
      <alignment horizontal="center"/>
    </xf>
    <xf numFmtId="0" fontId="9" fillId="0" borderId="5" xfId="0" applyFont="1" applyBorder="1" applyAlignment="1">
      <alignment horizontal="center" wrapText="1"/>
    </xf>
    <xf numFmtId="0" fontId="0" fillId="0" borderId="5" xfId="0" applyBorder="1" applyAlignment="1">
      <alignment horizontal="center"/>
    </xf>
    <xf numFmtId="0" fontId="12" fillId="0" borderId="0" xfId="0" applyFont="1" applyAlignment="1">
      <alignment vertical="center"/>
    </xf>
    <xf numFmtId="0" fontId="13" fillId="0" borderId="0" xfId="0" applyFont="1" applyAlignment="1">
      <alignment vertical="top"/>
    </xf>
    <xf numFmtId="166" fontId="4" fillId="0" borderId="0" xfId="1" applyNumberFormat="1" applyFont="1" applyBorder="1" applyAlignment="1">
      <alignment horizontal="center"/>
    </xf>
    <xf numFmtId="164" fontId="0" fillId="0" borderId="0" xfId="1" applyFont="1" applyBorder="1" applyAlignment="1">
      <alignment horizontal="center"/>
    </xf>
    <xf numFmtId="166" fontId="14" fillId="0" borderId="1" xfId="1" applyNumberFormat="1" applyFont="1" applyBorder="1" applyAlignment="1">
      <alignment horizontal="center"/>
    </xf>
    <xf numFmtId="0" fontId="14" fillId="0" borderId="1" xfId="0" applyFont="1" applyBorder="1" applyAlignment="1">
      <alignment horizontal="center"/>
    </xf>
    <xf numFmtId="166" fontId="14" fillId="0" borderId="9" xfId="1" applyNumberFormat="1" applyFont="1" applyBorder="1" applyAlignment="1">
      <alignment horizontal="center"/>
    </xf>
    <xf numFmtId="0" fontId="14" fillId="0" borderId="9" xfId="0" applyFont="1" applyBorder="1" applyAlignment="1">
      <alignment horizontal="center"/>
    </xf>
    <xf numFmtId="170" fontId="14" fillId="0" borderId="1" xfId="1" applyNumberFormat="1" applyFont="1" applyBorder="1" applyAlignment="1">
      <alignment horizontal="center"/>
    </xf>
    <xf numFmtId="170" fontId="14" fillId="0" borderId="9" xfId="1" applyNumberFormat="1" applyFont="1" applyBorder="1" applyAlignment="1">
      <alignment horizontal="center"/>
    </xf>
    <xf numFmtId="0" fontId="14" fillId="0" borderId="1" xfId="0" applyFont="1" applyBorder="1" applyAlignment="1">
      <alignment horizontal="left"/>
    </xf>
    <xf numFmtId="0" fontId="14" fillId="0" borderId="9" xfId="0" applyFont="1" applyBorder="1" applyAlignment="1">
      <alignment horizontal="left"/>
    </xf>
    <xf numFmtId="0" fontId="8" fillId="5" borderId="0" xfId="0" applyFont="1" applyFill="1" applyAlignment="1">
      <alignment horizontal="center" vertical="center" wrapText="1"/>
    </xf>
    <xf numFmtId="0" fontId="8" fillId="0" borderId="0" xfId="0" applyFont="1" applyAlignment="1">
      <alignment horizontal="left" vertical="center" indent="1"/>
    </xf>
    <xf numFmtId="1" fontId="15" fillId="0" borderId="3" xfId="0" applyNumberFormat="1" applyFont="1" applyBorder="1" applyAlignment="1">
      <alignment horizontal="center"/>
    </xf>
    <xf numFmtId="0" fontId="0" fillId="6" borderId="0" xfId="0" applyFill="1"/>
    <xf numFmtId="0" fontId="5" fillId="0" borderId="0" xfId="4"/>
    <xf numFmtId="0" fontId="5" fillId="7" borderId="0" xfId="4" applyFill="1"/>
    <xf numFmtId="0" fontId="5" fillId="7" borderId="10" xfId="4" applyFill="1" applyBorder="1"/>
    <xf numFmtId="49" fontId="17" fillId="8" borderId="0" xfId="5" applyNumberFormat="1" applyFont="1" applyFill="1" applyBorder="1" applyAlignment="1" applyProtection="1">
      <alignment vertical="center" shrinkToFit="1"/>
      <protection locked="0"/>
    </xf>
    <xf numFmtId="9" fontId="18" fillId="0" borderId="0" xfId="3" applyFont="1" applyBorder="1" applyAlignment="1">
      <alignment horizontal="left"/>
    </xf>
    <xf numFmtId="0" fontId="19" fillId="0" borderId="0" xfId="5" applyFont="1" applyFill="1" applyBorder="1" applyAlignment="1">
      <alignment horizontal="left"/>
    </xf>
    <xf numFmtId="0" fontId="20" fillId="0" borderId="0" xfId="4" applyFont="1" applyAlignment="1">
      <alignment vertical="center"/>
    </xf>
    <xf numFmtId="0" fontId="19" fillId="0" borderId="11" xfId="5" applyFont="1" applyBorder="1" applyAlignment="1">
      <alignment horizontal="left"/>
    </xf>
    <xf numFmtId="0" fontId="16" fillId="0" borderId="11" xfId="5" applyBorder="1"/>
    <xf numFmtId="0" fontId="16" fillId="0" borderId="11" xfId="5" applyFill="1" applyBorder="1" applyAlignment="1" applyProtection="1">
      <alignment vertical="center"/>
    </xf>
    <xf numFmtId="49" fontId="21" fillId="8" borderId="0" xfId="6" applyNumberFormat="1" applyFont="1" applyFill="1" applyAlignment="1" applyProtection="1">
      <alignment vertical="center" shrinkToFit="1"/>
      <protection locked="0"/>
    </xf>
    <xf numFmtId="0" fontId="23" fillId="0" borderId="0" xfId="7" applyFont="1" applyFill="1" applyAlignment="1" applyProtection="1">
      <alignment vertical="center"/>
    </xf>
    <xf numFmtId="0" fontId="5" fillId="0" borderId="0" xfId="4" applyProtection="1">
      <protection locked="0"/>
    </xf>
    <xf numFmtId="49" fontId="24" fillId="8" borderId="0" xfId="6" applyNumberFormat="1" applyFont="1" applyFill="1" applyAlignment="1" applyProtection="1">
      <alignment horizontal="right" shrinkToFit="1"/>
      <protection locked="0"/>
    </xf>
    <xf numFmtId="49" fontId="25" fillId="8" borderId="0" xfId="6" applyNumberFormat="1" applyFont="1" applyFill="1" applyAlignment="1" applyProtection="1">
      <alignment shrinkToFit="1"/>
      <protection locked="0"/>
    </xf>
    <xf numFmtId="49" fontId="26" fillId="8" borderId="0" xfId="6" applyNumberFormat="1" applyFont="1" applyFill="1" applyAlignment="1" applyProtection="1">
      <alignment horizontal="right" shrinkToFit="1"/>
      <protection locked="0"/>
    </xf>
    <xf numFmtId="14" fontId="27" fillId="8" borderId="0" xfId="6" applyNumberFormat="1" applyFont="1" applyFill="1" applyAlignment="1" applyProtection="1">
      <alignment horizontal="center" shrinkToFit="1"/>
      <protection locked="0"/>
    </xf>
    <xf numFmtId="0" fontId="28" fillId="0" borderId="0" xfId="4" applyFont="1" applyAlignment="1">
      <alignment horizontal="center" vertical="center"/>
    </xf>
    <xf numFmtId="49" fontId="29" fillId="8" borderId="0" xfId="6" applyNumberFormat="1" applyFont="1" applyFill="1" applyAlignment="1" applyProtection="1">
      <alignment shrinkToFit="1"/>
      <protection locked="0"/>
    </xf>
    <xf numFmtId="14" fontId="18" fillId="0" borderId="0" xfId="3" applyNumberFormat="1" applyFont="1" applyBorder="1" applyAlignment="1">
      <alignment horizontal="center"/>
    </xf>
    <xf numFmtId="0" fontId="30" fillId="0" borderId="0" xfId="6" applyFont="1" applyAlignment="1" applyProtection="1">
      <alignment shrinkToFit="1"/>
      <protection locked="0"/>
    </xf>
    <xf numFmtId="49" fontId="25" fillId="8" borderId="0" xfId="6" applyNumberFormat="1" applyFont="1" applyFill="1" applyAlignment="1" applyProtection="1">
      <alignment horizontal="left" shrinkToFit="1"/>
      <protection locked="0"/>
    </xf>
    <xf numFmtId="0" fontId="28" fillId="5" borderId="12" xfId="4" applyFont="1" applyFill="1" applyBorder="1" applyAlignment="1">
      <alignment horizontal="center" vertical="center"/>
    </xf>
    <xf numFmtId="0" fontId="31" fillId="8" borderId="0" xfId="6" applyFont="1" applyFill="1" applyAlignment="1" applyProtection="1">
      <alignment shrinkToFit="1"/>
      <protection locked="0"/>
    </xf>
    <xf numFmtId="3" fontId="32" fillId="8" borderId="13" xfId="6" applyNumberFormat="1" applyFont="1" applyFill="1" applyBorder="1" applyAlignment="1" applyProtection="1">
      <alignment horizontal="center" shrinkToFit="1"/>
      <protection locked="0"/>
    </xf>
    <xf numFmtId="167" fontId="32" fillId="8" borderId="13" xfId="6" applyNumberFormat="1" applyFont="1" applyFill="1" applyBorder="1" applyAlignment="1" applyProtection="1">
      <alignment horizontal="center" shrinkToFit="1"/>
      <protection locked="0"/>
    </xf>
    <xf numFmtId="3" fontId="30" fillId="8" borderId="0" xfId="6" applyNumberFormat="1" applyFont="1" applyFill="1" applyAlignment="1" applyProtection="1">
      <alignment horizontal="left" shrinkToFit="1"/>
      <protection locked="0"/>
    </xf>
    <xf numFmtId="3" fontId="30" fillId="8" borderId="0" xfId="6" applyNumberFormat="1" applyFont="1" applyFill="1" applyAlignment="1" applyProtection="1">
      <alignment shrinkToFit="1"/>
      <protection locked="0"/>
    </xf>
    <xf numFmtId="165" fontId="30" fillId="8" borderId="0" xfId="6" applyNumberFormat="1" applyFont="1" applyFill="1" applyAlignment="1" applyProtection="1">
      <alignment shrinkToFit="1"/>
      <protection locked="0"/>
    </xf>
    <xf numFmtId="165" fontId="30" fillId="8" borderId="0" xfId="6" applyNumberFormat="1" applyFont="1" applyFill="1" applyAlignment="1">
      <alignment shrinkToFit="1"/>
    </xf>
    <xf numFmtId="0" fontId="33" fillId="0" borderId="0" xfId="6" applyFont="1" applyProtection="1">
      <protection locked="0"/>
    </xf>
    <xf numFmtId="167" fontId="28" fillId="5" borderId="12" xfId="4" applyNumberFormat="1" applyFont="1" applyFill="1" applyBorder="1" applyAlignment="1">
      <alignment horizontal="center" vertical="center"/>
    </xf>
    <xf numFmtId="0" fontId="35" fillId="8" borderId="0" xfId="6" applyFont="1" applyFill="1" applyAlignment="1" applyProtection="1">
      <alignment vertical="center" wrapText="1"/>
      <protection locked="0"/>
    </xf>
    <xf numFmtId="49" fontId="34" fillId="8" borderId="0" xfId="6" applyNumberFormat="1" applyFont="1" applyFill="1" applyAlignment="1" applyProtection="1">
      <alignment horizontal="right" vertical="center" shrinkToFit="1"/>
      <protection locked="0"/>
    </xf>
    <xf numFmtId="0" fontId="8" fillId="5" borderId="0" xfId="4" applyFont="1" applyFill="1" applyAlignment="1">
      <alignment horizontal="center" vertical="center"/>
    </xf>
    <xf numFmtId="1" fontId="37" fillId="8" borderId="0" xfId="6" applyNumberFormat="1" applyFont="1" applyFill="1" applyAlignment="1" applyProtection="1">
      <alignment horizontal="right" shrinkToFit="1"/>
      <protection locked="0"/>
    </xf>
    <xf numFmtId="0" fontId="38" fillId="8" borderId="0" xfId="6" applyFont="1" applyFill="1" applyAlignment="1" applyProtection="1">
      <alignment horizontal="right" shrinkToFit="1"/>
      <protection locked="0"/>
    </xf>
    <xf numFmtId="171" fontId="27" fillId="8" borderId="0" xfId="6" applyNumberFormat="1" applyFont="1" applyFill="1" applyAlignment="1" applyProtection="1">
      <alignment shrinkToFit="1"/>
      <protection locked="0"/>
    </xf>
    <xf numFmtId="0" fontId="3" fillId="0" borderId="0" xfId="6" applyProtection="1">
      <protection locked="0"/>
    </xf>
    <xf numFmtId="3" fontId="27" fillId="8" borderId="0" xfId="6" applyNumberFormat="1" applyFont="1" applyFill="1" applyAlignment="1" applyProtection="1">
      <alignment shrinkToFit="1"/>
      <protection locked="0"/>
    </xf>
    <xf numFmtId="9" fontId="36" fillId="0" borderId="0" xfId="3" applyFont="1" applyBorder="1" applyAlignment="1">
      <alignment horizontal="center" vertical="center"/>
    </xf>
    <xf numFmtId="0" fontId="7" fillId="0" borderId="0" xfId="0" applyFont="1" applyAlignment="1">
      <alignment horizontal="center"/>
    </xf>
    <xf numFmtId="172" fontId="18" fillId="0" borderId="0" xfId="8" applyNumberFormat="1" applyFont="1" applyBorder="1" applyAlignment="1">
      <alignment horizontal="center"/>
    </xf>
    <xf numFmtId="3" fontId="0" fillId="0" borderId="1" xfId="0" applyNumberFormat="1" applyBorder="1" applyAlignment="1">
      <alignment horizontal="center"/>
    </xf>
    <xf numFmtId="0" fontId="0" fillId="0" borderId="1" xfId="0" applyBorder="1" applyAlignment="1">
      <alignment horizontal="center"/>
    </xf>
    <xf numFmtId="9" fontId="18" fillId="0" borderId="0" xfId="3" applyFont="1" applyBorder="1" applyAlignment="1">
      <alignment horizontal="center"/>
    </xf>
    <xf numFmtId="0" fontId="41" fillId="0" borderId="0" xfId="0" applyFont="1" applyAlignment="1">
      <alignment horizontal="center" vertical="center"/>
    </xf>
    <xf numFmtId="0" fontId="8" fillId="5" borderId="20" xfId="0" applyFont="1" applyFill="1" applyBorder="1" applyAlignment="1">
      <alignment horizontal="center" vertical="center" wrapText="1"/>
    </xf>
    <xf numFmtId="0" fontId="43" fillId="5" borderId="0" xfId="0" applyFont="1" applyFill="1" applyAlignment="1">
      <alignment horizontal="centerContinuous" vertical="center"/>
    </xf>
    <xf numFmtId="0" fontId="28" fillId="5" borderId="0" xfId="0" applyFont="1" applyFill="1" applyAlignment="1">
      <alignment horizontal="center" vertical="center"/>
    </xf>
    <xf numFmtId="0" fontId="44" fillId="0" borderId="0" xfId="0" applyFont="1" applyAlignment="1">
      <alignment vertical="top"/>
    </xf>
    <xf numFmtId="1" fontId="15" fillId="0" borderId="21" xfId="0" applyNumberFormat="1" applyFont="1" applyBorder="1" applyAlignment="1">
      <alignment horizontal="center"/>
    </xf>
    <xf numFmtId="0" fontId="8" fillId="5" borderId="22" xfId="0" applyFont="1" applyFill="1" applyBorder="1" applyAlignment="1">
      <alignment horizontal="center" vertical="center"/>
    </xf>
    <xf numFmtId="0" fontId="8" fillId="5" borderId="23" xfId="0" applyFont="1" applyFill="1" applyBorder="1" applyAlignment="1">
      <alignment horizontal="center" vertical="center"/>
    </xf>
    <xf numFmtId="14" fontId="15" fillId="0" borderId="24" xfId="0" applyNumberFormat="1" applyFont="1" applyBorder="1" applyAlignment="1">
      <alignment horizontal="center"/>
    </xf>
    <xf numFmtId="0" fontId="15" fillId="2" borderId="24" xfId="0" applyFont="1" applyFill="1" applyBorder="1" applyAlignment="1">
      <alignment horizontal="center"/>
    </xf>
    <xf numFmtId="0" fontId="15" fillId="0" borderId="24" xfId="0" applyFont="1" applyBorder="1" applyAlignment="1">
      <alignment horizontal="center"/>
    </xf>
    <xf numFmtId="1" fontId="15" fillId="0" borderId="24" xfId="0" applyNumberFormat="1" applyFont="1" applyBorder="1" applyAlignment="1">
      <alignment horizontal="center"/>
    </xf>
    <xf numFmtId="1" fontId="15" fillId="0" borderId="25" xfId="0" applyNumberFormat="1" applyFont="1" applyBorder="1" applyAlignment="1">
      <alignment horizontal="center"/>
    </xf>
    <xf numFmtId="14" fontId="15" fillId="0" borderId="26" xfId="0" applyNumberFormat="1" applyFont="1" applyBorder="1" applyAlignment="1">
      <alignment horizontal="center"/>
    </xf>
    <xf numFmtId="0" fontId="15" fillId="2" borderId="26" xfId="0" applyFont="1" applyFill="1" applyBorder="1" applyAlignment="1">
      <alignment horizontal="center"/>
    </xf>
    <xf numFmtId="0" fontId="15" fillId="0" borderId="26" xfId="0" applyFont="1" applyBorder="1" applyAlignment="1">
      <alignment horizontal="center"/>
    </xf>
    <xf numFmtId="1" fontId="15" fillId="0" borderId="26" xfId="0" applyNumberFormat="1" applyFont="1" applyBorder="1" applyAlignment="1">
      <alignment horizontal="center"/>
    </xf>
    <xf numFmtId="14" fontId="15" fillId="0" borderId="27" xfId="0" applyNumberFormat="1" applyFont="1" applyBorder="1" applyAlignment="1">
      <alignment horizontal="center"/>
    </xf>
    <xf numFmtId="0" fontId="15" fillId="2" borderId="27" xfId="0" applyFont="1" applyFill="1" applyBorder="1" applyAlignment="1">
      <alignment horizontal="center"/>
    </xf>
    <xf numFmtId="0" fontId="15" fillId="0" borderId="27" xfId="0" applyFont="1" applyBorder="1" applyAlignment="1">
      <alignment horizontal="center"/>
    </xf>
    <xf numFmtId="1" fontId="15" fillId="0" borderId="27" xfId="0" applyNumberFormat="1" applyFont="1" applyBorder="1" applyAlignment="1">
      <alignment horizontal="center"/>
    </xf>
    <xf numFmtId="9" fontId="18" fillId="0" borderId="0" xfId="3" applyFont="1" applyBorder="1" applyAlignment="1">
      <alignment horizontal="centerContinuous"/>
    </xf>
    <xf numFmtId="0" fontId="28" fillId="5" borderId="0" xfId="4" applyFont="1" applyFill="1" applyAlignment="1">
      <alignment vertical="center"/>
    </xf>
    <xf numFmtId="49" fontId="26" fillId="8" borderId="32" xfId="6" applyNumberFormat="1" applyFont="1" applyFill="1" applyBorder="1" applyAlignment="1" applyProtection="1">
      <alignment horizontal="right" shrinkToFit="1"/>
      <protection locked="0"/>
    </xf>
    <xf numFmtId="49" fontId="29" fillId="8" borderId="19" xfId="6" applyNumberFormat="1" applyFont="1" applyFill="1" applyBorder="1" applyAlignment="1" applyProtection="1">
      <alignment horizontal="center" shrinkToFit="1"/>
      <protection locked="0"/>
    </xf>
    <xf numFmtId="3" fontId="32" fillId="8" borderId="28" xfId="6" applyNumberFormat="1" applyFont="1" applyFill="1" applyBorder="1" applyAlignment="1" applyProtection="1">
      <alignment horizontal="center" shrinkToFit="1"/>
      <protection locked="0"/>
    </xf>
    <xf numFmtId="3" fontId="32" fillId="8" borderId="29" xfId="6" applyNumberFormat="1" applyFont="1" applyFill="1" applyBorder="1" applyAlignment="1" applyProtection="1">
      <alignment horizontal="center" shrinkToFit="1"/>
      <protection locked="0"/>
    </xf>
    <xf numFmtId="3" fontId="32" fillId="8" borderId="30" xfId="6" applyNumberFormat="1" applyFont="1" applyFill="1" applyBorder="1" applyAlignment="1" applyProtection="1">
      <alignment horizontal="center" shrinkToFit="1"/>
      <protection locked="0"/>
    </xf>
    <xf numFmtId="3" fontId="32" fillId="8" borderId="31" xfId="6" applyNumberFormat="1" applyFont="1" applyFill="1" applyBorder="1" applyAlignment="1" applyProtection="1">
      <alignment horizontal="center" shrinkToFit="1"/>
      <protection locked="0"/>
    </xf>
    <xf numFmtId="0" fontId="28" fillId="5" borderId="0" xfId="4" applyFont="1" applyFill="1" applyAlignment="1">
      <alignment horizontal="centerContinuous" vertical="center"/>
    </xf>
    <xf numFmtId="2" fontId="6" fillId="0" borderId="0" xfId="0" applyNumberFormat="1" applyFont="1" applyAlignment="1">
      <alignment horizontal="center"/>
    </xf>
    <xf numFmtId="168" fontId="0" fillId="0" borderId="0" xfId="0" applyNumberFormat="1" applyAlignment="1">
      <alignment horizontal="center"/>
    </xf>
    <xf numFmtId="1" fontId="45" fillId="3" borderId="1" xfId="0" applyNumberFormat="1" applyFont="1" applyFill="1" applyBorder="1" applyAlignment="1">
      <alignment horizontal="center" vertical="center"/>
    </xf>
    <xf numFmtId="14" fontId="45" fillId="3" borderId="1" xfId="0" applyNumberFormat="1" applyFont="1" applyFill="1" applyBorder="1" applyAlignment="1">
      <alignment horizontal="center" vertical="center"/>
    </xf>
    <xf numFmtId="167" fontId="45" fillId="3" borderId="1" xfId="0" applyNumberFormat="1" applyFont="1" applyFill="1" applyBorder="1" applyAlignment="1">
      <alignment horizontal="center" vertical="center"/>
    </xf>
    <xf numFmtId="1" fontId="30" fillId="3" borderId="1" xfId="0" applyNumberFormat="1" applyFont="1" applyFill="1" applyBorder="1" applyAlignment="1">
      <alignment horizontal="center" vertical="center"/>
    </xf>
    <xf numFmtId="14" fontId="46" fillId="3" borderId="1" xfId="0" applyNumberFormat="1" applyFont="1" applyFill="1" applyBorder="1" applyAlignment="1">
      <alignment horizontal="center" vertical="center"/>
    </xf>
    <xf numFmtId="167" fontId="46" fillId="3" borderId="1" xfId="0" applyNumberFormat="1" applyFont="1" applyFill="1" applyBorder="1" applyAlignment="1">
      <alignment horizontal="center" vertical="center"/>
    </xf>
    <xf numFmtId="167" fontId="47" fillId="3" borderId="1" xfId="0" applyNumberFormat="1" applyFont="1" applyFill="1" applyBorder="1" applyAlignment="1">
      <alignment horizontal="center" vertical="center"/>
    </xf>
    <xf numFmtId="0" fontId="0" fillId="0" borderId="0" xfId="0" applyAlignment="1">
      <alignment vertical="center"/>
    </xf>
    <xf numFmtId="0" fontId="42" fillId="0" borderId="0" xfId="0" applyFont="1" applyAlignment="1">
      <alignment vertical="center"/>
    </xf>
    <xf numFmtId="1" fontId="32" fillId="8" borderId="13" xfId="6" applyNumberFormat="1" applyFont="1" applyFill="1" applyBorder="1" applyAlignment="1" applyProtection="1">
      <alignment horizontal="center" shrinkToFit="1"/>
      <protection locked="0"/>
    </xf>
    <xf numFmtId="1" fontId="32" fillId="8" borderId="14" xfId="6" applyNumberFormat="1" applyFont="1" applyFill="1" applyBorder="1" applyAlignment="1" applyProtection="1">
      <alignment horizontal="center" shrinkToFit="1"/>
      <protection locked="0"/>
    </xf>
    <xf numFmtId="1" fontId="32" fillId="8" borderId="15" xfId="6" applyNumberFormat="1" applyFont="1" applyFill="1" applyBorder="1" applyAlignment="1" applyProtection="1">
      <alignment horizontal="center" shrinkToFit="1"/>
      <protection locked="0"/>
    </xf>
    <xf numFmtId="1" fontId="32" fillId="8" borderId="16" xfId="6" applyNumberFormat="1" applyFont="1" applyFill="1" applyBorder="1" applyAlignment="1" applyProtection="1">
      <alignment horizontal="center" shrinkToFit="1"/>
      <protection locked="0"/>
    </xf>
    <xf numFmtId="7" fontId="0" fillId="0" borderId="0" xfId="0" applyNumberFormat="1"/>
    <xf numFmtId="173" fontId="0" fillId="0" borderId="1" xfId="0" applyNumberFormat="1" applyBorder="1" applyAlignment="1">
      <alignment horizontal="center"/>
    </xf>
    <xf numFmtId="0" fontId="8" fillId="5" borderId="12" xfId="4" applyFont="1" applyFill="1" applyBorder="1" applyAlignment="1">
      <alignment horizontal="center" vertical="center"/>
    </xf>
    <xf numFmtId="0" fontId="8" fillId="5" borderId="18" xfId="4" applyFont="1" applyFill="1" applyBorder="1" applyAlignment="1">
      <alignment horizontal="center" vertical="center"/>
    </xf>
    <xf numFmtId="49" fontId="34" fillId="8" borderId="0" xfId="6" applyNumberFormat="1" applyFont="1" applyFill="1" applyAlignment="1" applyProtection="1">
      <alignment horizontal="center" vertical="center" shrinkToFit="1"/>
      <protection locked="0"/>
    </xf>
    <xf numFmtId="49" fontId="34" fillId="8" borderId="17" xfId="6" applyNumberFormat="1" applyFont="1" applyFill="1" applyBorder="1" applyAlignment="1" applyProtection="1">
      <alignment horizontal="center" vertical="center" shrinkToFit="1"/>
      <protection locked="0"/>
    </xf>
    <xf numFmtId="0" fontId="39" fillId="0" borderId="19" xfId="4" applyFont="1" applyBorder="1" applyAlignment="1">
      <alignment horizontal="center"/>
    </xf>
    <xf numFmtId="49" fontId="17" fillId="8" borderId="0" xfId="5" applyNumberFormat="1" applyFont="1" applyFill="1" applyBorder="1" applyAlignment="1" applyProtection="1">
      <alignment horizontal="center" vertical="center" shrinkToFit="1"/>
      <protection locked="0"/>
    </xf>
    <xf numFmtId="49" fontId="17" fillId="8" borderId="11" xfId="5" applyNumberFormat="1" applyFont="1" applyFill="1" applyBorder="1" applyAlignment="1" applyProtection="1">
      <alignment horizontal="center" vertical="center" shrinkToFit="1"/>
      <protection locked="0"/>
    </xf>
    <xf numFmtId="167" fontId="40" fillId="0" borderId="6" xfId="1" applyNumberFormat="1" applyFont="1" applyBorder="1" applyAlignment="1">
      <alignment horizontal="center" vertical="center"/>
    </xf>
    <xf numFmtId="167" fontId="40" fillId="0" borderId="7" xfId="1" applyNumberFormat="1" applyFont="1" applyBorder="1" applyAlignment="1">
      <alignment horizontal="center" vertical="center"/>
    </xf>
    <xf numFmtId="167" fontId="40" fillId="0" borderId="6" xfId="0" applyNumberFormat="1" applyFont="1" applyBorder="1" applyAlignment="1">
      <alignment horizontal="center" vertical="center"/>
    </xf>
    <xf numFmtId="167" fontId="40" fillId="0" borderId="7" xfId="0" applyNumberFormat="1" applyFont="1" applyBorder="1" applyAlignment="1">
      <alignment horizontal="center" vertical="center"/>
    </xf>
    <xf numFmtId="0" fontId="0" fillId="0" borderId="0" xfId="0" applyAlignment="1">
      <alignment horizontal="center"/>
    </xf>
    <xf numFmtId="0" fontId="12" fillId="0" borderId="0" xfId="0" applyFont="1" applyAlignment="1">
      <alignment horizontal="left" vertical="center"/>
    </xf>
    <xf numFmtId="0" fontId="0" fillId="0" borderId="0" xfId="0" applyNumberFormat="1"/>
  </cellXfs>
  <cellStyles count="9">
    <cellStyle name="Encabezado 1 2" xfId="5" xr:uid="{EC92E870-5BE8-4C62-9D64-EAA04EDB2D7B}"/>
    <cellStyle name="Hipervínculo" xfId="2" builtinId="8"/>
    <cellStyle name="Hipervínculo 2" xfId="7" xr:uid="{757D100C-52FB-40DD-BFAB-9CD5151EC260}"/>
    <cellStyle name="Millares" xfId="8" builtinId="3"/>
    <cellStyle name="Moneda" xfId="1" builtinId="4"/>
    <cellStyle name="Normal" xfId="0" builtinId="0"/>
    <cellStyle name="Normal 2" xfId="4" xr:uid="{207259AE-F171-431E-B42A-92294A39921A}"/>
    <cellStyle name="Normal 2 2" xfId="6" xr:uid="{978E4528-3DE4-4343-8A1B-FE2E2D27F7F2}"/>
    <cellStyle name="Porcentaje" xfId="3" builtinId="5"/>
  </cellStyles>
  <dxfs count="19">
    <dxf>
      <font>
        <strike val="0"/>
        <outline val="0"/>
        <shadow val="0"/>
        <vertAlign val="baseline"/>
        <sz val="11"/>
      </font>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rgb="FF000000"/>
        <name val="Calibri"/>
        <family val="2"/>
        <scheme val="minor"/>
      </font>
      <alignment horizontal="center" vertical="bottom"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rgb="FF000000"/>
        <name val="Calibri"/>
        <family val="2"/>
        <scheme val="minor"/>
      </font>
      <alignment horizontal="center" vertical="bottom"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rgb="FF000000"/>
        <name val="Calibri"/>
        <family val="2"/>
        <scheme val="minor"/>
      </font>
      <alignment horizontal="center" vertical="bottom"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rgb="FF000000"/>
        <name val="Calibri"/>
        <family val="2"/>
        <scheme val="minor"/>
      </font>
      <alignment horizontal="center" vertical="bottom"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rgb="FF000000"/>
        <name val="Calibri"/>
        <family val="2"/>
        <scheme val="minor"/>
      </font>
      <alignment horizontal="center" vertical="bottom"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rgb="FF000000"/>
        <name val="Calibri"/>
        <family val="2"/>
        <scheme val="minor"/>
      </font>
      <alignment horizontal="center" vertical="bottom"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dxf>
    <dxf>
      <border outline="0">
        <bottom style="thin">
          <color theme="0" tint="-0.34998626667073579"/>
        </bottom>
      </border>
    </dxf>
    <dxf>
      <font>
        <b val="0"/>
        <i val="0"/>
        <strike val="0"/>
        <condense val="0"/>
        <extend val="0"/>
        <outline val="0"/>
        <shadow val="0"/>
        <u val="none"/>
        <vertAlign val="baseline"/>
        <sz val="11"/>
        <color rgb="FF000000"/>
        <name val="Calibri"/>
        <family val="2"/>
        <scheme val="minor"/>
      </font>
      <alignment horizontal="center" vertical="bottom" textRotation="0" wrapText="1" indent="0" justifyLastLine="0" shrinkToFit="0" readingOrder="0"/>
    </dxf>
    <dxf>
      <font>
        <b/>
        <i val="0"/>
        <strike val="0"/>
        <condense val="0"/>
        <extend val="0"/>
        <outline val="0"/>
        <shadow val="0"/>
        <u val="none"/>
        <vertAlign val="baseline"/>
        <sz val="14"/>
        <color rgb="FF1A5AE6"/>
        <name val="Calibri"/>
        <family val="2"/>
        <scheme val="minor"/>
      </font>
      <fill>
        <patternFill patternType="solid">
          <fgColor indexed="64"/>
          <bgColor rgb="FFDEEDFF"/>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12"/>
        <color theme="1"/>
        <name val="Calibri"/>
        <family val="2"/>
        <scheme val="minor"/>
      </font>
      <numFmt numFmtId="170" formatCode="&quot;$&quot;\ #,##0"/>
      <alignment horizontal="center" vertical="bottom"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12"/>
        <color theme="1"/>
        <name val="Calibri"/>
        <family val="2"/>
        <scheme val="minor"/>
      </font>
      <alignment horizontal="left" vertical="bottom"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b val="0"/>
        <i val="0"/>
        <strike val="0"/>
        <condense val="0"/>
        <extend val="0"/>
        <outline val="0"/>
        <shadow val="0"/>
        <u val="none"/>
        <vertAlign val="baseline"/>
        <sz val="12"/>
        <color theme="1"/>
        <name val="Calibri"/>
        <family val="2"/>
        <scheme val="minor"/>
      </font>
      <numFmt numFmtId="166" formatCode="&quot;$&quot;\ #,##0.0"/>
      <alignment horizontal="center" vertical="bottom"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border outline="0">
        <bottom style="thin">
          <color theme="0" tint="-0.499984740745262"/>
        </bottom>
      </border>
    </dxf>
    <dxf>
      <font>
        <strike val="0"/>
        <outline val="0"/>
        <shadow val="0"/>
        <u val="none"/>
        <vertAlign val="baseline"/>
        <sz val="12"/>
        <color theme="1"/>
        <name val="Calibri"/>
        <family val="2"/>
        <scheme val="minor"/>
      </font>
    </dxf>
    <dxf>
      <font>
        <b/>
        <i val="0"/>
        <strike val="0"/>
        <condense val="0"/>
        <extend val="0"/>
        <outline val="0"/>
        <shadow val="0"/>
        <u val="none"/>
        <vertAlign val="baseline"/>
        <sz val="14"/>
        <color rgb="FF1A5AE6"/>
        <name val="Calibri"/>
        <family val="2"/>
        <scheme val="minor"/>
      </font>
      <fill>
        <patternFill patternType="solid">
          <fgColor indexed="64"/>
          <bgColor rgb="FFDEEDFF"/>
        </patternFill>
      </fill>
      <alignment horizontal="center" vertical="center" textRotation="0" wrapText="0" indent="0" justifyLastLine="0" shrinkToFit="0" readingOrder="0"/>
    </dxf>
    <dxf>
      <fill>
        <patternFill>
          <bgColor theme="0" tint="-4.9989318521683403E-2"/>
        </patternFill>
      </fill>
    </dxf>
    <dxf>
      <font>
        <color theme="0"/>
      </font>
    </dxf>
  </dxfs>
  <tableStyles count="0" defaultTableStyle="TableStyleMedium2" defaultPivotStyle="PivotStyleLight16"/>
  <colors>
    <mruColors>
      <color rgb="FF1A59E3"/>
      <color rgb="FFDEEDFF"/>
      <color rgb="FFF5F8EE"/>
      <color rgb="FFFF66CC"/>
      <color rgb="FFFFFF00"/>
      <color rgb="FFFFFF99"/>
      <color rgb="FF00CC66"/>
      <color rgb="FF0080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https://www.planillaexcel.com/blog/como-habilitar-las-macros-en-tu-excel" TargetMode="External"/><Relationship Id="rId1" Type="http://schemas.openxmlformats.org/officeDocument/2006/relationships/hyperlink" Target="https://www.planillaexcel.com/blog"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5</xdr:row>
      <xdr:rowOff>109220</xdr:rowOff>
    </xdr:from>
    <xdr:to>
      <xdr:col>10</xdr:col>
      <xdr:colOff>527050</xdr:colOff>
      <xdr:row>87</xdr:row>
      <xdr:rowOff>82550</xdr:rowOff>
    </xdr:to>
    <xdr:sp macro="" textlink="">
      <xdr:nvSpPr>
        <xdr:cNvPr id="2" name="TextBox 4">
          <a:extLst>
            <a:ext uri="{FF2B5EF4-FFF2-40B4-BE49-F238E27FC236}">
              <a16:creationId xmlns:a16="http://schemas.microsoft.com/office/drawing/2014/main" id="{8611FB0B-2FAD-4306-A51E-9B3F65E5EFD2}"/>
            </a:ext>
          </a:extLst>
        </xdr:cNvPr>
        <xdr:cNvSpPr txBox="1"/>
      </xdr:nvSpPr>
      <xdr:spPr>
        <a:xfrm>
          <a:off x="292100" y="1626870"/>
          <a:ext cx="7385050" cy="150736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chemeClr val="tx1">
                  <a:lumMod val="65000"/>
                  <a:lumOff val="35000"/>
                </a:schemeClr>
              </a:solidFill>
            </a:rPr>
            <a:t>La</a:t>
          </a:r>
          <a:r>
            <a:rPr lang="es-ES" sz="1600" baseline="0">
              <a:solidFill>
                <a:schemeClr val="tx1">
                  <a:lumMod val="65000"/>
                  <a:lumOff val="35000"/>
                </a:schemeClr>
              </a:solidFill>
            </a:rPr>
            <a:t> plantilla de control de stock y cobranzas </a:t>
          </a:r>
          <a:r>
            <a:rPr lang="es-AR" sz="1600"/>
            <a:t>es una herramienta integral para gestionar inventarios, ventas y facturación, diseñada para automatizar procesos comunes de negocio. Permite registrar productos, clientes, movimientos de inventario, generar facturas, gestionar cuentas corrientes de clientes y controlar el stock en tiempo real.</a:t>
          </a:r>
          <a:endParaRPr lang="es-ES" sz="1600" baseline="0">
            <a:solidFill>
              <a:schemeClr val="tx1">
                <a:lumMod val="65000"/>
                <a:lumOff val="35000"/>
              </a:schemeClr>
            </a:solidFill>
          </a:endParaRPr>
        </a:p>
        <a:p>
          <a:endParaRPr lang="en-US" sz="1600">
            <a:solidFill>
              <a:schemeClr val="tx1">
                <a:lumMod val="65000"/>
                <a:lumOff val="35000"/>
              </a:schemeClr>
            </a:solidFill>
          </a:endParaRPr>
        </a:p>
        <a:p>
          <a:r>
            <a:rPr lang="en-US" sz="1600">
              <a:solidFill>
                <a:schemeClr val="tx1">
                  <a:lumMod val="65000"/>
                  <a:lumOff val="35000"/>
                </a:schemeClr>
              </a:solidFill>
            </a:rPr>
            <a:t>Para usarla,</a:t>
          </a:r>
          <a:r>
            <a:rPr lang="en-US" sz="1600" baseline="0">
              <a:solidFill>
                <a:schemeClr val="tx1">
                  <a:lumMod val="65000"/>
                  <a:lumOff val="35000"/>
                </a:schemeClr>
              </a:solidFill>
            </a:rPr>
            <a:t> sigue estos pasos:</a:t>
          </a:r>
        </a:p>
        <a:p>
          <a:endParaRPr lang="en-US" sz="1600" baseline="0">
            <a:solidFill>
              <a:schemeClr val="tx1">
                <a:lumMod val="65000"/>
                <a:lumOff val="35000"/>
              </a:schemeClr>
            </a:solidFill>
          </a:endParaRPr>
        </a:p>
        <a:p>
          <a:r>
            <a:rPr lang="en-US" sz="1600" b="1" baseline="0">
              <a:solidFill>
                <a:schemeClr val="tx1">
                  <a:lumMod val="65000"/>
                  <a:lumOff val="35000"/>
                </a:schemeClr>
              </a:solidFill>
            </a:rPr>
            <a:t>1. </a:t>
          </a:r>
          <a:r>
            <a:rPr lang="en-US" sz="1600" b="0" baseline="0">
              <a:solidFill>
                <a:schemeClr val="tx1">
                  <a:lumMod val="65000"/>
                  <a:lumOff val="35000"/>
                </a:schemeClr>
              </a:solidFill>
            </a:rPr>
            <a:t>En la hoja </a:t>
          </a:r>
          <a:r>
            <a:rPr lang="en-US" sz="1600" b="1" baseline="0">
              <a:solidFill>
                <a:schemeClr val="tx1">
                  <a:lumMod val="65000"/>
                  <a:lumOff val="35000"/>
                </a:schemeClr>
              </a:solidFill>
            </a:rPr>
            <a:t>"Lista de productos" </a:t>
          </a:r>
          <a:r>
            <a:rPr lang="en-US" sz="1600" b="0" baseline="0">
              <a:solidFill>
                <a:schemeClr val="tx1">
                  <a:lumMod val="65000"/>
                  <a:lumOff val="35000"/>
                </a:schemeClr>
              </a:solidFill>
            </a:rPr>
            <a:t>registre por única vez los códigos, productos, precios y mínimo de stock tolerable para cada producto.</a:t>
          </a:r>
          <a:endParaRPr lang="es-ES" sz="1600" b="0" baseline="0">
            <a:solidFill>
              <a:schemeClr val="tx1">
                <a:lumMod val="65000"/>
                <a:lumOff val="35000"/>
              </a:schemeClr>
            </a:solidFill>
          </a:endParaRPr>
        </a:p>
        <a:p>
          <a:endParaRPr lang="en-US" sz="1600" baseline="0">
            <a:solidFill>
              <a:schemeClr val="tx1">
                <a:lumMod val="65000"/>
                <a:lumOff val="35000"/>
              </a:schemeClr>
            </a:solidFill>
          </a:endParaRPr>
        </a:p>
        <a:p>
          <a:r>
            <a:rPr lang="en-US" sz="1600" b="1" baseline="0">
              <a:solidFill>
                <a:schemeClr val="tx1">
                  <a:lumMod val="65000"/>
                  <a:lumOff val="35000"/>
                </a:schemeClr>
              </a:solidFill>
            </a:rPr>
            <a:t>2. </a:t>
          </a:r>
          <a:r>
            <a:rPr lang="es-ES" sz="1600" baseline="0">
              <a:solidFill>
                <a:schemeClr val="tx1">
                  <a:lumMod val="65000"/>
                  <a:lumOff val="35000"/>
                </a:schemeClr>
              </a:solidFill>
            </a:rPr>
            <a:t>En la hoja "</a:t>
          </a:r>
          <a:r>
            <a:rPr lang="es-ES" sz="1600" b="1" baseline="0">
              <a:solidFill>
                <a:schemeClr val="tx1">
                  <a:lumMod val="65000"/>
                  <a:lumOff val="35000"/>
                </a:schemeClr>
              </a:solidFill>
            </a:rPr>
            <a:t>Clientes</a:t>
          </a:r>
          <a:r>
            <a:rPr lang="es-ES" sz="1600" baseline="0">
              <a:solidFill>
                <a:schemeClr val="tx1">
                  <a:lumMod val="65000"/>
                  <a:lumOff val="35000"/>
                </a:schemeClr>
              </a:solidFill>
            </a:rPr>
            <a:t>" registre los datos de cada cliente. </a:t>
          </a:r>
        </a:p>
        <a:p>
          <a:endParaRPr lang="en-US" sz="1600" baseline="0">
            <a:solidFill>
              <a:schemeClr val="tx1">
                <a:lumMod val="65000"/>
                <a:lumOff val="35000"/>
              </a:schemeClr>
            </a:solidFill>
          </a:endParaRPr>
        </a:p>
        <a:p>
          <a:r>
            <a:rPr lang="es-ES" sz="1600" b="1" baseline="0">
              <a:solidFill>
                <a:schemeClr val="tx1">
                  <a:lumMod val="65000"/>
                  <a:lumOff val="35000"/>
                </a:schemeClr>
              </a:solidFill>
            </a:rPr>
            <a:t>3. </a:t>
          </a:r>
          <a:r>
            <a:rPr lang="es-ES" sz="1600" baseline="0">
              <a:solidFill>
                <a:schemeClr val="tx1">
                  <a:lumMod val="65000"/>
                  <a:lumOff val="35000"/>
                </a:schemeClr>
              </a:solidFill>
            </a:rPr>
            <a:t>En la hoja "</a:t>
          </a:r>
          <a:r>
            <a:rPr lang="es-ES" sz="1600" b="1" baseline="0">
              <a:solidFill>
                <a:schemeClr val="tx1">
                  <a:lumMod val="65000"/>
                  <a:lumOff val="35000"/>
                </a:schemeClr>
              </a:solidFill>
            </a:rPr>
            <a:t>Movimientos</a:t>
          </a:r>
          <a:r>
            <a:rPr lang="es-ES" sz="1600" baseline="0">
              <a:solidFill>
                <a:schemeClr val="tx1">
                  <a:lumMod val="65000"/>
                  <a:lumOff val="35000"/>
                </a:schemeClr>
              </a:solidFill>
            </a:rPr>
            <a:t>" registre el stock inicial (existencia) y las compras:</a:t>
          </a:r>
        </a:p>
        <a:p>
          <a:r>
            <a:rPr lang="es-ES" sz="1600" baseline="0">
              <a:solidFill>
                <a:schemeClr val="tx1">
                  <a:lumMod val="65000"/>
                  <a:lumOff val="35000"/>
                </a:schemeClr>
              </a:solidFill>
            </a:rPr>
            <a:t>	- Complete la columna Fecha</a:t>
          </a:r>
        </a:p>
        <a:p>
          <a:r>
            <a:rPr lang="es-ES" sz="1600" baseline="0">
              <a:solidFill>
                <a:schemeClr val="tx1">
                  <a:lumMod val="65000"/>
                  <a:lumOff val="35000"/>
                </a:schemeClr>
              </a:solidFill>
            </a:rPr>
            <a:t>	- En la columna "Descripción"elija del selector si es stock inicial o compra</a:t>
          </a:r>
        </a:p>
        <a:p>
          <a:r>
            <a:rPr lang="es-ES" sz="1600" baseline="0">
              <a:solidFill>
                <a:schemeClr val="tx1">
                  <a:lumMod val="65000"/>
                  <a:lumOff val="35000"/>
                </a:schemeClr>
              </a:solidFill>
            </a:rPr>
            <a:t>	- En la columna "Producto" elija del selector el producto</a:t>
          </a:r>
        </a:p>
        <a:p>
          <a:r>
            <a:rPr lang="es-ES" sz="1600" baseline="0">
              <a:solidFill>
                <a:schemeClr val="tx1">
                  <a:lumMod val="65000"/>
                  <a:lumOff val="35000"/>
                </a:schemeClr>
              </a:solidFill>
            </a:rPr>
            <a:t>	- En la columna "Cantidad" escriba el valor correspondiente.</a:t>
          </a:r>
        </a:p>
        <a:p>
          <a:endParaRPr lang="es-ES" sz="1600" baseline="0">
            <a:solidFill>
              <a:schemeClr val="tx1">
                <a:lumMod val="65000"/>
                <a:lumOff val="35000"/>
              </a:schemeClr>
            </a:solidFill>
          </a:endParaRPr>
        </a:p>
        <a:p>
          <a:r>
            <a:rPr lang="es-ES" sz="1600" b="1" baseline="0">
              <a:solidFill>
                <a:schemeClr val="tx1">
                  <a:lumMod val="65000"/>
                  <a:lumOff val="35000"/>
                </a:schemeClr>
              </a:solidFill>
            </a:rPr>
            <a:t>4. </a:t>
          </a:r>
          <a:r>
            <a:rPr lang="es-ES" sz="1600" baseline="0">
              <a:solidFill>
                <a:schemeClr val="tx1">
                  <a:lumMod val="65000"/>
                  <a:lumOff val="35000"/>
                </a:schemeClr>
              </a:solidFill>
            </a:rPr>
            <a:t>En la hoja "</a:t>
          </a:r>
          <a:r>
            <a:rPr lang="es-ES" sz="1600" b="1" baseline="0">
              <a:solidFill>
                <a:schemeClr val="tx1">
                  <a:lumMod val="65000"/>
                  <a:lumOff val="35000"/>
                </a:schemeClr>
              </a:solidFill>
            </a:rPr>
            <a:t>Factura</a:t>
          </a:r>
          <a:r>
            <a:rPr lang="es-ES" sz="1600" baseline="0">
              <a:solidFill>
                <a:schemeClr val="tx1">
                  <a:lumMod val="65000"/>
                  <a:lumOff val="35000"/>
                </a:schemeClr>
              </a:solidFill>
            </a:rPr>
            <a:t>":  </a:t>
          </a:r>
        </a:p>
        <a:p>
          <a:r>
            <a:rPr lang="es-ES" sz="1600" baseline="0">
              <a:solidFill>
                <a:schemeClr val="tx1">
                  <a:lumMod val="65000"/>
                  <a:lumOff val="35000"/>
                </a:schemeClr>
              </a:solidFill>
            </a:rPr>
            <a:t>	- Complete los datos de su empresa por única vez en celda B6,B7 y B8.</a:t>
          </a:r>
        </a:p>
        <a:p>
          <a:r>
            <a:rPr lang="es-ES" sz="1600" baseline="0">
              <a:solidFill>
                <a:schemeClr val="tx1">
                  <a:lumMod val="65000"/>
                  <a:lumOff val="35000"/>
                </a:schemeClr>
              </a:solidFill>
            </a:rPr>
            <a:t>	- Elija el cliente en la celda C11 del selector.</a:t>
          </a:r>
        </a:p>
        <a:p>
          <a:r>
            <a:rPr lang="es-ES" sz="1600" baseline="0">
              <a:solidFill>
                <a:schemeClr val="tx1">
                  <a:lumMod val="65000"/>
                  <a:lumOff val="35000"/>
                </a:schemeClr>
              </a:solidFill>
            </a:rPr>
            <a:t>	- Complete la fecha de factura en la celda F12 y el vencimiento en la F13.</a:t>
          </a:r>
        </a:p>
        <a:p>
          <a:r>
            <a:rPr lang="es-ES" sz="1600" baseline="0">
              <a:solidFill>
                <a:schemeClr val="tx1">
                  <a:lumMod val="65000"/>
                  <a:lumOff val="35000"/>
                </a:schemeClr>
              </a:solidFill>
            </a:rPr>
            <a:t>	- A partir de la celda C16 elija el producto (esto traerá automáticamente el código y el precio ) y la cantidad (la plantilla calculará los totales)</a:t>
          </a:r>
        </a:p>
        <a:p>
          <a:r>
            <a:rPr lang="es-ES" sz="1600" baseline="0">
              <a:solidFill>
                <a:schemeClr val="tx1">
                  <a:lumMod val="65000"/>
                  <a:lumOff val="35000"/>
                </a:schemeClr>
              </a:solidFill>
            </a:rPr>
            <a:t>	- Complete el IVA en E33.</a:t>
          </a:r>
        </a:p>
        <a:p>
          <a:r>
            <a:rPr lang="es-ES" sz="1600" baseline="0">
              <a:solidFill>
                <a:schemeClr val="tx1">
                  <a:lumMod val="65000"/>
                  <a:lumOff val="35000"/>
                </a:schemeClr>
              </a:solidFill>
            </a:rPr>
            <a:t>	- Observe el cuadro de control en J a M donde le dirá si cuenta con ese stock.</a:t>
          </a:r>
        </a:p>
        <a:p>
          <a:r>
            <a:rPr lang="es-ES" sz="1600" baseline="0">
              <a:solidFill>
                <a:schemeClr val="tx1">
                  <a:lumMod val="65000"/>
                  <a:lumOff val="35000"/>
                </a:schemeClr>
              </a:solidFill>
            </a:rPr>
            <a:t>	- Una vez listo, oprima el botón "Facturar"</a:t>
          </a:r>
        </a:p>
        <a:p>
          <a:endParaRPr lang="es-ES" sz="1600" baseline="0">
            <a:solidFill>
              <a:schemeClr val="tx1">
                <a:lumMod val="65000"/>
                <a:lumOff val="35000"/>
              </a:schemeClr>
            </a:solidFill>
          </a:endParaRPr>
        </a:p>
        <a:p>
          <a:r>
            <a:rPr lang="es-ES" sz="1600" b="1" baseline="0">
              <a:solidFill>
                <a:schemeClr val="tx1">
                  <a:lumMod val="65000"/>
                  <a:lumOff val="35000"/>
                </a:schemeClr>
              </a:solidFill>
              <a:latin typeface="+mn-lt"/>
              <a:ea typeface="+mn-ea"/>
              <a:cs typeface="+mn-cs"/>
            </a:rPr>
            <a:t>RESULTADOS</a:t>
          </a:r>
        </a:p>
        <a:p>
          <a:endParaRPr lang="es-ES" sz="1600" b="1" baseline="0">
            <a:solidFill>
              <a:schemeClr val="tx1">
                <a:lumMod val="65000"/>
                <a:lumOff val="35000"/>
              </a:schemeClr>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baseline="0">
              <a:solidFill>
                <a:schemeClr val="tx1">
                  <a:lumMod val="65000"/>
                  <a:lumOff val="35000"/>
                </a:schemeClr>
              </a:solidFill>
              <a:latin typeface="+mn-lt"/>
              <a:ea typeface="+mn-ea"/>
              <a:cs typeface="+mn-cs"/>
            </a:rPr>
            <a:t>Botón Facturar: </a:t>
          </a:r>
          <a:r>
            <a:rPr lang="en-US" sz="1600" baseline="0">
              <a:solidFill>
                <a:schemeClr val="tx1">
                  <a:lumMod val="65000"/>
                  <a:lumOff val="35000"/>
                </a:schemeClr>
              </a:solidFill>
              <a:latin typeface="+mn-lt"/>
              <a:ea typeface="+mn-ea"/>
              <a:cs typeface="+mn-cs"/>
            </a:rPr>
            <a:t>Esto hará que se escriba automáticamente en la hoja "Movimientos" la salida de productos así como la deuda en la hoja Cuenta Corriente. Además dejará lista la hoja para ingresar una nueva factura, asignandole un número de factura secuencial.</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aseline="0">
            <a:solidFill>
              <a:schemeClr val="tx1">
                <a:lumMod val="65000"/>
                <a:lumOff val="35000"/>
              </a:schemeClr>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baseline="0">
              <a:solidFill>
                <a:schemeClr val="tx1">
                  <a:lumMod val="65000"/>
                  <a:lumOff val="35000"/>
                </a:schemeClr>
              </a:solidFill>
              <a:latin typeface="+mn-lt"/>
              <a:ea typeface="+mn-ea"/>
              <a:cs typeface="+mn-cs"/>
            </a:rPr>
            <a:t>Botón Rehacer: </a:t>
          </a:r>
          <a:r>
            <a:rPr lang="en-US" sz="1600" baseline="0">
              <a:solidFill>
                <a:schemeClr val="tx1">
                  <a:lumMod val="65000"/>
                  <a:lumOff val="35000"/>
                </a:schemeClr>
              </a:solidFill>
              <a:latin typeface="+mn-lt"/>
              <a:ea typeface="+mn-ea"/>
              <a:cs typeface="+mn-cs"/>
            </a:rPr>
            <a:t>Use este botón si precisa editar una factura. Al hacerlo, le pedirá el número de factura a editar, ingreselo y le permitirá traer la info pasada para corregir. Además se quitará la información que había sido escrita en la hoja Movimientos y en la hoja Cuenta corriente.</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aseline="0">
            <a:solidFill>
              <a:schemeClr val="tx1">
                <a:lumMod val="65000"/>
                <a:lumOff val="35000"/>
              </a:schemeClr>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baseline="0">
              <a:solidFill>
                <a:schemeClr val="tx1">
                  <a:lumMod val="65000"/>
                  <a:lumOff val="35000"/>
                </a:schemeClr>
              </a:solidFill>
              <a:latin typeface="+mn-lt"/>
              <a:ea typeface="+mn-ea"/>
              <a:cs typeface="+mn-cs"/>
            </a:rPr>
            <a:t>Botón Imprimir: </a:t>
          </a:r>
          <a:r>
            <a:rPr lang="en-US" sz="1600" baseline="0">
              <a:solidFill>
                <a:schemeClr val="tx1">
                  <a:lumMod val="65000"/>
                  <a:lumOff val="35000"/>
                </a:schemeClr>
              </a:solidFill>
              <a:latin typeface="+mn-lt"/>
              <a:ea typeface="+mn-ea"/>
              <a:cs typeface="+mn-cs"/>
            </a:rPr>
            <a:t>Use este botón para imprimir la factura.</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aseline="0">
            <a:solidFill>
              <a:schemeClr val="tx1">
                <a:lumMod val="65000"/>
                <a:lumOff val="35000"/>
              </a:schemeClr>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baseline="0">
              <a:solidFill>
                <a:schemeClr val="tx1">
                  <a:lumMod val="65000"/>
                  <a:lumOff val="35000"/>
                </a:schemeClr>
              </a:solidFill>
              <a:latin typeface="+mn-lt"/>
              <a:ea typeface="+mn-ea"/>
              <a:cs typeface="+mn-cs"/>
            </a:rPr>
            <a:t>Hoja Cuenta Corriente: </a:t>
          </a:r>
          <a:r>
            <a:rPr lang="en-US" sz="1600" baseline="0">
              <a:solidFill>
                <a:schemeClr val="tx1">
                  <a:lumMod val="65000"/>
                  <a:lumOff val="35000"/>
                </a:schemeClr>
              </a:solidFill>
              <a:latin typeface="+mn-lt"/>
              <a:ea typeface="+mn-ea"/>
              <a:cs typeface="+mn-cs"/>
            </a:rPr>
            <a:t>Aquí registre los pagos de los clientes. Las ventas son generadas automáticamente.  Puede luego filtrar por cliente para ver su estado de pago.</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aseline="0">
            <a:solidFill>
              <a:schemeClr val="tx1">
                <a:lumMod val="65000"/>
                <a:lumOff val="35000"/>
              </a:schemeClr>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1" baseline="0">
              <a:solidFill>
                <a:schemeClr val="tx1">
                  <a:lumMod val="65000"/>
                  <a:lumOff val="35000"/>
                </a:schemeClr>
              </a:solidFill>
              <a:latin typeface="+mn-lt"/>
              <a:ea typeface="+mn-ea"/>
              <a:cs typeface="+mn-cs"/>
            </a:rPr>
            <a:t>Hoja Saldo de Stock </a:t>
          </a:r>
          <a:r>
            <a:rPr lang="en-US" sz="1600" b="0" baseline="0">
              <a:solidFill>
                <a:schemeClr val="tx1">
                  <a:lumMod val="65000"/>
                  <a:lumOff val="35000"/>
                </a:schemeClr>
              </a:solidFill>
              <a:latin typeface="+mn-lt"/>
              <a:ea typeface="+mn-ea"/>
              <a:cs typeface="+mn-cs"/>
            </a:rPr>
            <a:t>: oprima el botón actualizar para ver el saldo de stock por producto.</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baseline="0">
            <a:solidFill>
              <a:schemeClr val="tx1">
                <a:lumMod val="65000"/>
                <a:lumOff val="35000"/>
              </a:schemeClr>
            </a:solidFill>
            <a:latin typeface="+mn-lt"/>
            <a:ea typeface="+mn-ea"/>
            <a:cs typeface="+mn-cs"/>
          </a:endParaRPr>
        </a:p>
        <a:p>
          <a:r>
            <a:rPr lang="es-ES" sz="1600" b="1" u="sng" baseline="0">
              <a:solidFill>
                <a:schemeClr val="tx1">
                  <a:lumMod val="65000"/>
                  <a:lumOff val="35000"/>
                </a:schemeClr>
              </a:solidFill>
            </a:rPr>
            <a:t>IMPORTANTE</a:t>
          </a:r>
        </a:p>
        <a:p>
          <a:r>
            <a:rPr lang="es-ES" sz="1600" baseline="0">
              <a:solidFill>
                <a:schemeClr val="tx1">
                  <a:lumMod val="65000"/>
                  <a:lumOff val="35000"/>
                </a:schemeClr>
              </a:solidFill>
            </a:rPr>
            <a:t>Esta plantilla posee macros que deben ser habilitadas para que funcione. Siga estas instrucciones:</a:t>
          </a:r>
        </a:p>
        <a:p>
          <a:endParaRPr lang="es-ES" sz="1600" baseline="0">
            <a:solidFill>
              <a:schemeClr val="tx1">
                <a:lumMod val="65000"/>
                <a:lumOff val="35000"/>
              </a:schemeClr>
            </a:solidFill>
          </a:endParaRPr>
        </a:p>
        <a:p>
          <a:endParaRPr lang="es-ES" sz="1600" baseline="0">
            <a:solidFill>
              <a:schemeClr val="tx1">
                <a:lumMod val="65000"/>
                <a:lumOff val="35000"/>
              </a:schemeClr>
            </a:solidFill>
          </a:endParaRPr>
        </a:p>
      </xdr:txBody>
    </xdr:sp>
    <xdr:clientData/>
  </xdr:twoCellAnchor>
  <xdr:twoCellAnchor>
    <xdr:from>
      <xdr:col>10</xdr:col>
      <xdr:colOff>575310</xdr:colOff>
      <xdr:row>4</xdr:row>
      <xdr:rowOff>151130</xdr:rowOff>
    </xdr:from>
    <xdr:to>
      <xdr:col>16</xdr:col>
      <xdr:colOff>217170</xdr:colOff>
      <xdr:row>27</xdr:row>
      <xdr:rowOff>55880</xdr:rowOff>
    </xdr:to>
    <xdr:sp macro="" textlink="">
      <xdr:nvSpPr>
        <xdr:cNvPr id="3" name="TextBox 5">
          <a:extLst>
            <a:ext uri="{FF2B5EF4-FFF2-40B4-BE49-F238E27FC236}">
              <a16:creationId xmlns:a16="http://schemas.microsoft.com/office/drawing/2014/main" id="{0A9DA1C6-80E9-4885-8E56-776BED8CD2BA}"/>
            </a:ext>
          </a:extLst>
        </xdr:cNvPr>
        <xdr:cNvSpPr txBox="1"/>
      </xdr:nvSpPr>
      <xdr:spPr>
        <a:xfrm>
          <a:off x="7725410" y="1484630"/>
          <a:ext cx="4213860" cy="4140200"/>
        </a:xfrm>
        <a:prstGeom prst="rect">
          <a:avLst/>
        </a:prstGeom>
        <a:solidFill>
          <a:srgbClr val="FBFBF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274320" rIns="274320" bIns="274320" rtlCol="0" anchor="t"/>
        <a:lstStyle/>
        <a:p>
          <a:r>
            <a:rPr lang="en-US" sz="1800" b="1">
              <a:solidFill>
                <a:schemeClr val="tx1">
                  <a:lumMod val="65000"/>
                  <a:lumOff val="35000"/>
                </a:schemeClr>
              </a:solidFill>
            </a:rPr>
            <a:t>Más ayuda</a:t>
          </a:r>
        </a:p>
        <a:p>
          <a:endParaRPr lang="en-US" sz="800" b="1">
            <a:solidFill>
              <a:schemeClr val="tx1">
                <a:lumMod val="65000"/>
                <a:lumOff val="35000"/>
              </a:schemeClr>
            </a:solidFill>
          </a:endParaRPr>
        </a:p>
        <a:p>
          <a:r>
            <a:rPr lang="en-US" sz="1600">
              <a:solidFill>
                <a:schemeClr val="tx1">
                  <a:lumMod val="65000"/>
                  <a:lumOff val="35000"/>
                </a:schemeClr>
              </a:solidFill>
            </a:rPr>
            <a:t>Si quieres saber más sobre cómo usar esta plantilla,</a:t>
          </a:r>
          <a:r>
            <a:rPr lang="en-US" sz="1600" baseline="0">
              <a:solidFill>
                <a:schemeClr val="tx1">
                  <a:lumMod val="65000"/>
                  <a:lumOff val="35000"/>
                </a:schemeClr>
              </a:solidFill>
            </a:rPr>
            <a:t> o adaptarla, extenderla o corregir algún error, sigue este link:</a:t>
          </a:r>
        </a:p>
        <a:p>
          <a:endParaRPr lang="en-US" sz="1600" baseline="0">
            <a:solidFill>
              <a:schemeClr val="tx1">
                <a:lumMod val="65000"/>
                <a:lumOff val="35000"/>
              </a:schemeClr>
            </a:solidFill>
          </a:endParaRPr>
        </a:p>
        <a:p>
          <a:endParaRPr lang="en-US" sz="1600">
            <a:solidFill>
              <a:schemeClr val="tx1">
                <a:lumMod val="65000"/>
                <a:lumOff val="35000"/>
              </a:schemeClr>
            </a:solidFill>
          </a:endParaRPr>
        </a:p>
        <a:p>
          <a:endParaRPr lang="en-US" sz="1600">
            <a:solidFill>
              <a:schemeClr val="tx1">
                <a:lumMod val="65000"/>
                <a:lumOff val="35000"/>
              </a:schemeClr>
            </a:solidFill>
          </a:endParaRPr>
        </a:p>
        <a:p>
          <a:r>
            <a:rPr lang="en-US" sz="1800" b="1">
              <a:solidFill>
                <a:schemeClr val="tx1">
                  <a:lumMod val="65000"/>
                  <a:lumOff val="35000"/>
                </a:schemeClr>
              </a:solidFill>
            </a:rPr>
            <a:t>Otras plantillas</a:t>
          </a:r>
        </a:p>
        <a:p>
          <a:endParaRPr lang="en-US" sz="800">
            <a:solidFill>
              <a:schemeClr val="tx1">
                <a:lumMod val="65000"/>
                <a:lumOff val="35000"/>
              </a:schemeClr>
            </a:solidFill>
          </a:endParaRPr>
        </a:p>
        <a:p>
          <a:r>
            <a:rPr lang="en-US" sz="1600">
              <a:solidFill>
                <a:schemeClr val="tx1">
                  <a:lumMod val="65000"/>
                  <a:lumOff val="35000"/>
                </a:schemeClr>
              </a:solidFill>
            </a:rPr>
            <a:t>Si esta plantilla</a:t>
          </a:r>
          <a:r>
            <a:rPr lang="en-US" sz="1600" baseline="0">
              <a:solidFill>
                <a:schemeClr val="tx1">
                  <a:lumMod val="65000"/>
                  <a:lumOff val="35000"/>
                </a:schemeClr>
              </a:solidFill>
            </a:rPr>
            <a:t> no es lo que necesitas, es posible que tengamos otra que se ajuste mejor. Aquí puedes acceder a muchas otras más:</a:t>
          </a:r>
        </a:p>
      </xdr:txBody>
    </xdr:sp>
    <xdr:clientData/>
  </xdr:twoCellAnchor>
  <xdr:twoCellAnchor editAs="absolute">
    <xdr:from>
      <xdr:col>12</xdr:col>
      <xdr:colOff>547370</xdr:colOff>
      <xdr:row>1</xdr:row>
      <xdr:rowOff>43180</xdr:rowOff>
    </xdr:from>
    <xdr:to>
      <xdr:col>15</xdr:col>
      <xdr:colOff>180340</xdr:colOff>
      <xdr:row>2</xdr:row>
      <xdr:rowOff>11430</xdr:rowOff>
    </xdr:to>
    <xdr:sp macro="" textlink="">
      <xdr:nvSpPr>
        <xdr:cNvPr id="5" name="TextBox 13">
          <a:extLst>
            <a:ext uri="{FF2B5EF4-FFF2-40B4-BE49-F238E27FC236}">
              <a16:creationId xmlns:a16="http://schemas.microsoft.com/office/drawing/2014/main" id="{4953CFA1-A8CD-414D-8087-52368EFB2969}"/>
            </a:ext>
          </a:extLst>
        </xdr:cNvPr>
        <xdr:cNvSpPr txBox="1"/>
      </xdr:nvSpPr>
      <xdr:spPr>
        <a:xfrm>
          <a:off x="9221470" y="227330"/>
          <a:ext cx="191897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400" b="1">
              <a:solidFill>
                <a:schemeClr val="bg1"/>
              </a:solidFill>
              <a:latin typeface="+mn-lt"/>
              <a:ea typeface="Apple Symbols" panose="02000000000000000000" pitchFamily="2" charset="-79"/>
              <a:cs typeface="Apple Symbols" panose="02000000000000000000" pitchFamily="2" charset="-79"/>
            </a:rPr>
            <a:t>PlanillaExcel.com</a:t>
          </a:r>
        </a:p>
      </xdr:txBody>
    </xdr:sp>
    <xdr:clientData/>
  </xdr:twoCellAnchor>
  <xdr:twoCellAnchor>
    <xdr:from>
      <xdr:col>10</xdr:col>
      <xdr:colOff>593090</xdr:colOff>
      <xdr:row>13</xdr:row>
      <xdr:rowOff>55880</xdr:rowOff>
    </xdr:from>
    <xdr:to>
      <xdr:col>16</xdr:col>
      <xdr:colOff>212090</xdr:colOff>
      <xdr:row>14</xdr:row>
      <xdr:rowOff>180340</xdr:rowOff>
    </xdr:to>
    <xdr:sp macro="" textlink="">
      <xdr:nvSpPr>
        <xdr:cNvPr id="6" name="TextBox 8">
          <a:hlinkClick xmlns:r="http://schemas.openxmlformats.org/officeDocument/2006/relationships" r:id="rId1"/>
          <a:extLst>
            <a:ext uri="{FF2B5EF4-FFF2-40B4-BE49-F238E27FC236}">
              <a16:creationId xmlns:a16="http://schemas.microsoft.com/office/drawing/2014/main" id="{989DB4C0-8214-4742-900A-C35FA326B3A4}"/>
            </a:ext>
          </a:extLst>
        </xdr:cNvPr>
        <xdr:cNvSpPr txBox="1"/>
      </xdr:nvSpPr>
      <xdr:spPr>
        <a:xfrm>
          <a:off x="7743190" y="3046730"/>
          <a:ext cx="4191000" cy="308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0" rIns="274320" bIns="0" rtlCol="0" anchor="ctr"/>
        <a:lstStyle/>
        <a:p>
          <a:r>
            <a:rPr lang="en-US" sz="1600" b="1">
              <a:solidFill>
                <a:srgbClr val="12A779"/>
              </a:solidFill>
            </a:rPr>
            <a:t>Ver más ayuda →</a:t>
          </a:r>
        </a:p>
      </xdr:txBody>
    </xdr:sp>
    <xdr:clientData/>
  </xdr:twoCellAnchor>
  <xdr:twoCellAnchor>
    <xdr:from>
      <xdr:col>10</xdr:col>
      <xdr:colOff>617220</xdr:colOff>
      <xdr:row>24</xdr:row>
      <xdr:rowOff>115570</xdr:rowOff>
    </xdr:from>
    <xdr:to>
      <xdr:col>16</xdr:col>
      <xdr:colOff>236220</xdr:colOff>
      <xdr:row>26</xdr:row>
      <xdr:rowOff>53340</xdr:rowOff>
    </xdr:to>
    <xdr:sp macro="" textlink="">
      <xdr:nvSpPr>
        <xdr:cNvPr id="7" name="TextBox 9">
          <a:extLst>
            <a:ext uri="{FF2B5EF4-FFF2-40B4-BE49-F238E27FC236}">
              <a16:creationId xmlns:a16="http://schemas.microsoft.com/office/drawing/2014/main" id="{0C02F07F-D6FD-4835-A465-0A05F315A951}"/>
            </a:ext>
          </a:extLst>
        </xdr:cNvPr>
        <xdr:cNvSpPr txBox="1"/>
      </xdr:nvSpPr>
      <xdr:spPr>
        <a:xfrm>
          <a:off x="7767320" y="5132070"/>
          <a:ext cx="4191000" cy="306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0" rIns="274320" bIns="0" rtlCol="0" anchor="ctr"/>
        <a:lstStyle/>
        <a:p>
          <a:r>
            <a:rPr lang="en-US" sz="1600" b="1">
              <a:solidFill>
                <a:srgbClr val="12A779"/>
              </a:solidFill>
            </a:rPr>
            <a:t>Ver más plantillas →</a:t>
          </a:r>
        </a:p>
      </xdr:txBody>
    </xdr:sp>
    <xdr:clientData/>
  </xdr:twoCellAnchor>
  <xdr:twoCellAnchor editAs="absolute">
    <xdr:from>
      <xdr:col>1</xdr:col>
      <xdr:colOff>171450</xdr:colOff>
      <xdr:row>1</xdr:row>
      <xdr:rowOff>133350</xdr:rowOff>
    </xdr:from>
    <xdr:to>
      <xdr:col>6</xdr:col>
      <xdr:colOff>504371</xdr:colOff>
      <xdr:row>1</xdr:row>
      <xdr:rowOff>660400</xdr:rowOff>
    </xdr:to>
    <xdr:sp macro="" textlink="">
      <xdr:nvSpPr>
        <xdr:cNvPr id="8" name="TextBox 1">
          <a:extLst>
            <a:ext uri="{FF2B5EF4-FFF2-40B4-BE49-F238E27FC236}">
              <a16:creationId xmlns:a16="http://schemas.microsoft.com/office/drawing/2014/main" id="{B7D41F01-828D-4DDE-BE4A-2DF33CB124AF}"/>
            </a:ext>
          </a:extLst>
        </xdr:cNvPr>
        <xdr:cNvSpPr txBox="1"/>
      </xdr:nvSpPr>
      <xdr:spPr>
        <a:xfrm>
          <a:off x="463550" y="317500"/>
          <a:ext cx="4142921"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rPr>
            <a:t>Control de stock</a:t>
          </a:r>
          <a:r>
            <a:rPr lang="en-US" sz="2400" b="1" baseline="0">
              <a:solidFill>
                <a:schemeClr val="bg1"/>
              </a:solidFill>
            </a:rPr>
            <a:t> y cobranzas</a:t>
          </a:r>
          <a:endParaRPr lang="en-US" sz="2400" b="1">
            <a:solidFill>
              <a:schemeClr val="bg1"/>
            </a:solidFill>
          </a:endParaRPr>
        </a:p>
      </xdr:txBody>
    </xdr:sp>
    <xdr:clientData/>
  </xdr:twoCellAnchor>
  <xdr:twoCellAnchor>
    <xdr:from>
      <xdr:col>1</xdr:col>
      <xdr:colOff>31750</xdr:colOff>
      <xdr:row>78</xdr:row>
      <xdr:rowOff>25400</xdr:rowOff>
    </xdr:from>
    <xdr:to>
      <xdr:col>9</xdr:col>
      <xdr:colOff>632460</xdr:colOff>
      <xdr:row>80</xdr:row>
      <xdr:rowOff>111760</xdr:rowOff>
    </xdr:to>
    <xdr:sp macro="" textlink="">
      <xdr:nvSpPr>
        <xdr:cNvPr id="10" name="CuadroTexto 9">
          <a:hlinkClick xmlns:r="http://schemas.openxmlformats.org/officeDocument/2006/relationships" r:id="rId2"/>
          <a:extLst>
            <a:ext uri="{FF2B5EF4-FFF2-40B4-BE49-F238E27FC236}">
              <a16:creationId xmlns:a16="http://schemas.microsoft.com/office/drawing/2014/main" id="{EEB979D8-560A-4658-8BD1-0DA73CDE6794}"/>
            </a:ext>
          </a:extLst>
        </xdr:cNvPr>
        <xdr:cNvSpPr txBox="1"/>
      </xdr:nvSpPr>
      <xdr:spPr>
        <a:xfrm>
          <a:off x="323850" y="14986000"/>
          <a:ext cx="6696710" cy="454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AR" sz="1600" b="1">
              <a:solidFill>
                <a:srgbClr val="12A779"/>
              </a:solidFill>
              <a:latin typeface="+mn-lt"/>
              <a:ea typeface="+mn-ea"/>
              <a:cs typeface="+mn-cs"/>
            </a:rPr>
            <a:t>www.planillaexcel.com/blog/como-habilitar-las-macros-en-tu-excel</a:t>
          </a:r>
        </a:p>
        <a:p>
          <a:endParaRPr lang="es-AR"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987878</xdr:colOff>
      <xdr:row>2</xdr:row>
      <xdr:rowOff>8912</xdr:rowOff>
    </xdr:from>
    <xdr:to>
      <xdr:col>5</xdr:col>
      <xdr:colOff>767442</xdr:colOff>
      <xdr:row>2</xdr:row>
      <xdr:rowOff>665842</xdr:rowOff>
    </xdr:to>
    <xdr:sp macro="" textlink="">
      <xdr:nvSpPr>
        <xdr:cNvPr id="3" name="TextBox 2">
          <a:extLst>
            <a:ext uri="{FF2B5EF4-FFF2-40B4-BE49-F238E27FC236}">
              <a16:creationId xmlns:a16="http://schemas.microsoft.com/office/drawing/2014/main" id="{4C2E03FC-E99E-47AE-8EF8-02DBB023EBA3}"/>
            </a:ext>
          </a:extLst>
        </xdr:cNvPr>
        <xdr:cNvSpPr txBox="1"/>
      </xdr:nvSpPr>
      <xdr:spPr>
        <a:xfrm>
          <a:off x="5397499" y="335483"/>
          <a:ext cx="2410279" cy="656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400" b="1">
              <a:solidFill>
                <a:srgbClr val="DEEDFF"/>
              </a:solidFill>
              <a:latin typeface="Arial Rounded MT Bold" panose="020F0704030504030204" pitchFamily="34" charset="77"/>
              <a:ea typeface="Apple Symbols" panose="02000000000000000000" pitchFamily="2" charset="-79"/>
              <a:cs typeface="Apple Symbols" panose="02000000000000000000" pitchFamily="2" charset="-79"/>
            </a:rPr>
            <a:t>PlanillaExcel.com</a:t>
          </a:r>
        </a:p>
      </xdr:txBody>
    </xdr:sp>
    <xdr:clientData/>
  </xdr:twoCellAnchor>
  <xdr:twoCellAnchor editAs="absolute">
    <xdr:from>
      <xdr:col>1</xdr:col>
      <xdr:colOff>54429</xdr:colOff>
      <xdr:row>2</xdr:row>
      <xdr:rowOff>81643</xdr:rowOff>
    </xdr:from>
    <xdr:to>
      <xdr:col>3</xdr:col>
      <xdr:colOff>133350</xdr:colOff>
      <xdr:row>2</xdr:row>
      <xdr:rowOff>608693</xdr:rowOff>
    </xdr:to>
    <xdr:sp macro="" textlink="">
      <xdr:nvSpPr>
        <xdr:cNvPr id="4" name="TextBox 1">
          <a:extLst>
            <a:ext uri="{FF2B5EF4-FFF2-40B4-BE49-F238E27FC236}">
              <a16:creationId xmlns:a16="http://schemas.microsoft.com/office/drawing/2014/main" id="{73BD8D55-D1D4-4E21-9AC5-0A279B6D4562}"/>
            </a:ext>
          </a:extLst>
        </xdr:cNvPr>
        <xdr:cNvSpPr txBox="1"/>
      </xdr:nvSpPr>
      <xdr:spPr>
        <a:xfrm>
          <a:off x="397329" y="411843"/>
          <a:ext cx="4142921"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rPr>
            <a:t>Control de stock</a:t>
          </a:r>
          <a:r>
            <a:rPr lang="en-US" sz="2400" b="1" baseline="0">
              <a:solidFill>
                <a:schemeClr val="bg1"/>
              </a:solidFill>
            </a:rPr>
            <a:t> y cobranzas</a:t>
          </a:r>
          <a:endParaRPr lang="en-US" sz="2400" b="1">
            <a:solidFill>
              <a:schemeClr val="bg1"/>
            </a:solidFill>
          </a:endParaRPr>
        </a:p>
      </xdr:txBody>
    </xdr:sp>
    <xdr:clientData/>
  </xdr:twoCellAnchor>
  <xdr:twoCellAnchor>
    <xdr:from>
      <xdr:col>7</xdr:col>
      <xdr:colOff>546100</xdr:colOff>
      <xdr:row>5</xdr:row>
      <xdr:rowOff>120650</xdr:rowOff>
    </xdr:from>
    <xdr:to>
      <xdr:col>9</xdr:col>
      <xdr:colOff>774700</xdr:colOff>
      <xdr:row>8</xdr:row>
      <xdr:rowOff>50800</xdr:rowOff>
    </xdr:to>
    <xdr:sp macro="[0]!Presupuestar" textlink="">
      <xdr:nvSpPr>
        <xdr:cNvPr id="2" name="Rectángulo: esquinas redondeadas 1">
          <a:extLst>
            <a:ext uri="{FF2B5EF4-FFF2-40B4-BE49-F238E27FC236}">
              <a16:creationId xmlns:a16="http://schemas.microsoft.com/office/drawing/2014/main" id="{F397C9AA-1A50-ADC3-67C9-88A97E16CC57}"/>
            </a:ext>
          </a:extLst>
        </xdr:cNvPr>
        <xdr:cNvSpPr/>
      </xdr:nvSpPr>
      <xdr:spPr>
        <a:xfrm>
          <a:off x="9499600" y="1651000"/>
          <a:ext cx="1752600" cy="711200"/>
        </a:xfrm>
        <a:prstGeom prst="roundRect">
          <a:avLst/>
        </a:prstGeom>
        <a:solidFill>
          <a:srgbClr val="1A59E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kern="1200"/>
            <a:t>FACTURAR</a:t>
          </a:r>
          <a:endParaRPr lang="es-AR" sz="1100" kern="1200"/>
        </a:p>
      </xdr:txBody>
    </xdr:sp>
    <xdr:clientData/>
  </xdr:twoCellAnchor>
  <xdr:twoCellAnchor>
    <xdr:from>
      <xdr:col>9</xdr:col>
      <xdr:colOff>869950</xdr:colOff>
      <xdr:row>5</xdr:row>
      <xdr:rowOff>120650</xdr:rowOff>
    </xdr:from>
    <xdr:to>
      <xdr:col>11</xdr:col>
      <xdr:colOff>908050</xdr:colOff>
      <xdr:row>8</xdr:row>
      <xdr:rowOff>50800</xdr:rowOff>
    </xdr:to>
    <xdr:sp macro="[0]!Rehacer" textlink="">
      <xdr:nvSpPr>
        <xdr:cNvPr id="5" name="Rectángulo: esquinas redondeadas 4">
          <a:extLst>
            <a:ext uri="{FF2B5EF4-FFF2-40B4-BE49-F238E27FC236}">
              <a16:creationId xmlns:a16="http://schemas.microsoft.com/office/drawing/2014/main" id="{A2E1ADD0-067B-4196-A056-5330B25C5746}"/>
            </a:ext>
          </a:extLst>
        </xdr:cNvPr>
        <xdr:cNvSpPr/>
      </xdr:nvSpPr>
      <xdr:spPr>
        <a:xfrm>
          <a:off x="11347450" y="1651000"/>
          <a:ext cx="1752600" cy="711200"/>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kern="1200"/>
            <a:t>REHACER</a:t>
          </a:r>
          <a:endParaRPr lang="es-AR" sz="1100" kern="1200"/>
        </a:p>
      </xdr:txBody>
    </xdr:sp>
    <xdr:clientData/>
  </xdr:twoCellAnchor>
  <xdr:twoCellAnchor>
    <xdr:from>
      <xdr:col>11</xdr:col>
      <xdr:colOff>1073150</xdr:colOff>
      <xdr:row>5</xdr:row>
      <xdr:rowOff>133350</xdr:rowOff>
    </xdr:from>
    <xdr:to>
      <xdr:col>12</xdr:col>
      <xdr:colOff>1739900</xdr:colOff>
      <xdr:row>8</xdr:row>
      <xdr:rowOff>63500</xdr:rowOff>
    </xdr:to>
    <xdr:sp macro="[0]!Imprimir" textlink="">
      <xdr:nvSpPr>
        <xdr:cNvPr id="6" name="Rectángulo: esquinas redondeadas 5">
          <a:extLst>
            <a:ext uri="{FF2B5EF4-FFF2-40B4-BE49-F238E27FC236}">
              <a16:creationId xmlns:a16="http://schemas.microsoft.com/office/drawing/2014/main" id="{9071F3FB-FC9B-206B-DD8B-BA5F49C4771B}"/>
            </a:ext>
          </a:extLst>
        </xdr:cNvPr>
        <xdr:cNvSpPr/>
      </xdr:nvSpPr>
      <xdr:spPr>
        <a:xfrm>
          <a:off x="13265150" y="1663700"/>
          <a:ext cx="1752600" cy="711200"/>
        </a:xfrm>
        <a:prstGeom prst="roundRect">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kern="1200">
              <a:solidFill>
                <a:schemeClr val="tx1"/>
              </a:solidFill>
            </a:rPr>
            <a:t>IMPRIMIR</a:t>
          </a:r>
          <a:endParaRPr lang="es-AR" sz="1100" kern="12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69850</xdr:rowOff>
    </xdr:from>
    <xdr:to>
      <xdr:col>5</xdr:col>
      <xdr:colOff>464256</xdr:colOff>
      <xdr:row>1</xdr:row>
      <xdr:rowOff>596900</xdr:rowOff>
    </xdr:to>
    <xdr:sp macro="" textlink="">
      <xdr:nvSpPr>
        <xdr:cNvPr id="2" name="TextBox 1">
          <a:extLst>
            <a:ext uri="{FF2B5EF4-FFF2-40B4-BE49-F238E27FC236}">
              <a16:creationId xmlns:a16="http://schemas.microsoft.com/office/drawing/2014/main" id="{3F66D2F9-456E-48CB-9801-05B761BFF4A4}"/>
            </a:ext>
          </a:extLst>
        </xdr:cNvPr>
        <xdr:cNvSpPr txBox="1"/>
      </xdr:nvSpPr>
      <xdr:spPr>
        <a:xfrm>
          <a:off x="190500" y="253294"/>
          <a:ext cx="515620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rPr>
            <a:t>Stock </a:t>
          </a:r>
          <a:r>
            <a:rPr lang="en-US" sz="2400" b="1" baseline="0">
              <a:solidFill>
                <a:schemeClr val="bg1"/>
              </a:solidFill>
            </a:rPr>
            <a:t>y cobranzas</a:t>
          </a:r>
          <a:endParaRPr lang="en-US" sz="2400" b="1">
            <a:solidFill>
              <a:schemeClr val="bg1"/>
            </a:solidFill>
          </a:endParaRPr>
        </a:p>
      </xdr:txBody>
    </xdr:sp>
    <xdr:clientData/>
  </xdr:twoCellAnchor>
  <xdr:twoCellAnchor editAs="absolute">
    <xdr:from>
      <xdr:col>6</xdr:col>
      <xdr:colOff>2361494</xdr:colOff>
      <xdr:row>1</xdr:row>
      <xdr:rowOff>35278</xdr:rowOff>
    </xdr:from>
    <xdr:to>
      <xdr:col>8</xdr:col>
      <xdr:colOff>761294</xdr:colOff>
      <xdr:row>2</xdr:row>
      <xdr:rowOff>57855</xdr:rowOff>
    </xdr:to>
    <xdr:sp macro="" textlink="">
      <xdr:nvSpPr>
        <xdr:cNvPr id="3" name="TextBox 2">
          <a:extLst>
            <a:ext uri="{FF2B5EF4-FFF2-40B4-BE49-F238E27FC236}">
              <a16:creationId xmlns:a16="http://schemas.microsoft.com/office/drawing/2014/main" id="{535C4EEA-BEE7-4FBA-9104-97F2A5DD88D3}"/>
            </a:ext>
          </a:extLst>
        </xdr:cNvPr>
        <xdr:cNvSpPr txBox="1"/>
      </xdr:nvSpPr>
      <xdr:spPr>
        <a:xfrm>
          <a:off x="8542161" y="218722"/>
          <a:ext cx="1955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400" b="1">
              <a:solidFill>
                <a:srgbClr val="DEEDFF"/>
              </a:solidFill>
              <a:latin typeface="Arial Rounded MT Bold" panose="020F0704030504030204" pitchFamily="34" charset="77"/>
              <a:ea typeface="Apple Symbols" panose="02000000000000000000" pitchFamily="2" charset="-79"/>
              <a:cs typeface="Apple Symbols" panose="02000000000000000000" pitchFamily="2" charset="-79"/>
            </a:rPr>
            <a:t>PlanillaExcel.com</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120650</xdr:colOff>
      <xdr:row>1</xdr:row>
      <xdr:rowOff>50800</xdr:rowOff>
    </xdr:from>
    <xdr:to>
      <xdr:col>3</xdr:col>
      <xdr:colOff>1606550</xdr:colOff>
      <xdr:row>1</xdr:row>
      <xdr:rowOff>577850</xdr:rowOff>
    </xdr:to>
    <xdr:sp macro="" textlink="">
      <xdr:nvSpPr>
        <xdr:cNvPr id="2" name="TextBox 1">
          <a:extLst>
            <a:ext uri="{FF2B5EF4-FFF2-40B4-BE49-F238E27FC236}">
              <a16:creationId xmlns:a16="http://schemas.microsoft.com/office/drawing/2014/main" id="{6E59A6B1-C94F-4C85-8D61-8723BA70D5E0}"/>
            </a:ext>
          </a:extLst>
        </xdr:cNvPr>
        <xdr:cNvSpPr txBox="1"/>
      </xdr:nvSpPr>
      <xdr:spPr>
        <a:xfrm>
          <a:off x="292100" y="234950"/>
          <a:ext cx="515620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rPr>
            <a:t>Control de stock y </a:t>
          </a:r>
          <a:r>
            <a:rPr lang="en-US" sz="2400" b="1" baseline="0">
              <a:solidFill>
                <a:schemeClr val="bg1"/>
              </a:solidFill>
            </a:rPr>
            <a:t>cobranzas</a:t>
          </a:r>
          <a:endParaRPr lang="en-US" sz="2400" b="1">
            <a:solidFill>
              <a:schemeClr val="bg1"/>
            </a:solidFill>
          </a:endParaRPr>
        </a:p>
      </xdr:txBody>
    </xdr:sp>
    <xdr:clientData/>
  </xdr:twoCellAnchor>
  <xdr:twoCellAnchor editAs="absolute">
    <xdr:from>
      <xdr:col>4</xdr:col>
      <xdr:colOff>965200</xdr:colOff>
      <xdr:row>0</xdr:row>
      <xdr:rowOff>165100</xdr:rowOff>
    </xdr:from>
    <xdr:to>
      <xdr:col>6</xdr:col>
      <xdr:colOff>609600</xdr:colOff>
      <xdr:row>2</xdr:row>
      <xdr:rowOff>69850</xdr:rowOff>
    </xdr:to>
    <xdr:sp macro="" textlink="">
      <xdr:nvSpPr>
        <xdr:cNvPr id="3" name="TextBox 2">
          <a:extLst>
            <a:ext uri="{FF2B5EF4-FFF2-40B4-BE49-F238E27FC236}">
              <a16:creationId xmlns:a16="http://schemas.microsoft.com/office/drawing/2014/main" id="{441F10A5-AC1A-4968-8BED-A85F81DA0575}"/>
            </a:ext>
          </a:extLst>
        </xdr:cNvPr>
        <xdr:cNvSpPr txBox="1"/>
      </xdr:nvSpPr>
      <xdr:spPr>
        <a:xfrm>
          <a:off x="6534150" y="165100"/>
          <a:ext cx="1955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400" b="1">
              <a:solidFill>
                <a:srgbClr val="DEEDFF"/>
              </a:solidFill>
              <a:latin typeface="Arial Rounded MT Bold" panose="020F0704030504030204" pitchFamily="34" charset="77"/>
              <a:ea typeface="Apple Symbols" panose="02000000000000000000" pitchFamily="2" charset="-79"/>
              <a:cs typeface="Apple Symbols" panose="02000000000000000000" pitchFamily="2" charset="-79"/>
            </a:rPr>
            <a:t>PlanillaExcel.com</a:t>
          </a:r>
        </a:p>
      </xdr:txBody>
    </xdr:sp>
    <xdr:clientData/>
  </xdr:twoCellAnchor>
  <xdr:twoCellAnchor>
    <xdr:from>
      <xdr:col>6</xdr:col>
      <xdr:colOff>552450</xdr:colOff>
      <xdr:row>25</xdr:row>
      <xdr:rowOff>88900</xdr:rowOff>
    </xdr:from>
    <xdr:to>
      <xdr:col>9</xdr:col>
      <xdr:colOff>159658</xdr:colOff>
      <xdr:row>28</xdr:row>
      <xdr:rowOff>168728</xdr:rowOff>
    </xdr:to>
    <xdr:sp macro="" textlink="">
      <xdr:nvSpPr>
        <xdr:cNvPr id="4" name="CuadroTexto 3">
          <a:extLst>
            <a:ext uri="{FF2B5EF4-FFF2-40B4-BE49-F238E27FC236}">
              <a16:creationId xmlns:a16="http://schemas.microsoft.com/office/drawing/2014/main" id="{55151C98-59BB-4C4E-AB9A-6D888DF81E2B}"/>
            </a:ext>
          </a:extLst>
        </xdr:cNvPr>
        <xdr:cNvSpPr txBox="1"/>
      </xdr:nvSpPr>
      <xdr:spPr>
        <a:xfrm>
          <a:off x="8432800" y="5861050"/>
          <a:ext cx="2394858" cy="6576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200"/>
            <a:t>Inserte más filas arrastrando el triángulo hacia abajo </a:t>
          </a:r>
        </a:p>
      </xdr:txBody>
    </xdr:sp>
    <xdr:clientData/>
  </xdr:twoCellAnchor>
  <xdr:twoCellAnchor>
    <xdr:from>
      <xdr:col>5</xdr:col>
      <xdr:colOff>558800</xdr:colOff>
      <xdr:row>26</xdr:row>
      <xdr:rowOff>195943</xdr:rowOff>
    </xdr:from>
    <xdr:to>
      <xdr:col>6</xdr:col>
      <xdr:colOff>473075</xdr:colOff>
      <xdr:row>26</xdr:row>
      <xdr:rowOff>195943</xdr:rowOff>
    </xdr:to>
    <xdr:cxnSp macro="">
      <xdr:nvCxnSpPr>
        <xdr:cNvPr id="5" name="Conector recto de flecha 4">
          <a:extLst>
            <a:ext uri="{FF2B5EF4-FFF2-40B4-BE49-F238E27FC236}">
              <a16:creationId xmlns:a16="http://schemas.microsoft.com/office/drawing/2014/main" id="{DA19B681-E1D5-4677-A6AB-0B6589684C76}"/>
            </a:ext>
          </a:extLst>
        </xdr:cNvPr>
        <xdr:cNvCxnSpPr/>
      </xdr:nvCxnSpPr>
      <xdr:spPr>
        <a:xfrm>
          <a:off x="7639050" y="6164943"/>
          <a:ext cx="7143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69850</xdr:rowOff>
    </xdr:from>
    <xdr:to>
      <xdr:col>4</xdr:col>
      <xdr:colOff>882650</xdr:colOff>
      <xdr:row>1</xdr:row>
      <xdr:rowOff>596900</xdr:rowOff>
    </xdr:to>
    <xdr:sp macro="" textlink="">
      <xdr:nvSpPr>
        <xdr:cNvPr id="2" name="TextBox 1">
          <a:extLst>
            <a:ext uri="{FF2B5EF4-FFF2-40B4-BE49-F238E27FC236}">
              <a16:creationId xmlns:a16="http://schemas.microsoft.com/office/drawing/2014/main" id="{B33BF58F-DE27-4B47-9915-DB7CCA90B537}"/>
            </a:ext>
          </a:extLst>
        </xdr:cNvPr>
        <xdr:cNvSpPr txBox="1"/>
      </xdr:nvSpPr>
      <xdr:spPr>
        <a:xfrm>
          <a:off x="260350" y="254000"/>
          <a:ext cx="515620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rPr>
            <a:t>Control de stock y cobranzas</a:t>
          </a:r>
        </a:p>
      </xdr:txBody>
    </xdr:sp>
    <xdr:clientData/>
  </xdr:twoCellAnchor>
  <xdr:twoCellAnchor editAs="absolute">
    <xdr:from>
      <xdr:col>6</xdr:col>
      <xdr:colOff>450850</xdr:colOff>
      <xdr:row>0</xdr:row>
      <xdr:rowOff>133350</xdr:rowOff>
    </xdr:from>
    <xdr:to>
      <xdr:col>7</xdr:col>
      <xdr:colOff>609600</xdr:colOff>
      <xdr:row>2</xdr:row>
      <xdr:rowOff>38100</xdr:rowOff>
    </xdr:to>
    <xdr:sp macro="" textlink="">
      <xdr:nvSpPr>
        <xdr:cNvPr id="3" name="TextBox 2">
          <a:extLst>
            <a:ext uri="{FF2B5EF4-FFF2-40B4-BE49-F238E27FC236}">
              <a16:creationId xmlns:a16="http://schemas.microsoft.com/office/drawing/2014/main" id="{CC915C0F-538E-4185-ABF9-4D74623C4ED1}"/>
            </a:ext>
          </a:extLst>
        </xdr:cNvPr>
        <xdr:cNvSpPr txBox="1"/>
      </xdr:nvSpPr>
      <xdr:spPr>
        <a:xfrm>
          <a:off x="7899400" y="133350"/>
          <a:ext cx="1955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400" b="1">
              <a:solidFill>
                <a:srgbClr val="DEEDFF"/>
              </a:solidFill>
              <a:latin typeface="Arial Rounded MT Bold" panose="020F0704030504030204" pitchFamily="34" charset="77"/>
              <a:ea typeface="Apple Symbols" panose="02000000000000000000" pitchFamily="2" charset="-79"/>
              <a:cs typeface="Apple Symbols" panose="02000000000000000000" pitchFamily="2" charset="-79"/>
            </a:rPr>
            <a:t>PlanillaExcel.com</a:t>
          </a:r>
        </a:p>
      </xdr:txBody>
    </xdr:sp>
    <xdr:clientData/>
  </xdr:twoCellAnchor>
  <xdr:twoCellAnchor>
    <xdr:from>
      <xdr:col>9</xdr:col>
      <xdr:colOff>387350</xdr:colOff>
      <xdr:row>48</xdr:row>
      <xdr:rowOff>57150</xdr:rowOff>
    </xdr:from>
    <xdr:to>
      <xdr:col>12</xdr:col>
      <xdr:colOff>496208</xdr:colOff>
      <xdr:row>51</xdr:row>
      <xdr:rowOff>162378</xdr:rowOff>
    </xdr:to>
    <xdr:sp macro="" textlink="">
      <xdr:nvSpPr>
        <xdr:cNvPr id="4" name="CuadroTexto 3">
          <a:extLst>
            <a:ext uri="{FF2B5EF4-FFF2-40B4-BE49-F238E27FC236}">
              <a16:creationId xmlns:a16="http://schemas.microsoft.com/office/drawing/2014/main" id="{587B0876-6E3B-426B-9026-BB33D9C0728B}"/>
            </a:ext>
          </a:extLst>
        </xdr:cNvPr>
        <xdr:cNvSpPr txBox="1"/>
      </xdr:nvSpPr>
      <xdr:spPr>
        <a:xfrm>
          <a:off x="11461750" y="9747250"/>
          <a:ext cx="2394858" cy="6576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AR" sz="1200"/>
            <a:t>Inserte más filas arrastrando el triángulo hacia abajo </a:t>
          </a:r>
        </a:p>
      </xdr:txBody>
    </xdr:sp>
    <xdr:clientData/>
  </xdr:twoCellAnchor>
  <xdr:twoCellAnchor>
    <xdr:from>
      <xdr:col>8</xdr:col>
      <xdr:colOff>355600</xdr:colOff>
      <xdr:row>49</xdr:row>
      <xdr:rowOff>176893</xdr:rowOff>
    </xdr:from>
    <xdr:to>
      <xdr:col>9</xdr:col>
      <xdr:colOff>307975</xdr:colOff>
      <xdr:row>49</xdr:row>
      <xdr:rowOff>176893</xdr:rowOff>
    </xdr:to>
    <xdr:cxnSp macro="">
      <xdr:nvCxnSpPr>
        <xdr:cNvPr id="5" name="Conector recto de flecha 4">
          <a:extLst>
            <a:ext uri="{FF2B5EF4-FFF2-40B4-BE49-F238E27FC236}">
              <a16:creationId xmlns:a16="http://schemas.microsoft.com/office/drawing/2014/main" id="{81FDCB89-AB92-4A57-82B1-3B925CC60FAE}"/>
            </a:ext>
          </a:extLst>
        </xdr:cNvPr>
        <xdr:cNvCxnSpPr/>
      </xdr:nvCxnSpPr>
      <xdr:spPr>
        <a:xfrm>
          <a:off x="10668000" y="10051143"/>
          <a:ext cx="7143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120650</xdr:rowOff>
    </xdr:from>
    <xdr:to>
      <xdr:col>4</xdr:col>
      <xdr:colOff>482600</xdr:colOff>
      <xdr:row>1</xdr:row>
      <xdr:rowOff>647700</xdr:rowOff>
    </xdr:to>
    <xdr:sp macro="" textlink="">
      <xdr:nvSpPr>
        <xdr:cNvPr id="3" name="TextBox 1">
          <a:extLst>
            <a:ext uri="{FF2B5EF4-FFF2-40B4-BE49-F238E27FC236}">
              <a16:creationId xmlns:a16="http://schemas.microsoft.com/office/drawing/2014/main" id="{FDB31378-FB87-46BD-B489-FF11D3803C56}"/>
            </a:ext>
          </a:extLst>
        </xdr:cNvPr>
        <xdr:cNvSpPr txBox="1"/>
      </xdr:nvSpPr>
      <xdr:spPr>
        <a:xfrm>
          <a:off x="209550" y="304800"/>
          <a:ext cx="5156200" cy="527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rPr>
            <a:t>Control de stock y cobranzas</a:t>
          </a:r>
        </a:p>
      </xdr:txBody>
    </xdr:sp>
    <xdr:clientData/>
  </xdr:twoCellAnchor>
  <xdr:twoCellAnchor editAs="absolute">
    <xdr:from>
      <xdr:col>4</xdr:col>
      <xdr:colOff>749300</xdr:colOff>
      <xdr:row>0</xdr:row>
      <xdr:rowOff>165100</xdr:rowOff>
    </xdr:from>
    <xdr:to>
      <xdr:col>7</xdr:col>
      <xdr:colOff>222250</xdr:colOff>
      <xdr:row>1</xdr:row>
      <xdr:rowOff>730250</xdr:rowOff>
    </xdr:to>
    <xdr:sp macro="" textlink="">
      <xdr:nvSpPr>
        <xdr:cNvPr id="4" name="TextBox 2">
          <a:extLst>
            <a:ext uri="{FF2B5EF4-FFF2-40B4-BE49-F238E27FC236}">
              <a16:creationId xmlns:a16="http://schemas.microsoft.com/office/drawing/2014/main" id="{C8D79F63-9299-4CAB-85BB-FBE13425FE3F}"/>
            </a:ext>
          </a:extLst>
        </xdr:cNvPr>
        <xdr:cNvSpPr txBox="1"/>
      </xdr:nvSpPr>
      <xdr:spPr>
        <a:xfrm>
          <a:off x="5632450" y="165100"/>
          <a:ext cx="1955800" cy="749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400" b="1">
              <a:solidFill>
                <a:srgbClr val="DEEDFF"/>
              </a:solidFill>
              <a:latin typeface="Arial Rounded MT Bold" panose="020F0704030504030204" pitchFamily="34" charset="77"/>
              <a:ea typeface="Apple Symbols" panose="02000000000000000000" pitchFamily="2" charset="-79"/>
              <a:cs typeface="Apple Symbols" panose="02000000000000000000" pitchFamily="2" charset="-79"/>
            </a:rPr>
            <a:t>PlanillaExcel.com</a:t>
          </a:r>
        </a:p>
      </xdr:txBody>
    </xdr:sp>
    <xdr:clientData/>
  </xdr:twoCellAnchor>
  <xdr:twoCellAnchor>
    <xdr:from>
      <xdr:col>5</xdr:col>
      <xdr:colOff>323850</xdr:colOff>
      <xdr:row>5</xdr:row>
      <xdr:rowOff>158750</xdr:rowOff>
    </xdr:from>
    <xdr:to>
      <xdr:col>7</xdr:col>
      <xdr:colOff>552450</xdr:colOff>
      <xdr:row>9</xdr:row>
      <xdr:rowOff>133350</xdr:rowOff>
    </xdr:to>
    <xdr:sp macro="[0]!Actualizar" textlink="">
      <xdr:nvSpPr>
        <xdr:cNvPr id="5" name="Rectángulo: esquinas redondeadas 4">
          <a:extLst>
            <a:ext uri="{FF2B5EF4-FFF2-40B4-BE49-F238E27FC236}">
              <a16:creationId xmlns:a16="http://schemas.microsoft.com/office/drawing/2014/main" id="{975EFF2A-B437-4548-8DE5-4EA5CFE04365}"/>
            </a:ext>
          </a:extLst>
        </xdr:cNvPr>
        <xdr:cNvSpPr/>
      </xdr:nvSpPr>
      <xdr:spPr>
        <a:xfrm>
          <a:off x="6165850" y="1657350"/>
          <a:ext cx="1752600" cy="711200"/>
        </a:xfrm>
        <a:prstGeom prst="roundRect">
          <a:avLst/>
        </a:prstGeom>
        <a:solidFill>
          <a:srgbClr val="1A59E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2000" kern="1200"/>
            <a:t>ACTUALIZAR</a:t>
          </a:r>
          <a:endParaRPr lang="es-AR" sz="1100" kern="12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odoExcel/Productos/Gestion%20empresa/Simpler3.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ecilia/Dropbox/Planilla%20Excel/Movimientos%20y%20Caj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uración"/>
      <sheetName val="Formulario"/>
      <sheetName val="Gestión"/>
      <sheetName val="Documento"/>
      <sheetName val="Hoja1"/>
    </sheetNames>
    <sheetDataSet>
      <sheetData sheetId="0">
        <row r="26">
          <cell r="L26">
            <v>40282</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rticulos y Forma de pago"/>
      <sheetName val="Movimientos"/>
      <sheetName val="Reporte "/>
    </sheetNames>
    <sheetDataSet>
      <sheetData sheetId="0">
        <row r="7">
          <cell r="C7" t="str">
            <v>Otros</v>
          </cell>
          <cell r="H7" t="str">
            <v>Efectivo</v>
          </cell>
        </row>
        <row r="8">
          <cell r="H8" t="str">
            <v>Cheques</v>
          </cell>
        </row>
        <row r="9">
          <cell r="H9" t="str">
            <v>Tarjeta de Credito</v>
          </cell>
        </row>
        <row r="10">
          <cell r="H10" t="str">
            <v>Cuenta Corriente</v>
          </cell>
        </row>
        <row r="11">
          <cell r="H11" t="str">
            <v>Tarjeta de Debito</v>
          </cell>
        </row>
        <row r="12">
          <cell r="H12">
            <v>0</v>
          </cell>
        </row>
        <row r="13">
          <cell r="H13">
            <v>0</v>
          </cell>
        </row>
        <row r="14">
          <cell r="H14">
            <v>0</v>
          </cell>
        </row>
        <row r="15">
          <cell r="H15">
            <v>0</v>
          </cell>
        </row>
        <row r="16">
          <cell r="H16">
            <v>0</v>
          </cell>
        </row>
      </sheetData>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cilia" refreshedDate="42229.440541898148" createdVersion="5" refreshedVersion="5" minRefreshableVersion="3" recordCount="9" xr:uid="{00000000-000A-0000-FFFF-FFFF00000000}">
  <cacheSource type="worksheet">
    <worksheetSource ref="B6:H40" sheet="Movimientos"/>
  </cacheSource>
  <cacheFields count="14">
    <cacheField name="FECHA" numFmtId="14">
      <sharedItems containsNonDate="0" containsDate="1" containsString="0" containsBlank="1" minDate="2012-10-13T00:00:00" maxDate="2012-10-17T00:00:00" count="5">
        <d v="2012-10-13T00:00:00"/>
        <d v="2012-10-14T00:00:00"/>
        <d v="2012-10-15T00:00:00"/>
        <d v="2012-10-16T00:00:00"/>
        <m/>
      </sharedItems>
    </cacheField>
    <cacheField name="MES" numFmtId="0">
      <sharedItems/>
    </cacheField>
    <cacheField name="Descripción" numFmtId="0">
      <sharedItems containsBlank="1"/>
    </cacheField>
    <cacheField name="Proveedor" numFmtId="0">
      <sharedItems containsBlank="1"/>
    </cacheField>
    <cacheField name="Cliente" numFmtId="0">
      <sharedItems containsBlank="1"/>
    </cacheField>
    <cacheField name="FACTURA N°" numFmtId="0">
      <sharedItems containsString="0" containsBlank="1" containsNumber="1" containsInteger="1" minValue="111" maxValue="511"/>
    </cacheField>
    <cacheField name="ARTÍCULO" numFmtId="0">
      <sharedItems containsBlank="1" count="3">
        <s v="USB"/>
        <s v="Auriculares"/>
        <m/>
      </sharedItems>
    </cacheField>
    <cacheField name="CANTIDAD" numFmtId="0">
      <sharedItems containsString="0" containsBlank="1" containsNumber="1" containsInteger="1" minValue="1" maxValue="10"/>
    </cacheField>
    <cacheField name="CANT" numFmtId="0">
      <sharedItems containsString="0" containsBlank="1" containsNumber="1" containsInteger="1" minValue="-4" maxValue="10"/>
    </cacheField>
    <cacheField name="PRECIO" numFmtId="164">
      <sharedItems containsNonDate="0" containsString="0" containsBlank="1"/>
    </cacheField>
    <cacheField name="TOTAL" numFmtId="164">
      <sharedItems containsMixedTypes="1" containsNumber="1" containsInteger="1" minValue="100" maxValue="300"/>
    </cacheField>
    <cacheField name="Forma de Pago" numFmtId="164">
      <sharedItems containsBlank="1"/>
    </cacheField>
    <cacheField name="Abono?" numFmtId="164">
      <sharedItems containsBlank="1"/>
    </cacheField>
    <cacheField name="Fecha de cobro" numFmtId="0">
      <sharedItems containsNonDate="0" containsDate="1" containsString="0" containsBlank="1" minDate="2015-07-18T00:00:00" maxDate="2015-07-19T00: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ecilia PlanillaExcel" refreshedDate="45624.457007060184" createdVersion="8" refreshedVersion="8" minRefreshableVersion="3" recordCount="994" xr:uid="{591F2B32-54EB-4DAD-96B9-242EFD35DCA1}">
  <cacheSource type="worksheet">
    <worksheetSource ref="B6:I1000" sheet="Movimientos"/>
  </cacheSource>
  <cacheFields count="8">
    <cacheField name="FECHA" numFmtId="14">
      <sharedItems containsNonDate="0" containsDate="1" containsString="0" containsBlank="1" minDate="2024-10-10T00:00:00" maxDate="2024-10-23T00:00:00"/>
    </cacheField>
    <cacheField name="MES" numFmtId="0">
      <sharedItems/>
    </cacheField>
    <cacheField name="DESCRIPCIÓN" numFmtId="0">
      <sharedItems containsBlank="1"/>
    </cacheField>
    <cacheField name="CLIENTE" numFmtId="0">
      <sharedItems containsBlank="1"/>
    </cacheField>
    <cacheField name="CÓDIGO" numFmtId="0">
      <sharedItems containsBlank="1" count="10">
        <s v="BC001"/>
        <s v="BC002"/>
        <s v="BF001"/>
        <s v="AG001"/>
        <s v="AG002"/>
        <s v="AG003"/>
        <s v="JN002"/>
        <s v=""/>
        <s v="BC003" u="1"/>
        <m u="1"/>
      </sharedItems>
    </cacheField>
    <cacheField name="PRODUCTO" numFmtId="0">
      <sharedItems containsBlank="1" count="9">
        <s v="Coca-Cola Sin Azúcar (330 ml)"/>
        <s v="Sprite Zero (500 ml)"/>
        <s v="Bebida Energética Sin Azúcar (250 ml)"/>
        <s v="Agua Mineral Natural (500 ml)"/>
        <s v="Agua Gasificada (1 L)"/>
        <s v="Agua Saborizada Limón (750 ml)"/>
        <s v="Néctar de Durazno (1 L)"/>
        <m/>
        <s v="Fanta Naranja (1 L)" u="1"/>
      </sharedItems>
    </cacheField>
    <cacheField name="CANTIDAD" numFmtId="1">
      <sharedItems containsString="0" containsBlank="1" containsNumber="1" containsInteger="1" minValue="-10" maxValue="100"/>
    </cacheField>
    <cacheField name="FACTURA Nº" numFmtId="1">
      <sharedItems containsString="0" containsBlank="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
  <r>
    <x v="0"/>
    <s v="octubre"/>
    <s v="Venta"/>
    <m/>
    <s v="Electro"/>
    <n v="111"/>
    <x v="0"/>
    <n v="1"/>
    <n v="-1"/>
    <m/>
    <n v="100"/>
    <s v="Cuenta Corriente"/>
    <s v="No"/>
    <m/>
  </r>
  <r>
    <x v="0"/>
    <s v="octubre"/>
    <s v="Venta"/>
    <m/>
    <s v="Rionso"/>
    <n v="112"/>
    <x v="0"/>
    <n v="2"/>
    <n v="-2"/>
    <m/>
    <n v="100"/>
    <s v="Efectivo"/>
    <m/>
    <m/>
  </r>
  <r>
    <x v="1"/>
    <s v="octubre"/>
    <s v="Venta"/>
    <m/>
    <s v="Home depot"/>
    <n v="132"/>
    <x v="0"/>
    <n v="3"/>
    <n v="-3"/>
    <m/>
    <n v="200"/>
    <s v="Transferencia"/>
    <m/>
    <m/>
  </r>
  <r>
    <x v="2"/>
    <s v="octubre"/>
    <s v="Venta"/>
    <m/>
    <s v="Luna"/>
    <n v="134"/>
    <x v="0"/>
    <n v="4"/>
    <n v="-4"/>
    <m/>
    <n v="300"/>
    <s v="Cuenta Corriente"/>
    <s v="Si"/>
    <d v="2015-07-18T00:00:00"/>
  </r>
  <r>
    <x v="3"/>
    <s v="octubre"/>
    <s v="Compra"/>
    <s v="Branca"/>
    <m/>
    <n v="151"/>
    <x v="0"/>
    <n v="10"/>
    <n v="10"/>
    <m/>
    <n v="200"/>
    <s v="Efectivo"/>
    <m/>
    <m/>
  </r>
  <r>
    <x v="2"/>
    <s v="octubre"/>
    <s v="Compra"/>
    <s v="Branca"/>
    <m/>
    <n v="511"/>
    <x v="1"/>
    <n v="5"/>
    <n v="5"/>
    <m/>
    <n v="100"/>
    <s v="Efectivo"/>
    <m/>
    <m/>
  </r>
  <r>
    <x v="3"/>
    <s v="octubre"/>
    <s v="Venta"/>
    <m/>
    <s v="Home depot"/>
    <n v="141"/>
    <x v="1"/>
    <n v="2"/>
    <n v="-2"/>
    <m/>
    <n v="100"/>
    <s v="Cuenta Corriente"/>
    <s v="No"/>
    <m/>
  </r>
  <r>
    <x v="4"/>
    <s v=""/>
    <m/>
    <m/>
    <m/>
    <m/>
    <x v="2"/>
    <m/>
    <m/>
    <m/>
    <s v=""/>
    <m/>
    <m/>
    <m/>
  </r>
  <r>
    <x v="4"/>
    <s v=""/>
    <m/>
    <m/>
    <m/>
    <m/>
    <x v="2"/>
    <m/>
    <m/>
    <m/>
    <s v=""/>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4">
  <r>
    <d v="2024-10-10T00:00:00"/>
    <s v="octubre"/>
    <s v="Stock Inicial"/>
    <m/>
    <x v="0"/>
    <x v="0"/>
    <n v="20"/>
    <m/>
  </r>
  <r>
    <d v="2024-10-11T00:00:00"/>
    <s v="octubre"/>
    <s v="Stock Inicial"/>
    <m/>
    <x v="1"/>
    <x v="1"/>
    <n v="30"/>
    <m/>
  </r>
  <r>
    <d v="2024-10-12T00:00:00"/>
    <s v="octubre"/>
    <s v="Stock Inicial"/>
    <m/>
    <x v="2"/>
    <x v="2"/>
    <n v="15"/>
    <m/>
  </r>
  <r>
    <d v="2024-10-13T00:00:00"/>
    <s v="octubre"/>
    <s v="Stock Inicial"/>
    <m/>
    <x v="3"/>
    <x v="3"/>
    <n v="20"/>
    <m/>
  </r>
  <r>
    <d v="2024-10-14T00:00:00"/>
    <s v="octubre"/>
    <s v="Stock Inicial"/>
    <m/>
    <x v="4"/>
    <x v="4"/>
    <n v="25"/>
    <m/>
  </r>
  <r>
    <d v="2024-10-15T00:00:00"/>
    <s v="octubre"/>
    <s v="Stock Inicial"/>
    <m/>
    <x v="5"/>
    <x v="5"/>
    <n v="30"/>
    <m/>
  </r>
  <r>
    <d v="2024-10-16T00:00:00"/>
    <s v="octubre"/>
    <s v="Stock Inicial"/>
    <m/>
    <x v="6"/>
    <x v="6"/>
    <n v="22"/>
    <m/>
  </r>
  <r>
    <d v="2024-10-21T00:00:00"/>
    <s v="octubre"/>
    <s v="Venta"/>
    <s v="Deportes el balón"/>
    <x v="4"/>
    <x v="4"/>
    <n v="-5"/>
    <n v="1"/>
  </r>
  <r>
    <d v="2024-10-21T00:00:00"/>
    <s v="octubre"/>
    <s v="Venta"/>
    <s v="Deportes el balón"/>
    <x v="2"/>
    <x v="2"/>
    <n v="-10"/>
    <n v="1"/>
  </r>
  <r>
    <d v="2024-10-21T00:00:00"/>
    <s v="octubre"/>
    <s v="Venta"/>
    <s v="Deportes el balón"/>
    <x v="3"/>
    <x v="3"/>
    <n v="-10"/>
    <n v="1"/>
  </r>
  <r>
    <d v="2024-10-22T00:00:00"/>
    <s v="octubre"/>
    <s v="Compra"/>
    <m/>
    <x v="6"/>
    <x v="6"/>
    <n v="100"/>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r>
    <m/>
    <s v=""/>
    <m/>
    <m/>
    <x v="7"/>
    <x v="7"/>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D81856-AFE5-449A-8450-F6FCACDBD784}" name="TablaDinámica1" cacheId="16" applyNumberFormats="0" applyBorderFormats="0" applyFontFormats="0" applyPatternFormats="0" applyAlignmentFormats="0" applyWidthHeightFormats="1" dataCaption="Valores" updatedVersion="8" minRefreshableVersion="3" rowGrandTotals="0" colGrandTotals="0" itemPrintTitles="1" createdVersion="8" indent="0" compact="0" compactData="0" multipleFieldFilters="0">
  <location ref="B6:D20" firstHeaderRow="1" firstDataRow="1" firstDataCol="2"/>
  <pivotFields count="8">
    <pivotField compact="0" outline="0" subtotalTop="0" showAll="0"/>
    <pivotField compact="0" outline="0" subtotalTop="0" showAll="0"/>
    <pivotField compact="0" outline="0" subtotalTop="0" showAll="0"/>
    <pivotField compact="0" outline="0" subtotalTop="0" showAll="0"/>
    <pivotField axis="axisRow" compact="0" outline="0" subtotalTop="0" showAll="0">
      <items count="11">
        <item h="1" x="7"/>
        <item x="4"/>
        <item x="0"/>
        <item x="1"/>
        <item m="1" x="8"/>
        <item x="3"/>
        <item x="5"/>
        <item x="6"/>
        <item x="2"/>
        <item h="1" m="1" x="9"/>
        <item t="default"/>
      </items>
    </pivotField>
    <pivotField axis="axisRow" compact="0" outline="0" subtotalTop="0" showAll="0">
      <items count="10">
        <item x="4"/>
        <item x="7"/>
        <item x="0"/>
        <item x="1"/>
        <item m="1" x="8"/>
        <item x="3"/>
        <item x="5"/>
        <item x="6"/>
        <item x="2"/>
        <item t="default"/>
      </items>
    </pivotField>
    <pivotField dataField="1" compact="0" outline="0" subtotalTop="0" showAll="0"/>
    <pivotField compact="0" outline="0" subtotalTop="0" showAll="0"/>
  </pivotFields>
  <rowFields count="2">
    <field x="4"/>
    <field x="5"/>
  </rowFields>
  <rowItems count="14">
    <i>
      <x v="1"/>
      <x/>
    </i>
    <i t="default">
      <x v="1"/>
    </i>
    <i>
      <x v="2"/>
      <x v="2"/>
    </i>
    <i t="default">
      <x v="2"/>
    </i>
    <i>
      <x v="3"/>
      <x v="3"/>
    </i>
    <i t="default">
      <x v="3"/>
    </i>
    <i>
      <x v="5"/>
      <x v="5"/>
    </i>
    <i t="default">
      <x v="5"/>
    </i>
    <i>
      <x v="6"/>
      <x v="6"/>
    </i>
    <i t="default">
      <x v="6"/>
    </i>
    <i>
      <x v="7"/>
      <x v="7"/>
    </i>
    <i t="default">
      <x v="7"/>
    </i>
    <i>
      <x v="8"/>
      <x v="8"/>
    </i>
    <i t="default">
      <x v="8"/>
    </i>
  </rowItems>
  <colItems count="1">
    <i/>
  </colItems>
  <dataFields count="1">
    <dataField name="Suma de CANTIDA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B4:C13" firstHeaderRow="1" firstDataRow="1" firstDataCol="1"/>
  <pivotFields count="14">
    <pivotField axis="axisRow" showAll="0">
      <items count="6">
        <item x="0"/>
        <item x="1"/>
        <item x="4"/>
        <item x="2"/>
        <item x="3"/>
        <item t="default"/>
      </items>
    </pivotField>
    <pivotField showAll="0"/>
    <pivotField showAll="0"/>
    <pivotField showAll="0"/>
    <pivotField showAll="0"/>
    <pivotField showAll="0"/>
    <pivotField axis="axisRow" showAll="0">
      <items count="4">
        <item x="0"/>
        <item h="1" sd="0" x="2"/>
        <item x="1"/>
        <item t="default"/>
      </items>
    </pivotField>
    <pivotField showAll="0"/>
    <pivotField dataField="1" showAll="0"/>
    <pivotField showAll="0"/>
    <pivotField showAll="0"/>
    <pivotField showAll="0"/>
    <pivotField showAll="0"/>
    <pivotField showAll="0"/>
  </pivotFields>
  <rowFields count="2">
    <field x="6"/>
    <field x="0"/>
  </rowFields>
  <rowItems count="9">
    <i>
      <x/>
    </i>
    <i r="1">
      <x/>
    </i>
    <i r="1">
      <x v="1"/>
    </i>
    <i r="1">
      <x v="3"/>
    </i>
    <i r="1">
      <x v="4"/>
    </i>
    <i>
      <x v="2"/>
    </i>
    <i r="1">
      <x v="3"/>
    </i>
    <i r="1">
      <x v="4"/>
    </i>
    <i t="grand">
      <x/>
    </i>
  </rowItems>
  <colItems count="1">
    <i/>
  </colItems>
  <dataFields count="1">
    <dataField name="Stock" fld="8" subtotal="count" baseField="6" baseItem="0"/>
  </dataField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E2733-9D5A-4FCF-A6E6-383503E24B7F}" name="Lista_Precios" displayName="Lista_Precios" ref="B6:E27" totalsRowShown="0" headerRowDxfId="16" dataDxfId="15" tableBorderDxfId="14">
  <tableColumns count="4">
    <tableColumn id="1" xr3:uid="{775616C2-A91D-466E-BC27-772975B27438}" name="CÓDIGO" dataDxfId="13" dataCellStyle="Moneda"/>
    <tableColumn id="2" xr3:uid="{90A9DEA0-C100-4E7F-A011-CC0BDC3CB2EE}" name="PRODUCTO" dataDxfId="12"/>
    <tableColumn id="3" xr3:uid="{91AA7916-9C95-4510-9D48-F33DF9772909}" name="PRECIO UNITARIO" dataDxfId="11" dataCellStyle="Moneda"/>
    <tableColumn id="4" xr3:uid="{47DBB0EE-B04F-45D8-A989-37C30800A739}" name="MÍNIMO DE STOCK TOLERABLE" dataDxfId="10"/>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F00BD9-6126-445F-A458-8F2161D7AC2C}" name="Tabla_Clientes" displayName="Tabla_Clientes" ref="B6:H50" totalsRowShown="0" headerRowDxfId="9" dataDxfId="8" tableBorderDxfId="7">
  <tableColumns count="7">
    <tableColumn id="1" xr3:uid="{EB801630-4115-4B37-931B-197B814E01E8}" name="NOMBRE" dataDxfId="6"/>
    <tableColumn id="2" xr3:uid="{71213082-368F-46BC-B9ED-FE47B4213BA0}" name="LOCALIDAD" dataDxfId="5"/>
    <tableColumn id="3" xr3:uid="{BA8D64DC-A86C-4B44-A03B-60273CCDDF05}" name="PROVINCIA" dataDxfId="4"/>
    <tableColumn id="4" xr3:uid="{92C7F6FD-148A-4F9A-B3FC-2CAC9033C1AC}" name="TELEFONO" dataDxfId="3"/>
    <tableColumn id="5" xr3:uid="{B9EDFAF7-D60B-4DDC-A56C-907C5E406823}" name="EMAIL" dataDxfId="2"/>
    <tableColumn id="6" xr3:uid="{48107FAC-1D9E-4DF3-96A1-776B7210BA09}" name="DOMICILIO" dataDxfId="1"/>
    <tableColumn id="7" xr3:uid="{63F950A3-8D4C-4668-A627-A4E8B5807389}" name="ID FISCAL"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latienda@hotmail.com" TargetMode="External"/><Relationship Id="rId1" Type="http://schemas.openxmlformats.org/officeDocument/2006/relationships/hyperlink" Target="mailto:jm@ejemplo.com" TargetMode="External"/><Relationship Id="rId5" Type="http://schemas.openxmlformats.org/officeDocument/2006/relationships/table" Target="../tables/table2.xml"/><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E7363-25CA-4430-8387-C20D00F013DD}">
  <sheetPr codeName="Hoja1"/>
  <dimension ref="B2:P2"/>
  <sheetViews>
    <sheetView showGridLines="0" tabSelected="1" workbookViewId="0">
      <selection activeCell="P79" sqref="P79"/>
    </sheetView>
  </sheetViews>
  <sheetFormatPr baseColWidth="10" defaultRowHeight="14.5" x14ac:dyDescent="0.35"/>
  <cols>
    <col min="1" max="1" width="4.1796875" customWidth="1"/>
  </cols>
  <sheetData>
    <row r="2" spans="2:16" ht="61.75" customHeight="1" x14ac:dyDescent="0.35">
      <c r="B2" s="44"/>
      <c r="C2" s="44"/>
      <c r="D2" s="44"/>
      <c r="E2" s="44"/>
      <c r="F2" s="44"/>
      <c r="G2" s="44"/>
      <c r="H2" s="44"/>
      <c r="I2" s="44"/>
      <c r="J2" s="44"/>
      <c r="K2" s="44"/>
      <c r="L2" s="44"/>
      <c r="M2" s="44"/>
      <c r="N2" s="44"/>
      <c r="O2" s="44"/>
      <c r="P2" s="4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5:D1242"/>
  <sheetViews>
    <sheetView workbookViewId="0">
      <selection activeCell="E5" sqref="E5"/>
    </sheetView>
  </sheetViews>
  <sheetFormatPr baseColWidth="10" defaultRowHeight="14.5" x14ac:dyDescent="0.35"/>
  <sheetData>
    <row r="5" spans="1:4" x14ac:dyDescent="0.35">
      <c r="A5" t="e">
        <f>'Lista de productos'!#REF!</f>
        <v>#REF!</v>
      </c>
      <c r="B5" t="str">
        <f>'Lista de productos'!B7</f>
        <v>BC001</v>
      </c>
      <c r="D5">
        <v>1</v>
      </c>
    </row>
    <row r="6" spans="1:4" x14ac:dyDescent="0.35">
      <c r="A6" t="e">
        <f>'Lista de productos'!#REF!</f>
        <v>#REF!</v>
      </c>
      <c r="B6" t="str">
        <f>'Lista de productos'!B8</f>
        <v>BC002</v>
      </c>
      <c r="D6">
        <v>2</v>
      </c>
    </row>
    <row r="7" spans="1:4" x14ac:dyDescent="0.35">
      <c r="A7" t="e">
        <f>'Lista de productos'!#REF!</f>
        <v>#REF!</v>
      </c>
      <c r="B7" t="str">
        <f>'Lista de productos'!B9</f>
        <v>BC003</v>
      </c>
      <c r="D7">
        <v>3</v>
      </c>
    </row>
    <row r="8" spans="1:4" x14ac:dyDescent="0.35">
      <c r="A8" t="e">
        <f>'Lista de productos'!#REF!</f>
        <v>#REF!</v>
      </c>
      <c r="B8" t="str">
        <f>'Lista de productos'!B10</f>
        <v>AG001</v>
      </c>
      <c r="D8">
        <v>4</v>
      </c>
    </row>
    <row r="9" spans="1:4" x14ac:dyDescent="0.35">
      <c r="A9" t="e">
        <f>'Lista de productos'!#REF!</f>
        <v>#REF!</v>
      </c>
      <c r="B9" t="str">
        <f>'Lista de productos'!B11</f>
        <v>AG002</v>
      </c>
      <c r="D9">
        <v>5</v>
      </c>
    </row>
    <row r="10" spans="1:4" x14ac:dyDescent="0.35">
      <c r="A10" t="e">
        <f>'Lista de productos'!#REF!</f>
        <v>#REF!</v>
      </c>
      <c r="B10" t="str">
        <f>'Lista de productos'!B12</f>
        <v>AG003</v>
      </c>
      <c r="D10">
        <v>6</v>
      </c>
    </row>
    <row r="11" spans="1:4" x14ac:dyDescent="0.35">
      <c r="A11" t="e">
        <f>'Lista de productos'!#REF!</f>
        <v>#REF!</v>
      </c>
      <c r="B11" t="str">
        <f>'Lista de productos'!B13</f>
        <v>JN001</v>
      </c>
      <c r="D11">
        <v>7</v>
      </c>
    </row>
    <row r="12" spans="1:4" x14ac:dyDescent="0.35">
      <c r="A12" t="e">
        <f>'Lista de productos'!#REF!</f>
        <v>#REF!</v>
      </c>
      <c r="B12" t="str">
        <f>'Lista de productos'!B14</f>
        <v>JN002</v>
      </c>
      <c r="D12">
        <v>8</v>
      </c>
    </row>
    <row r="13" spans="1:4" x14ac:dyDescent="0.35">
      <c r="A13" t="e">
        <f>'Lista de productos'!#REF!</f>
        <v>#REF!</v>
      </c>
      <c r="B13" t="str">
        <f>'Lista de productos'!B15</f>
        <v>JN003</v>
      </c>
      <c r="D13">
        <v>9</v>
      </c>
    </row>
    <row r="14" spans="1:4" x14ac:dyDescent="0.35">
      <c r="A14" t="e">
        <f>'Lista de productos'!#REF!</f>
        <v>#REF!</v>
      </c>
      <c r="B14" t="str">
        <f>'Lista de productos'!B16</f>
        <v>BF001</v>
      </c>
      <c r="D14">
        <v>10</v>
      </c>
    </row>
    <row r="15" spans="1:4" x14ac:dyDescent="0.35">
      <c r="A15" t="e">
        <f>'Lista de productos'!#REF!</f>
        <v>#REF!</v>
      </c>
      <c r="B15" t="str">
        <f>'Lista de productos'!B17</f>
        <v>BF002</v>
      </c>
      <c r="D15">
        <v>11</v>
      </c>
    </row>
    <row r="16" spans="1:4" x14ac:dyDescent="0.35">
      <c r="A16" t="e">
        <f>'Lista de productos'!#REF!</f>
        <v>#REF!</v>
      </c>
      <c r="B16" t="str">
        <f>'Lista de productos'!B18</f>
        <v>BF003</v>
      </c>
      <c r="D16">
        <v>12</v>
      </c>
    </row>
    <row r="17" spans="1:4" x14ac:dyDescent="0.35">
      <c r="A17" t="e">
        <f>'Lista de productos'!#REF!</f>
        <v>#REF!</v>
      </c>
      <c r="B17" t="e">
        <f>'Lista de productos'!#REF!</f>
        <v>#REF!</v>
      </c>
      <c r="D17">
        <v>13</v>
      </c>
    </row>
    <row r="18" spans="1:4" x14ac:dyDescent="0.35">
      <c r="A18" t="e">
        <f>'Lista de productos'!#REF!</f>
        <v>#REF!</v>
      </c>
      <c r="B18">
        <f>'Lista de productos'!B28</f>
        <v>0</v>
      </c>
      <c r="D18">
        <v>14</v>
      </c>
    </row>
    <row r="19" spans="1:4" x14ac:dyDescent="0.35">
      <c r="A19" t="e">
        <f>'Lista de productos'!#REF!</f>
        <v>#REF!</v>
      </c>
      <c r="B19">
        <f>'Lista de productos'!B29</f>
        <v>0</v>
      </c>
      <c r="D19">
        <v>15</v>
      </c>
    </row>
    <row r="20" spans="1:4" x14ac:dyDescent="0.35">
      <c r="A20" t="e">
        <f>'Lista de productos'!#REF!</f>
        <v>#REF!</v>
      </c>
      <c r="B20">
        <f>'Lista de productos'!B30</f>
        <v>0</v>
      </c>
      <c r="D20">
        <v>16</v>
      </c>
    </row>
    <row r="21" spans="1:4" x14ac:dyDescent="0.35">
      <c r="A21" t="e">
        <f>'Lista de productos'!#REF!</f>
        <v>#REF!</v>
      </c>
      <c r="B21">
        <f>'Lista de productos'!B31</f>
        <v>0</v>
      </c>
      <c r="D21">
        <v>17</v>
      </c>
    </row>
    <row r="22" spans="1:4" x14ac:dyDescent="0.35">
      <c r="A22" t="e">
        <f>'Lista de productos'!#REF!</f>
        <v>#REF!</v>
      </c>
      <c r="B22">
        <f>'Lista de productos'!B32</f>
        <v>0</v>
      </c>
      <c r="D22">
        <v>18</v>
      </c>
    </row>
    <row r="23" spans="1:4" x14ac:dyDescent="0.35">
      <c r="A23" t="e">
        <f>'Lista de productos'!#REF!</f>
        <v>#REF!</v>
      </c>
      <c r="B23">
        <f>'Lista de productos'!B33</f>
        <v>0</v>
      </c>
      <c r="D23">
        <v>19</v>
      </c>
    </row>
    <row r="24" spans="1:4" x14ac:dyDescent="0.35">
      <c r="A24" t="e">
        <f>'Lista de productos'!#REF!</f>
        <v>#REF!</v>
      </c>
      <c r="B24">
        <f>'Lista de productos'!B34</f>
        <v>0</v>
      </c>
      <c r="D24">
        <v>20</v>
      </c>
    </row>
    <row r="25" spans="1:4" x14ac:dyDescent="0.35">
      <c r="A25" t="e">
        <f>'Lista de productos'!#REF!</f>
        <v>#REF!</v>
      </c>
      <c r="B25">
        <f>'Lista de productos'!B35</f>
        <v>0</v>
      </c>
      <c r="D25">
        <v>21</v>
      </c>
    </row>
    <row r="26" spans="1:4" x14ac:dyDescent="0.35">
      <c r="A26" t="e">
        <f>'Lista de productos'!#REF!</f>
        <v>#REF!</v>
      </c>
      <c r="B26">
        <f>'Lista de productos'!B36</f>
        <v>0</v>
      </c>
      <c r="D26">
        <v>22</v>
      </c>
    </row>
    <row r="27" spans="1:4" x14ac:dyDescent="0.35">
      <c r="A27" t="e">
        <f>'Lista de productos'!#REF!</f>
        <v>#REF!</v>
      </c>
      <c r="B27">
        <f>'Lista de productos'!B37</f>
        <v>0</v>
      </c>
      <c r="D27">
        <v>23</v>
      </c>
    </row>
    <row r="28" spans="1:4" x14ac:dyDescent="0.35">
      <c r="A28" t="e">
        <f>'Lista de productos'!#REF!</f>
        <v>#REF!</v>
      </c>
      <c r="B28">
        <f>'Lista de productos'!B38</f>
        <v>0</v>
      </c>
      <c r="D28">
        <v>24</v>
      </c>
    </row>
    <row r="29" spans="1:4" x14ac:dyDescent="0.35">
      <c r="A29" t="e">
        <f>'Lista de productos'!#REF!</f>
        <v>#REF!</v>
      </c>
      <c r="B29">
        <f>'Lista de productos'!B39</f>
        <v>0</v>
      </c>
      <c r="D29">
        <v>25</v>
      </c>
    </row>
    <row r="30" spans="1:4" x14ac:dyDescent="0.35">
      <c r="A30" t="e">
        <f>'Lista de productos'!#REF!</f>
        <v>#REF!</v>
      </c>
      <c r="B30">
        <f>'Lista de productos'!B40</f>
        <v>0</v>
      </c>
      <c r="D30">
        <v>26</v>
      </c>
    </row>
    <row r="31" spans="1:4" x14ac:dyDescent="0.35">
      <c r="A31" t="e">
        <f>'Lista de productos'!#REF!</f>
        <v>#REF!</v>
      </c>
      <c r="B31">
        <f>'Lista de productos'!B41</f>
        <v>0</v>
      </c>
      <c r="D31">
        <v>27</v>
      </c>
    </row>
    <row r="32" spans="1:4" x14ac:dyDescent="0.35">
      <c r="A32" t="e">
        <f>'Lista de productos'!#REF!</f>
        <v>#REF!</v>
      </c>
      <c r="B32">
        <f>'Lista de productos'!B42</f>
        <v>0</v>
      </c>
      <c r="D32">
        <v>28</v>
      </c>
    </row>
    <row r="33" spans="1:4" x14ac:dyDescent="0.35">
      <c r="A33" t="e">
        <f>'Lista de productos'!#REF!</f>
        <v>#REF!</v>
      </c>
      <c r="B33">
        <f>'Lista de productos'!B43</f>
        <v>0</v>
      </c>
      <c r="D33">
        <v>29</v>
      </c>
    </row>
    <row r="34" spans="1:4" x14ac:dyDescent="0.35">
      <c r="A34" t="e">
        <f>'Lista de productos'!#REF!</f>
        <v>#REF!</v>
      </c>
      <c r="B34">
        <f>'Lista de productos'!B44</f>
        <v>0</v>
      </c>
      <c r="D34">
        <v>30</v>
      </c>
    </row>
    <row r="35" spans="1:4" x14ac:dyDescent="0.35">
      <c r="A35" t="e">
        <f>'Lista de productos'!#REF!</f>
        <v>#REF!</v>
      </c>
      <c r="B35">
        <f>'Lista de productos'!B45</f>
        <v>0</v>
      </c>
      <c r="D35">
        <v>31</v>
      </c>
    </row>
    <row r="36" spans="1:4" x14ac:dyDescent="0.35">
      <c r="A36" t="e">
        <f>'Lista de productos'!#REF!</f>
        <v>#REF!</v>
      </c>
      <c r="B36">
        <f>'Lista de productos'!B46</f>
        <v>0</v>
      </c>
      <c r="D36">
        <v>32</v>
      </c>
    </row>
    <row r="37" spans="1:4" x14ac:dyDescent="0.35">
      <c r="A37" t="e">
        <f>'Lista de productos'!#REF!</f>
        <v>#REF!</v>
      </c>
      <c r="B37">
        <f>'Lista de productos'!B47</f>
        <v>0</v>
      </c>
      <c r="D37">
        <v>33</v>
      </c>
    </row>
    <row r="38" spans="1:4" x14ac:dyDescent="0.35">
      <c r="A38" t="e">
        <f>'Lista de productos'!#REF!</f>
        <v>#REF!</v>
      </c>
      <c r="B38">
        <f>'Lista de productos'!B48</f>
        <v>0</v>
      </c>
      <c r="D38">
        <v>34</v>
      </c>
    </row>
    <row r="39" spans="1:4" x14ac:dyDescent="0.35">
      <c r="A39" t="e">
        <f>'Lista de productos'!#REF!</f>
        <v>#REF!</v>
      </c>
      <c r="B39">
        <f>'Lista de productos'!B49</f>
        <v>0</v>
      </c>
      <c r="D39">
        <v>35</v>
      </c>
    </row>
    <row r="40" spans="1:4" x14ac:dyDescent="0.35">
      <c r="A40" t="e">
        <f>'Lista de productos'!#REF!</f>
        <v>#REF!</v>
      </c>
      <c r="B40">
        <f>'Lista de productos'!B50</f>
        <v>0</v>
      </c>
      <c r="D40">
        <v>36</v>
      </c>
    </row>
    <row r="41" spans="1:4" x14ac:dyDescent="0.35">
      <c r="A41" t="e">
        <f>'Lista de productos'!#REF!</f>
        <v>#REF!</v>
      </c>
      <c r="B41">
        <f>'Lista de productos'!B51</f>
        <v>0</v>
      </c>
      <c r="D41">
        <v>37</v>
      </c>
    </row>
    <row r="42" spans="1:4" x14ac:dyDescent="0.35">
      <c r="A42" t="e">
        <f>'Lista de productos'!#REF!</f>
        <v>#REF!</v>
      </c>
      <c r="B42">
        <f>'Lista de productos'!B52</f>
        <v>0</v>
      </c>
      <c r="D42">
        <v>38</v>
      </c>
    </row>
    <row r="43" spans="1:4" x14ac:dyDescent="0.35">
      <c r="A43" t="e">
        <f>'Lista de productos'!#REF!</f>
        <v>#REF!</v>
      </c>
      <c r="B43">
        <f>'Lista de productos'!B53</f>
        <v>0</v>
      </c>
      <c r="D43">
        <v>39</v>
      </c>
    </row>
    <row r="44" spans="1:4" x14ac:dyDescent="0.35">
      <c r="A44" t="e">
        <f>'Lista de productos'!#REF!</f>
        <v>#REF!</v>
      </c>
      <c r="B44">
        <f>'Lista de productos'!B54</f>
        <v>0</v>
      </c>
      <c r="D44">
        <v>40</v>
      </c>
    </row>
    <row r="45" spans="1:4" x14ac:dyDescent="0.35">
      <c r="A45" t="e">
        <f>'Lista de productos'!#REF!</f>
        <v>#REF!</v>
      </c>
      <c r="B45">
        <f>'Lista de productos'!B55</f>
        <v>0</v>
      </c>
      <c r="D45">
        <v>41</v>
      </c>
    </row>
    <row r="46" spans="1:4" x14ac:dyDescent="0.35">
      <c r="A46" t="e">
        <f>'Lista de productos'!#REF!</f>
        <v>#REF!</v>
      </c>
      <c r="B46">
        <f>'Lista de productos'!B56</f>
        <v>0</v>
      </c>
      <c r="D46">
        <v>42</v>
      </c>
    </row>
    <row r="47" spans="1:4" x14ac:dyDescent="0.35">
      <c r="A47" t="e">
        <f>'Lista de productos'!#REF!</f>
        <v>#REF!</v>
      </c>
      <c r="B47">
        <f>'Lista de productos'!B57</f>
        <v>0</v>
      </c>
      <c r="D47">
        <v>43</v>
      </c>
    </row>
    <row r="48" spans="1:4" x14ac:dyDescent="0.35">
      <c r="A48" t="e">
        <f>'Lista de productos'!#REF!</f>
        <v>#REF!</v>
      </c>
      <c r="B48">
        <f>'Lista de productos'!B58</f>
        <v>0</v>
      </c>
      <c r="D48">
        <v>44</v>
      </c>
    </row>
    <row r="49" spans="1:4" x14ac:dyDescent="0.35">
      <c r="A49" t="e">
        <f>'Lista de productos'!#REF!</f>
        <v>#REF!</v>
      </c>
      <c r="B49">
        <f>'Lista de productos'!B59</f>
        <v>0</v>
      </c>
      <c r="D49">
        <v>45</v>
      </c>
    </row>
    <row r="50" spans="1:4" x14ac:dyDescent="0.35">
      <c r="A50" t="e">
        <f>'Lista de productos'!#REF!</f>
        <v>#REF!</v>
      </c>
      <c r="B50">
        <f>'Lista de productos'!B60</f>
        <v>0</v>
      </c>
      <c r="D50">
        <v>46</v>
      </c>
    </row>
    <row r="51" spans="1:4" x14ac:dyDescent="0.35">
      <c r="A51" t="e">
        <f>'Lista de productos'!#REF!</f>
        <v>#REF!</v>
      </c>
      <c r="B51">
        <f>'Lista de productos'!B61</f>
        <v>0</v>
      </c>
      <c r="D51">
        <v>47</v>
      </c>
    </row>
    <row r="52" spans="1:4" x14ac:dyDescent="0.35">
      <c r="A52" t="e">
        <f>'Lista de productos'!#REF!</f>
        <v>#REF!</v>
      </c>
      <c r="B52">
        <f>'Lista de productos'!B62</f>
        <v>0</v>
      </c>
      <c r="D52">
        <v>48</v>
      </c>
    </row>
    <row r="53" spans="1:4" x14ac:dyDescent="0.35">
      <c r="A53" t="e">
        <f>'Lista de productos'!#REF!</f>
        <v>#REF!</v>
      </c>
      <c r="B53">
        <f>'Lista de productos'!B63</f>
        <v>0</v>
      </c>
      <c r="D53">
        <v>49</v>
      </c>
    </row>
    <row r="54" spans="1:4" x14ac:dyDescent="0.35">
      <c r="A54" t="e">
        <f>'Lista de productos'!#REF!</f>
        <v>#REF!</v>
      </c>
      <c r="B54">
        <f>'Lista de productos'!B64</f>
        <v>0</v>
      </c>
      <c r="D54">
        <v>50</v>
      </c>
    </row>
    <row r="55" spans="1:4" x14ac:dyDescent="0.35">
      <c r="A55" t="e">
        <f>'Lista de productos'!#REF!</f>
        <v>#REF!</v>
      </c>
      <c r="B55">
        <f>'Lista de productos'!B65</f>
        <v>0</v>
      </c>
      <c r="D55">
        <v>51</v>
      </c>
    </row>
    <row r="56" spans="1:4" x14ac:dyDescent="0.35">
      <c r="A56" t="e">
        <f>'Lista de productos'!#REF!</f>
        <v>#REF!</v>
      </c>
      <c r="B56">
        <f>'Lista de productos'!B66</f>
        <v>0</v>
      </c>
      <c r="D56">
        <v>52</v>
      </c>
    </row>
    <row r="57" spans="1:4" x14ac:dyDescent="0.35">
      <c r="A57" t="e">
        <f>'Lista de productos'!#REF!</f>
        <v>#REF!</v>
      </c>
      <c r="B57">
        <f>'Lista de productos'!B67</f>
        <v>0</v>
      </c>
      <c r="D57">
        <v>53</v>
      </c>
    </row>
    <row r="58" spans="1:4" x14ac:dyDescent="0.35">
      <c r="A58" t="e">
        <f>'Lista de productos'!#REF!</f>
        <v>#REF!</v>
      </c>
      <c r="B58">
        <f>'Lista de productos'!B68</f>
        <v>0</v>
      </c>
      <c r="D58">
        <v>54</v>
      </c>
    </row>
    <row r="59" spans="1:4" x14ac:dyDescent="0.35">
      <c r="A59" t="e">
        <f>'Lista de productos'!#REF!</f>
        <v>#REF!</v>
      </c>
      <c r="B59">
        <f>'Lista de productos'!B69</f>
        <v>0</v>
      </c>
      <c r="D59">
        <v>55</v>
      </c>
    </row>
    <row r="60" spans="1:4" x14ac:dyDescent="0.35">
      <c r="A60" t="e">
        <f>'Lista de productos'!#REF!</f>
        <v>#REF!</v>
      </c>
      <c r="B60">
        <f>'Lista de productos'!B70</f>
        <v>0</v>
      </c>
      <c r="D60">
        <v>56</v>
      </c>
    </row>
    <row r="61" spans="1:4" x14ac:dyDescent="0.35">
      <c r="A61" t="e">
        <f>'Lista de productos'!#REF!</f>
        <v>#REF!</v>
      </c>
      <c r="B61">
        <f>'Lista de productos'!B71</f>
        <v>0</v>
      </c>
      <c r="D61">
        <v>57</v>
      </c>
    </row>
    <row r="62" spans="1:4" x14ac:dyDescent="0.35">
      <c r="A62" t="e">
        <f>'Lista de productos'!#REF!</f>
        <v>#REF!</v>
      </c>
      <c r="B62">
        <f>'Lista de productos'!B72</f>
        <v>0</v>
      </c>
      <c r="D62">
        <v>58</v>
      </c>
    </row>
    <row r="63" spans="1:4" x14ac:dyDescent="0.35">
      <c r="A63" t="e">
        <f>'Lista de productos'!#REF!</f>
        <v>#REF!</v>
      </c>
      <c r="B63">
        <f>'Lista de productos'!B73</f>
        <v>0</v>
      </c>
      <c r="D63">
        <v>59</v>
      </c>
    </row>
    <row r="64" spans="1:4" x14ac:dyDescent="0.35">
      <c r="A64" t="e">
        <f>'Lista de productos'!#REF!</f>
        <v>#REF!</v>
      </c>
      <c r="B64">
        <f>'Lista de productos'!B74</f>
        <v>0</v>
      </c>
      <c r="D64">
        <v>60</v>
      </c>
    </row>
    <row r="65" spans="1:4" x14ac:dyDescent="0.35">
      <c r="A65" t="e">
        <f>'Lista de productos'!#REF!</f>
        <v>#REF!</v>
      </c>
      <c r="B65">
        <f>'Lista de productos'!B75</f>
        <v>0</v>
      </c>
      <c r="D65">
        <v>61</v>
      </c>
    </row>
    <row r="66" spans="1:4" x14ac:dyDescent="0.35">
      <c r="A66" t="e">
        <f>'Lista de productos'!#REF!</f>
        <v>#REF!</v>
      </c>
      <c r="B66">
        <f>'Lista de productos'!B76</f>
        <v>0</v>
      </c>
      <c r="D66">
        <v>62</v>
      </c>
    </row>
    <row r="67" spans="1:4" x14ac:dyDescent="0.35">
      <c r="A67" t="e">
        <f>'Lista de productos'!#REF!</f>
        <v>#REF!</v>
      </c>
      <c r="B67">
        <f>'Lista de productos'!B77</f>
        <v>0</v>
      </c>
      <c r="D67">
        <v>63</v>
      </c>
    </row>
    <row r="68" spans="1:4" x14ac:dyDescent="0.35">
      <c r="A68" t="e">
        <f>'Lista de productos'!#REF!</f>
        <v>#REF!</v>
      </c>
      <c r="B68">
        <f>'Lista de productos'!B78</f>
        <v>0</v>
      </c>
      <c r="D68">
        <v>64</v>
      </c>
    </row>
    <row r="69" spans="1:4" x14ac:dyDescent="0.35">
      <c r="A69" t="e">
        <f>'Lista de productos'!#REF!</f>
        <v>#REF!</v>
      </c>
      <c r="B69">
        <f>'Lista de productos'!B79</f>
        <v>0</v>
      </c>
      <c r="D69">
        <v>65</v>
      </c>
    </row>
    <row r="70" spans="1:4" x14ac:dyDescent="0.35">
      <c r="A70" t="e">
        <f>'Lista de productos'!#REF!</f>
        <v>#REF!</v>
      </c>
      <c r="B70">
        <f>'Lista de productos'!B80</f>
        <v>0</v>
      </c>
      <c r="D70">
        <v>66</v>
      </c>
    </row>
    <row r="71" spans="1:4" x14ac:dyDescent="0.35">
      <c r="A71" t="e">
        <f>'Lista de productos'!#REF!</f>
        <v>#REF!</v>
      </c>
      <c r="B71">
        <f>'Lista de productos'!B81</f>
        <v>0</v>
      </c>
      <c r="D71">
        <v>67</v>
      </c>
    </row>
    <row r="72" spans="1:4" x14ac:dyDescent="0.35">
      <c r="A72" t="e">
        <f>'Lista de productos'!#REF!</f>
        <v>#REF!</v>
      </c>
      <c r="B72">
        <f>'Lista de productos'!B82</f>
        <v>0</v>
      </c>
      <c r="D72">
        <v>68</v>
      </c>
    </row>
    <row r="73" spans="1:4" x14ac:dyDescent="0.35">
      <c r="A73" t="e">
        <f>'Lista de productos'!#REF!</f>
        <v>#REF!</v>
      </c>
      <c r="B73">
        <f>'Lista de productos'!B83</f>
        <v>0</v>
      </c>
      <c r="D73">
        <v>69</v>
      </c>
    </row>
    <row r="74" spans="1:4" x14ac:dyDescent="0.35">
      <c r="A74" t="e">
        <f>'Lista de productos'!#REF!</f>
        <v>#REF!</v>
      </c>
      <c r="B74">
        <f>'Lista de productos'!B84</f>
        <v>0</v>
      </c>
      <c r="D74">
        <v>70</v>
      </c>
    </row>
    <row r="75" spans="1:4" x14ac:dyDescent="0.35">
      <c r="A75" t="e">
        <f>'Lista de productos'!#REF!</f>
        <v>#REF!</v>
      </c>
      <c r="B75">
        <f>'Lista de productos'!B85</f>
        <v>0</v>
      </c>
      <c r="D75">
        <v>71</v>
      </c>
    </row>
    <row r="76" spans="1:4" x14ac:dyDescent="0.35">
      <c r="A76" t="e">
        <f>'Lista de productos'!#REF!</f>
        <v>#REF!</v>
      </c>
      <c r="B76">
        <f>'Lista de productos'!B86</f>
        <v>0</v>
      </c>
      <c r="D76">
        <v>72</v>
      </c>
    </row>
    <row r="77" spans="1:4" x14ac:dyDescent="0.35">
      <c r="A77" t="e">
        <f>'Lista de productos'!#REF!</f>
        <v>#REF!</v>
      </c>
      <c r="B77">
        <f>'Lista de productos'!B87</f>
        <v>0</v>
      </c>
      <c r="D77">
        <v>73</v>
      </c>
    </row>
    <row r="78" spans="1:4" x14ac:dyDescent="0.35">
      <c r="A78" t="e">
        <f>'Lista de productos'!#REF!</f>
        <v>#REF!</v>
      </c>
      <c r="B78">
        <f>'Lista de productos'!B88</f>
        <v>0</v>
      </c>
      <c r="D78">
        <v>74</v>
      </c>
    </row>
    <row r="79" spans="1:4" x14ac:dyDescent="0.35">
      <c r="A79" t="e">
        <f>'Lista de productos'!#REF!</f>
        <v>#REF!</v>
      </c>
      <c r="B79">
        <f>'Lista de productos'!B89</f>
        <v>0</v>
      </c>
      <c r="D79">
        <v>75</v>
      </c>
    </row>
    <row r="80" spans="1:4" x14ac:dyDescent="0.35">
      <c r="A80" t="e">
        <f>'Lista de productos'!#REF!</f>
        <v>#REF!</v>
      </c>
      <c r="B80">
        <f>'Lista de productos'!B90</f>
        <v>0</v>
      </c>
      <c r="D80">
        <v>76</v>
      </c>
    </row>
    <row r="81" spans="1:4" x14ac:dyDescent="0.35">
      <c r="A81" t="e">
        <f>'Lista de productos'!#REF!</f>
        <v>#REF!</v>
      </c>
      <c r="B81">
        <f>'Lista de productos'!B91</f>
        <v>0</v>
      </c>
      <c r="D81">
        <v>77</v>
      </c>
    </row>
    <row r="82" spans="1:4" x14ac:dyDescent="0.35">
      <c r="A82" t="e">
        <f>'Lista de productos'!#REF!</f>
        <v>#REF!</v>
      </c>
      <c r="B82">
        <f>'Lista de productos'!B92</f>
        <v>0</v>
      </c>
      <c r="D82">
        <v>78</v>
      </c>
    </row>
    <row r="83" spans="1:4" x14ac:dyDescent="0.35">
      <c r="A83" t="e">
        <f>'Lista de productos'!#REF!</f>
        <v>#REF!</v>
      </c>
      <c r="B83">
        <f>'Lista de productos'!B93</f>
        <v>0</v>
      </c>
      <c r="D83">
        <v>79</v>
      </c>
    </row>
    <row r="84" spans="1:4" x14ac:dyDescent="0.35">
      <c r="A84" t="e">
        <f>'Lista de productos'!#REF!</f>
        <v>#REF!</v>
      </c>
      <c r="B84">
        <f>'Lista de productos'!B94</f>
        <v>0</v>
      </c>
      <c r="D84">
        <v>80</v>
      </c>
    </row>
    <row r="85" spans="1:4" x14ac:dyDescent="0.35">
      <c r="A85" t="e">
        <f>'Lista de productos'!#REF!</f>
        <v>#REF!</v>
      </c>
      <c r="B85">
        <f>'Lista de productos'!B95</f>
        <v>0</v>
      </c>
      <c r="D85">
        <v>81</v>
      </c>
    </row>
    <row r="86" spans="1:4" x14ac:dyDescent="0.35">
      <c r="A86" t="e">
        <f>'Lista de productos'!#REF!</f>
        <v>#REF!</v>
      </c>
      <c r="B86">
        <f>'Lista de productos'!B96</f>
        <v>0</v>
      </c>
      <c r="D86">
        <v>82</v>
      </c>
    </row>
    <row r="87" spans="1:4" x14ac:dyDescent="0.35">
      <c r="A87" t="e">
        <f>'Lista de productos'!#REF!</f>
        <v>#REF!</v>
      </c>
      <c r="B87">
        <f>'Lista de productos'!B97</f>
        <v>0</v>
      </c>
      <c r="D87">
        <v>83</v>
      </c>
    </row>
    <row r="88" spans="1:4" x14ac:dyDescent="0.35">
      <c r="A88" t="e">
        <f>'Lista de productos'!#REF!</f>
        <v>#REF!</v>
      </c>
      <c r="B88">
        <f>'Lista de productos'!B98</f>
        <v>0</v>
      </c>
      <c r="D88">
        <v>84</v>
      </c>
    </row>
    <row r="89" spans="1:4" x14ac:dyDescent="0.35">
      <c r="A89" t="e">
        <f>'Lista de productos'!#REF!</f>
        <v>#REF!</v>
      </c>
      <c r="B89">
        <f>'Lista de productos'!B99</f>
        <v>0</v>
      </c>
      <c r="D89">
        <v>85</v>
      </c>
    </row>
    <row r="90" spans="1:4" x14ac:dyDescent="0.35">
      <c r="A90" t="e">
        <f>'Lista de productos'!#REF!</f>
        <v>#REF!</v>
      </c>
      <c r="B90">
        <f>'Lista de productos'!B100</f>
        <v>0</v>
      </c>
      <c r="D90">
        <v>86</v>
      </c>
    </row>
    <row r="91" spans="1:4" x14ac:dyDescent="0.35">
      <c r="A91" t="e">
        <f>'Lista de productos'!#REF!</f>
        <v>#REF!</v>
      </c>
      <c r="B91">
        <f>'Lista de productos'!B101</f>
        <v>0</v>
      </c>
      <c r="D91">
        <v>87</v>
      </c>
    </row>
    <row r="92" spans="1:4" x14ac:dyDescent="0.35">
      <c r="A92" t="e">
        <f>'Lista de productos'!#REF!</f>
        <v>#REF!</v>
      </c>
      <c r="B92">
        <f>'Lista de productos'!B102</f>
        <v>0</v>
      </c>
      <c r="D92">
        <v>88</v>
      </c>
    </row>
    <row r="93" spans="1:4" x14ac:dyDescent="0.35">
      <c r="A93" t="e">
        <f>'Lista de productos'!#REF!</f>
        <v>#REF!</v>
      </c>
      <c r="B93">
        <f>'Lista de productos'!B103</f>
        <v>0</v>
      </c>
      <c r="D93">
        <v>89</v>
      </c>
    </row>
    <row r="94" spans="1:4" x14ac:dyDescent="0.35">
      <c r="A94" t="e">
        <f>'Lista de productos'!#REF!</f>
        <v>#REF!</v>
      </c>
      <c r="B94">
        <f>'Lista de productos'!B104</f>
        <v>0</v>
      </c>
      <c r="D94">
        <v>90</v>
      </c>
    </row>
    <row r="95" spans="1:4" x14ac:dyDescent="0.35">
      <c r="A95" t="e">
        <f>'Lista de productos'!#REF!</f>
        <v>#REF!</v>
      </c>
      <c r="B95">
        <f>'Lista de productos'!B105</f>
        <v>0</v>
      </c>
      <c r="D95">
        <v>91</v>
      </c>
    </row>
    <row r="96" spans="1:4" x14ac:dyDescent="0.35">
      <c r="A96" t="e">
        <f>'Lista de productos'!#REF!</f>
        <v>#REF!</v>
      </c>
      <c r="B96">
        <f>'Lista de productos'!B106</f>
        <v>0</v>
      </c>
      <c r="D96">
        <v>92</v>
      </c>
    </row>
    <row r="97" spans="1:4" x14ac:dyDescent="0.35">
      <c r="A97" t="e">
        <f>'Lista de productos'!#REF!</f>
        <v>#REF!</v>
      </c>
      <c r="B97">
        <f>'Lista de productos'!B107</f>
        <v>0</v>
      </c>
      <c r="D97">
        <v>93</v>
      </c>
    </row>
    <row r="98" spans="1:4" x14ac:dyDescent="0.35">
      <c r="A98" t="e">
        <f>'Lista de productos'!#REF!</f>
        <v>#REF!</v>
      </c>
      <c r="B98">
        <f>'Lista de productos'!B108</f>
        <v>0</v>
      </c>
      <c r="D98">
        <v>94</v>
      </c>
    </row>
    <row r="99" spans="1:4" x14ac:dyDescent="0.35">
      <c r="A99" t="e">
        <f>'Lista de productos'!#REF!</f>
        <v>#REF!</v>
      </c>
      <c r="B99">
        <f>'Lista de productos'!B109</f>
        <v>0</v>
      </c>
      <c r="D99">
        <v>95</v>
      </c>
    </row>
    <row r="100" spans="1:4" x14ac:dyDescent="0.35">
      <c r="A100" t="e">
        <f>'Lista de productos'!#REF!</f>
        <v>#REF!</v>
      </c>
      <c r="B100">
        <f>'Lista de productos'!B110</f>
        <v>0</v>
      </c>
      <c r="D100">
        <v>96</v>
      </c>
    </row>
    <row r="101" spans="1:4" x14ac:dyDescent="0.35">
      <c r="A101" t="e">
        <f>'Lista de productos'!#REF!</f>
        <v>#REF!</v>
      </c>
      <c r="B101">
        <f>'Lista de productos'!B111</f>
        <v>0</v>
      </c>
      <c r="D101">
        <v>97</v>
      </c>
    </row>
    <row r="102" spans="1:4" x14ac:dyDescent="0.35">
      <c r="A102" t="e">
        <f>'Lista de productos'!#REF!</f>
        <v>#REF!</v>
      </c>
      <c r="B102">
        <f>'Lista de productos'!B112</f>
        <v>0</v>
      </c>
      <c r="D102">
        <v>98</v>
      </c>
    </row>
    <row r="103" spans="1:4" x14ac:dyDescent="0.35">
      <c r="A103" t="e">
        <f>'Lista de productos'!#REF!</f>
        <v>#REF!</v>
      </c>
      <c r="B103">
        <f>'Lista de productos'!B113</f>
        <v>0</v>
      </c>
      <c r="D103">
        <v>99</v>
      </c>
    </row>
    <row r="104" spans="1:4" x14ac:dyDescent="0.35">
      <c r="A104" t="e">
        <f>'Lista de productos'!#REF!</f>
        <v>#REF!</v>
      </c>
      <c r="B104">
        <f>'Lista de productos'!B114</f>
        <v>0</v>
      </c>
      <c r="D104">
        <v>100</v>
      </c>
    </row>
    <row r="105" spans="1:4" x14ac:dyDescent="0.35">
      <c r="A105" t="e">
        <f>'Lista de productos'!#REF!</f>
        <v>#REF!</v>
      </c>
      <c r="B105">
        <f>'Lista de productos'!B115</f>
        <v>0</v>
      </c>
      <c r="D105">
        <v>101</v>
      </c>
    </row>
    <row r="106" spans="1:4" x14ac:dyDescent="0.35">
      <c r="A106" t="e">
        <f>'Lista de productos'!#REF!</f>
        <v>#REF!</v>
      </c>
      <c r="B106">
        <f>'Lista de productos'!B116</f>
        <v>0</v>
      </c>
      <c r="D106">
        <v>102</v>
      </c>
    </row>
    <row r="107" spans="1:4" x14ac:dyDescent="0.35">
      <c r="A107" t="e">
        <f>'Lista de productos'!#REF!</f>
        <v>#REF!</v>
      </c>
      <c r="B107">
        <f>'Lista de productos'!B117</f>
        <v>0</v>
      </c>
      <c r="D107">
        <v>103</v>
      </c>
    </row>
    <row r="108" spans="1:4" x14ac:dyDescent="0.35">
      <c r="A108" t="e">
        <f>'Lista de productos'!#REF!</f>
        <v>#REF!</v>
      </c>
      <c r="B108">
        <f>'Lista de productos'!B118</f>
        <v>0</v>
      </c>
      <c r="D108">
        <v>104</v>
      </c>
    </row>
    <row r="109" spans="1:4" x14ac:dyDescent="0.35">
      <c r="A109" t="e">
        <f>'Lista de productos'!#REF!</f>
        <v>#REF!</v>
      </c>
      <c r="B109">
        <f>'Lista de productos'!B119</f>
        <v>0</v>
      </c>
      <c r="D109">
        <v>105</v>
      </c>
    </row>
    <row r="110" spans="1:4" x14ac:dyDescent="0.35">
      <c r="A110" t="e">
        <f>'Lista de productos'!#REF!</f>
        <v>#REF!</v>
      </c>
      <c r="B110">
        <f>'Lista de productos'!B120</f>
        <v>0</v>
      </c>
      <c r="D110">
        <v>106</v>
      </c>
    </row>
    <row r="111" spans="1:4" x14ac:dyDescent="0.35">
      <c r="A111" t="e">
        <f>'Lista de productos'!#REF!</f>
        <v>#REF!</v>
      </c>
      <c r="B111">
        <f>'Lista de productos'!B121</f>
        <v>0</v>
      </c>
      <c r="D111">
        <v>107</v>
      </c>
    </row>
    <row r="112" spans="1:4" x14ac:dyDescent="0.35">
      <c r="A112" t="e">
        <f>'Lista de productos'!#REF!</f>
        <v>#REF!</v>
      </c>
      <c r="B112">
        <f>'Lista de productos'!B122</f>
        <v>0</v>
      </c>
      <c r="D112">
        <v>108</v>
      </c>
    </row>
    <row r="113" spans="1:4" x14ac:dyDescent="0.35">
      <c r="A113" t="e">
        <f>'Lista de productos'!#REF!</f>
        <v>#REF!</v>
      </c>
      <c r="B113">
        <f>'Lista de productos'!B123</f>
        <v>0</v>
      </c>
      <c r="D113">
        <v>109</v>
      </c>
    </row>
    <row r="114" spans="1:4" x14ac:dyDescent="0.35">
      <c r="A114" t="e">
        <f>'Lista de productos'!#REF!</f>
        <v>#REF!</v>
      </c>
      <c r="B114">
        <f>'Lista de productos'!B124</f>
        <v>0</v>
      </c>
      <c r="D114">
        <v>110</v>
      </c>
    </row>
    <row r="115" spans="1:4" x14ac:dyDescent="0.35">
      <c r="A115" t="e">
        <f>'Lista de productos'!#REF!</f>
        <v>#REF!</v>
      </c>
      <c r="B115">
        <f>'Lista de productos'!B125</f>
        <v>0</v>
      </c>
      <c r="D115">
        <v>111</v>
      </c>
    </row>
    <row r="116" spans="1:4" x14ac:dyDescent="0.35">
      <c r="A116" t="e">
        <f>'Lista de productos'!#REF!</f>
        <v>#REF!</v>
      </c>
      <c r="B116">
        <f>'Lista de productos'!B126</f>
        <v>0</v>
      </c>
      <c r="D116">
        <v>112</v>
      </c>
    </row>
    <row r="117" spans="1:4" x14ac:dyDescent="0.35">
      <c r="A117" t="e">
        <f>'Lista de productos'!#REF!</f>
        <v>#REF!</v>
      </c>
      <c r="B117">
        <f>'Lista de productos'!B127</f>
        <v>0</v>
      </c>
      <c r="D117">
        <v>113</v>
      </c>
    </row>
    <row r="118" spans="1:4" x14ac:dyDescent="0.35">
      <c r="A118" t="e">
        <f>'Lista de productos'!#REF!</f>
        <v>#REF!</v>
      </c>
      <c r="B118">
        <f>'Lista de productos'!B128</f>
        <v>0</v>
      </c>
      <c r="D118">
        <v>114</v>
      </c>
    </row>
    <row r="119" spans="1:4" x14ac:dyDescent="0.35">
      <c r="A119" t="e">
        <f>'Lista de productos'!#REF!</f>
        <v>#REF!</v>
      </c>
      <c r="B119">
        <f>'Lista de productos'!B129</f>
        <v>0</v>
      </c>
      <c r="D119">
        <v>115</v>
      </c>
    </row>
    <row r="120" spans="1:4" x14ac:dyDescent="0.35">
      <c r="A120" t="e">
        <f>'Lista de productos'!#REF!</f>
        <v>#REF!</v>
      </c>
      <c r="B120">
        <f>'Lista de productos'!B130</f>
        <v>0</v>
      </c>
      <c r="D120">
        <v>116</v>
      </c>
    </row>
    <row r="121" spans="1:4" x14ac:dyDescent="0.35">
      <c r="A121" t="e">
        <f>'Lista de productos'!#REF!</f>
        <v>#REF!</v>
      </c>
      <c r="B121">
        <f>'Lista de productos'!B131</f>
        <v>0</v>
      </c>
      <c r="D121">
        <v>117</v>
      </c>
    </row>
    <row r="122" spans="1:4" x14ac:dyDescent="0.35">
      <c r="A122" t="e">
        <f>'Lista de productos'!#REF!</f>
        <v>#REF!</v>
      </c>
      <c r="B122">
        <f>'Lista de productos'!B132</f>
        <v>0</v>
      </c>
      <c r="D122">
        <v>118</v>
      </c>
    </row>
    <row r="123" spans="1:4" x14ac:dyDescent="0.35">
      <c r="A123" t="e">
        <f>'Lista de productos'!#REF!</f>
        <v>#REF!</v>
      </c>
      <c r="B123">
        <f>'Lista de productos'!B133</f>
        <v>0</v>
      </c>
      <c r="D123">
        <v>119</v>
      </c>
    </row>
    <row r="124" spans="1:4" x14ac:dyDescent="0.35">
      <c r="A124" t="e">
        <f>'Lista de productos'!#REF!</f>
        <v>#REF!</v>
      </c>
      <c r="B124">
        <f>'Lista de productos'!B134</f>
        <v>0</v>
      </c>
      <c r="D124">
        <v>120</v>
      </c>
    </row>
    <row r="125" spans="1:4" x14ac:dyDescent="0.35">
      <c r="A125" t="e">
        <f>'Lista de productos'!#REF!</f>
        <v>#REF!</v>
      </c>
      <c r="B125">
        <f>'Lista de productos'!B135</f>
        <v>0</v>
      </c>
      <c r="D125">
        <v>121</v>
      </c>
    </row>
    <row r="126" spans="1:4" x14ac:dyDescent="0.35">
      <c r="A126" t="e">
        <f>'Lista de productos'!#REF!</f>
        <v>#REF!</v>
      </c>
      <c r="B126">
        <f>'Lista de productos'!B136</f>
        <v>0</v>
      </c>
      <c r="D126">
        <v>122</v>
      </c>
    </row>
    <row r="127" spans="1:4" x14ac:dyDescent="0.35">
      <c r="A127" t="e">
        <f>'Lista de productos'!#REF!</f>
        <v>#REF!</v>
      </c>
      <c r="B127">
        <f>'Lista de productos'!B137</f>
        <v>0</v>
      </c>
      <c r="D127">
        <v>123</v>
      </c>
    </row>
    <row r="128" spans="1:4" x14ac:dyDescent="0.35">
      <c r="A128" t="e">
        <f>'Lista de productos'!#REF!</f>
        <v>#REF!</v>
      </c>
      <c r="B128">
        <f>'Lista de productos'!B138</f>
        <v>0</v>
      </c>
      <c r="D128">
        <v>124</v>
      </c>
    </row>
    <row r="129" spans="1:4" x14ac:dyDescent="0.35">
      <c r="A129" t="e">
        <f>'Lista de productos'!#REF!</f>
        <v>#REF!</v>
      </c>
      <c r="B129">
        <f>'Lista de productos'!B139</f>
        <v>0</v>
      </c>
      <c r="D129">
        <v>125</v>
      </c>
    </row>
    <row r="130" spans="1:4" x14ac:dyDescent="0.35">
      <c r="A130" t="e">
        <f>'Lista de productos'!#REF!</f>
        <v>#REF!</v>
      </c>
      <c r="B130">
        <f>'Lista de productos'!B140</f>
        <v>0</v>
      </c>
      <c r="D130">
        <v>126</v>
      </c>
    </row>
    <row r="131" spans="1:4" x14ac:dyDescent="0.35">
      <c r="A131" t="e">
        <f>'Lista de productos'!#REF!</f>
        <v>#REF!</v>
      </c>
      <c r="B131">
        <f>'Lista de productos'!B141</f>
        <v>0</v>
      </c>
      <c r="D131">
        <v>127</v>
      </c>
    </row>
    <row r="132" spans="1:4" x14ac:dyDescent="0.35">
      <c r="A132" t="e">
        <f>'Lista de productos'!#REF!</f>
        <v>#REF!</v>
      </c>
      <c r="B132">
        <f>'Lista de productos'!B142</f>
        <v>0</v>
      </c>
      <c r="D132">
        <v>128</v>
      </c>
    </row>
    <row r="133" spans="1:4" x14ac:dyDescent="0.35">
      <c r="A133" t="e">
        <f>'Lista de productos'!#REF!</f>
        <v>#REF!</v>
      </c>
      <c r="B133">
        <f>'Lista de productos'!B143</f>
        <v>0</v>
      </c>
      <c r="D133">
        <v>129</v>
      </c>
    </row>
    <row r="134" spans="1:4" x14ac:dyDescent="0.35">
      <c r="A134" t="e">
        <f>'Lista de productos'!#REF!</f>
        <v>#REF!</v>
      </c>
      <c r="B134">
        <f>'Lista de productos'!B144</f>
        <v>0</v>
      </c>
      <c r="D134">
        <v>130</v>
      </c>
    </row>
    <row r="135" spans="1:4" x14ac:dyDescent="0.35">
      <c r="A135" t="e">
        <f>'Lista de productos'!#REF!</f>
        <v>#REF!</v>
      </c>
      <c r="B135">
        <f>'Lista de productos'!B145</f>
        <v>0</v>
      </c>
      <c r="D135">
        <v>131</v>
      </c>
    </row>
    <row r="136" spans="1:4" x14ac:dyDescent="0.35">
      <c r="A136" t="e">
        <f>'Lista de productos'!#REF!</f>
        <v>#REF!</v>
      </c>
      <c r="B136">
        <f>'Lista de productos'!B146</f>
        <v>0</v>
      </c>
      <c r="D136">
        <v>132</v>
      </c>
    </row>
    <row r="137" spans="1:4" x14ac:dyDescent="0.35">
      <c r="A137" t="e">
        <f>'Lista de productos'!#REF!</f>
        <v>#REF!</v>
      </c>
      <c r="B137">
        <f>'Lista de productos'!B147</f>
        <v>0</v>
      </c>
      <c r="D137">
        <v>133</v>
      </c>
    </row>
    <row r="138" spans="1:4" x14ac:dyDescent="0.35">
      <c r="A138" t="e">
        <f>'Lista de productos'!#REF!</f>
        <v>#REF!</v>
      </c>
      <c r="B138">
        <f>'Lista de productos'!B148</f>
        <v>0</v>
      </c>
      <c r="D138">
        <v>134</v>
      </c>
    </row>
    <row r="139" spans="1:4" x14ac:dyDescent="0.35">
      <c r="A139" t="e">
        <f>'Lista de productos'!#REF!</f>
        <v>#REF!</v>
      </c>
      <c r="B139">
        <f>'Lista de productos'!B149</f>
        <v>0</v>
      </c>
      <c r="D139">
        <v>135</v>
      </c>
    </row>
    <row r="140" spans="1:4" x14ac:dyDescent="0.35">
      <c r="A140" t="e">
        <f>'Lista de productos'!#REF!</f>
        <v>#REF!</v>
      </c>
      <c r="B140">
        <f>'Lista de productos'!B150</f>
        <v>0</v>
      </c>
      <c r="D140">
        <v>136</v>
      </c>
    </row>
    <row r="141" spans="1:4" x14ac:dyDescent="0.35">
      <c r="A141" t="e">
        <f>'Lista de productos'!#REF!</f>
        <v>#REF!</v>
      </c>
      <c r="B141">
        <f>'Lista de productos'!B151</f>
        <v>0</v>
      </c>
      <c r="D141">
        <v>137</v>
      </c>
    </row>
    <row r="142" spans="1:4" x14ac:dyDescent="0.35">
      <c r="A142" t="e">
        <f>'Lista de productos'!#REF!</f>
        <v>#REF!</v>
      </c>
      <c r="B142">
        <f>'Lista de productos'!B152</f>
        <v>0</v>
      </c>
      <c r="D142">
        <v>138</v>
      </c>
    </row>
    <row r="143" spans="1:4" x14ac:dyDescent="0.35">
      <c r="A143" t="e">
        <f>'Lista de productos'!#REF!</f>
        <v>#REF!</v>
      </c>
      <c r="B143">
        <f>'Lista de productos'!B153</f>
        <v>0</v>
      </c>
      <c r="D143">
        <v>139</v>
      </c>
    </row>
    <row r="144" spans="1:4" x14ac:dyDescent="0.35">
      <c r="A144" t="e">
        <f>'Lista de productos'!#REF!</f>
        <v>#REF!</v>
      </c>
      <c r="B144">
        <f>'Lista de productos'!B154</f>
        <v>0</v>
      </c>
      <c r="D144">
        <v>140</v>
      </c>
    </row>
    <row r="145" spans="1:4" x14ac:dyDescent="0.35">
      <c r="A145" t="e">
        <f>'Lista de productos'!#REF!</f>
        <v>#REF!</v>
      </c>
      <c r="B145">
        <f>'Lista de productos'!B155</f>
        <v>0</v>
      </c>
      <c r="D145">
        <v>141</v>
      </c>
    </row>
    <row r="146" spans="1:4" x14ac:dyDescent="0.35">
      <c r="A146" t="e">
        <f>'Lista de productos'!#REF!</f>
        <v>#REF!</v>
      </c>
      <c r="B146">
        <f>'Lista de productos'!B156</f>
        <v>0</v>
      </c>
      <c r="D146">
        <v>142</v>
      </c>
    </row>
    <row r="147" spans="1:4" x14ac:dyDescent="0.35">
      <c r="A147" t="e">
        <f>'Lista de productos'!#REF!</f>
        <v>#REF!</v>
      </c>
      <c r="B147">
        <f>'Lista de productos'!B157</f>
        <v>0</v>
      </c>
      <c r="D147">
        <v>143</v>
      </c>
    </row>
    <row r="148" spans="1:4" x14ac:dyDescent="0.35">
      <c r="A148" t="e">
        <f>'Lista de productos'!#REF!</f>
        <v>#REF!</v>
      </c>
      <c r="B148">
        <f>'Lista de productos'!B158</f>
        <v>0</v>
      </c>
      <c r="D148">
        <v>144</v>
      </c>
    </row>
    <row r="149" spans="1:4" x14ac:dyDescent="0.35">
      <c r="A149" t="e">
        <f>'Lista de productos'!#REF!</f>
        <v>#REF!</v>
      </c>
      <c r="B149">
        <f>'Lista de productos'!B159</f>
        <v>0</v>
      </c>
      <c r="D149">
        <v>145</v>
      </c>
    </row>
    <row r="150" spans="1:4" x14ac:dyDescent="0.35">
      <c r="A150" t="e">
        <f>'Lista de productos'!#REF!</f>
        <v>#REF!</v>
      </c>
      <c r="B150">
        <f>'Lista de productos'!B160</f>
        <v>0</v>
      </c>
      <c r="D150">
        <v>146</v>
      </c>
    </row>
    <row r="151" spans="1:4" x14ac:dyDescent="0.35">
      <c r="A151" t="e">
        <f>'Lista de productos'!#REF!</f>
        <v>#REF!</v>
      </c>
      <c r="B151">
        <f>'Lista de productos'!B161</f>
        <v>0</v>
      </c>
      <c r="D151">
        <v>147</v>
      </c>
    </row>
    <row r="152" spans="1:4" x14ac:dyDescent="0.35">
      <c r="A152" t="e">
        <f>'Lista de productos'!#REF!</f>
        <v>#REF!</v>
      </c>
      <c r="B152">
        <f>'Lista de productos'!B162</f>
        <v>0</v>
      </c>
      <c r="D152">
        <v>148</v>
      </c>
    </row>
    <row r="153" spans="1:4" x14ac:dyDescent="0.35">
      <c r="A153" t="e">
        <f>'Lista de productos'!#REF!</f>
        <v>#REF!</v>
      </c>
      <c r="B153">
        <f>'Lista de productos'!B163</f>
        <v>0</v>
      </c>
      <c r="D153">
        <v>149</v>
      </c>
    </row>
    <row r="154" spans="1:4" x14ac:dyDescent="0.35">
      <c r="A154" t="e">
        <f>'Lista de productos'!#REF!</f>
        <v>#REF!</v>
      </c>
      <c r="B154">
        <f>'Lista de productos'!B164</f>
        <v>0</v>
      </c>
      <c r="D154">
        <v>150</v>
      </c>
    </row>
    <row r="155" spans="1:4" x14ac:dyDescent="0.35">
      <c r="A155" t="e">
        <f>'Lista de productos'!#REF!</f>
        <v>#REF!</v>
      </c>
      <c r="B155">
        <f>'Lista de productos'!B165</f>
        <v>0</v>
      </c>
      <c r="D155">
        <v>151</v>
      </c>
    </row>
    <row r="156" spans="1:4" x14ac:dyDescent="0.35">
      <c r="A156" t="e">
        <f>'Lista de productos'!#REF!</f>
        <v>#REF!</v>
      </c>
      <c r="B156">
        <f>'Lista de productos'!B166</f>
        <v>0</v>
      </c>
      <c r="D156">
        <v>152</v>
      </c>
    </row>
    <row r="157" spans="1:4" x14ac:dyDescent="0.35">
      <c r="A157" t="e">
        <f>'Lista de productos'!#REF!</f>
        <v>#REF!</v>
      </c>
      <c r="B157">
        <f>'Lista de productos'!B167</f>
        <v>0</v>
      </c>
      <c r="D157">
        <v>153</v>
      </c>
    </row>
    <row r="158" spans="1:4" x14ac:dyDescent="0.35">
      <c r="A158" t="e">
        <f>'Lista de productos'!#REF!</f>
        <v>#REF!</v>
      </c>
      <c r="B158">
        <f>'Lista de productos'!B168</f>
        <v>0</v>
      </c>
      <c r="D158">
        <v>154</v>
      </c>
    </row>
    <row r="159" spans="1:4" x14ac:dyDescent="0.35">
      <c r="A159" t="e">
        <f>'Lista de productos'!#REF!</f>
        <v>#REF!</v>
      </c>
      <c r="B159">
        <f>'Lista de productos'!B169</f>
        <v>0</v>
      </c>
      <c r="D159">
        <v>155</v>
      </c>
    </row>
    <row r="160" spans="1:4" x14ac:dyDescent="0.35">
      <c r="A160" t="e">
        <f>'Lista de productos'!#REF!</f>
        <v>#REF!</v>
      </c>
      <c r="B160">
        <f>'Lista de productos'!B170</f>
        <v>0</v>
      </c>
      <c r="D160">
        <v>156</v>
      </c>
    </row>
    <row r="161" spans="1:4" x14ac:dyDescent="0.35">
      <c r="A161" t="e">
        <f>'Lista de productos'!#REF!</f>
        <v>#REF!</v>
      </c>
      <c r="B161">
        <f>'Lista de productos'!B171</f>
        <v>0</v>
      </c>
      <c r="D161">
        <v>157</v>
      </c>
    </row>
    <row r="162" spans="1:4" x14ac:dyDescent="0.35">
      <c r="A162" t="e">
        <f>'Lista de productos'!#REF!</f>
        <v>#REF!</v>
      </c>
      <c r="B162">
        <f>'Lista de productos'!B172</f>
        <v>0</v>
      </c>
      <c r="D162">
        <v>158</v>
      </c>
    </row>
    <row r="163" spans="1:4" x14ac:dyDescent="0.35">
      <c r="A163" t="e">
        <f>'Lista de productos'!#REF!</f>
        <v>#REF!</v>
      </c>
      <c r="B163">
        <f>'Lista de productos'!B173</f>
        <v>0</v>
      </c>
      <c r="D163">
        <v>159</v>
      </c>
    </row>
    <row r="164" spans="1:4" x14ac:dyDescent="0.35">
      <c r="A164" t="e">
        <f>'Lista de productos'!#REF!</f>
        <v>#REF!</v>
      </c>
      <c r="B164">
        <f>'Lista de productos'!B174</f>
        <v>0</v>
      </c>
      <c r="D164">
        <v>160</v>
      </c>
    </row>
    <row r="165" spans="1:4" x14ac:dyDescent="0.35">
      <c r="A165" t="e">
        <f>'Lista de productos'!#REF!</f>
        <v>#REF!</v>
      </c>
      <c r="B165">
        <f>'Lista de productos'!B175</f>
        <v>0</v>
      </c>
      <c r="D165">
        <v>161</v>
      </c>
    </row>
    <row r="166" spans="1:4" x14ac:dyDescent="0.35">
      <c r="A166" t="e">
        <f>'Lista de productos'!#REF!</f>
        <v>#REF!</v>
      </c>
      <c r="B166">
        <f>'Lista de productos'!B176</f>
        <v>0</v>
      </c>
      <c r="D166">
        <v>162</v>
      </c>
    </row>
    <row r="167" spans="1:4" x14ac:dyDescent="0.35">
      <c r="A167" t="e">
        <f>'Lista de productos'!#REF!</f>
        <v>#REF!</v>
      </c>
      <c r="B167">
        <f>'Lista de productos'!B177</f>
        <v>0</v>
      </c>
      <c r="D167">
        <v>163</v>
      </c>
    </row>
    <row r="168" spans="1:4" x14ac:dyDescent="0.35">
      <c r="A168" t="e">
        <f>'Lista de productos'!#REF!</f>
        <v>#REF!</v>
      </c>
      <c r="B168">
        <f>'Lista de productos'!B178</f>
        <v>0</v>
      </c>
      <c r="D168">
        <v>164</v>
      </c>
    </row>
    <row r="169" spans="1:4" x14ac:dyDescent="0.35">
      <c r="A169" t="e">
        <f>'Lista de productos'!#REF!</f>
        <v>#REF!</v>
      </c>
      <c r="B169">
        <f>'Lista de productos'!B179</f>
        <v>0</v>
      </c>
      <c r="D169">
        <v>165</v>
      </c>
    </row>
    <row r="170" spans="1:4" x14ac:dyDescent="0.35">
      <c r="A170" t="e">
        <f>'Lista de productos'!#REF!</f>
        <v>#REF!</v>
      </c>
      <c r="B170">
        <f>'Lista de productos'!B180</f>
        <v>0</v>
      </c>
      <c r="D170">
        <v>166</v>
      </c>
    </row>
    <row r="171" spans="1:4" x14ac:dyDescent="0.35">
      <c r="A171" t="e">
        <f>'Lista de productos'!#REF!</f>
        <v>#REF!</v>
      </c>
      <c r="B171">
        <f>'Lista de productos'!B181</f>
        <v>0</v>
      </c>
      <c r="D171">
        <v>167</v>
      </c>
    </row>
    <row r="172" spans="1:4" x14ac:dyDescent="0.35">
      <c r="A172" t="e">
        <f>'Lista de productos'!#REF!</f>
        <v>#REF!</v>
      </c>
      <c r="B172">
        <f>'Lista de productos'!B182</f>
        <v>0</v>
      </c>
      <c r="D172">
        <v>168</v>
      </c>
    </row>
    <row r="173" spans="1:4" x14ac:dyDescent="0.35">
      <c r="A173" t="e">
        <f>'Lista de productos'!#REF!</f>
        <v>#REF!</v>
      </c>
      <c r="B173">
        <f>'Lista de productos'!B183</f>
        <v>0</v>
      </c>
      <c r="D173">
        <v>169</v>
      </c>
    </row>
    <row r="174" spans="1:4" x14ac:dyDescent="0.35">
      <c r="A174" t="e">
        <f>'Lista de productos'!#REF!</f>
        <v>#REF!</v>
      </c>
      <c r="B174">
        <f>'Lista de productos'!B184</f>
        <v>0</v>
      </c>
      <c r="D174">
        <v>170</v>
      </c>
    </row>
    <row r="175" spans="1:4" x14ac:dyDescent="0.35">
      <c r="A175" t="e">
        <f>'Lista de productos'!#REF!</f>
        <v>#REF!</v>
      </c>
      <c r="B175">
        <f>'Lista de productos'!B185</f>
        <v>0</v>
      </c>
      <c r="D175">
        <v>171</v>
      </c>
    </row>
    <row r="176" spans="1:4" x14ac:dyDescent="0.35">
      <c r="A176" t="e">
        <f>'Lista de productos'!#REF!</f>
        <v>#REF!</v>
      </c>
      <c r="B176">
        <f>'Lista de productos'!B186</f>
        <v>0</v>
      </c>
      <c r="D176">
        <v>172</v>
      </c>
    </row>
    <row r="177" spans="1:4" x14ac:dyDescent="0.35">
      <c r="A177" t="e">
        <f>'Lista de productos'!#REF!</f>
        <v>#REF!</v>
      </c>
      <c r="B177">
        <f>'Lista de productos'!B187</f>
        <v>0</v>
      </c>
      <c r="D177">
        <v>173</v>
      </c>
    </row>
    <row r="178" spans="1:4" x14ac:dyDescent="0.35">
      <c r="A178" t="e">
        <f>'Lista de productos'!#REF!</f>
        <v>#REF!</v>
      </c>
      <c r="B178">
        <f>'Lista de productos'!B188</f>
        <v>0</v>
      </c>
      <c r="D178">
        <v>174</v>
      </c>
    </row>
    <row r="179" spans="1:4" x14ac:dyDescent="0.35">
      <c r="A179" t="e">
        <f>'Lista de productos'!#REF!</f>
        <v>#REF!</v>
      </c>
      <c r="B179">
        <f>'Lista de productos'!B189</f>
        <v>0</v>
      </c>
      <c r="D179">
        <v>175</v>
      </c>
    </row>
    <row r="180" spans="1:4" x14ac:dyDescent="0.35">
      <c r="A180" t="e">
        <f>'Lista de productos'!#REF!</f>
        <v>#REF!</v>
      </c>
      <c r="B180">
        <f>'Lista de productos'!B190</f>
        <v>0</v>
      </c>
      <c r="D180">
        <v>176</v>
      </c>
    </row>
    <row r="181" spans="1:4" x14ac:dyDescent="0.35">
      <c r="A181" t="e">
        <f>'Lista de productos'!#REF!</f>
        <v>#REF!</v>
      </c>
      <c r="B181">
        <f>'Lista de productos'!B191</f>
        <v>0</v>
      </c>
      <c r="D181">
        <v>177</v>
      </c>
    </row>
    <row r="182" spans="1:4" x14ac:dyDescent="0.35">
      <c r="A182" t="e">
        <f>'Lista de productos'!#REF!</f>
        <v>#REF!</v>
      </c>
      <c r="B182">
        <f>'Lista de productos'!B192</f>
        <v>0</v>
      </c>
      <c r="D182">
        <v>178</v>
      </c>
    </row>
    <row r="183" spans="1:4" x14ac:dyDescent="0.35">
      <c r="A183" t="e">
        <f>'Lista de productos'!#REF!</f>
        <v>#REF!</v>
      </c>
      <c r="B183">
        <f>'Lista de productos'!B193</f>
        <v>0</v>
      </c>
      <c r="D183">
        <v>179</v>
      </c>
    </row>
    <row r="184" spans="1:4" x14ac:dyDescent="0.35">
      <c r="A184" t="e">
        <f>'Lista de productos'!#REF!</f>
        <v>#REF!</v>
      </c>
      <c r="B184">
        <f>'Lista de productos'!B194</f>
        <v>0</v>
      </c>
      <c r="D184">
        <v>180</v>
      </c>
    </row>
    <row r="185" spans="1:4" x14ac:dyDescent="0.35">
      <c r="A185" t="e">
        <f>'Lista de productos'!#REF!</f>
        <v>#REF!</v>
      </c>
      <c r="B185">
        <f>'Lista de productos'!B195</f>
        <v>0</v>
      </c>
      <c r="D185">
        <v>181</v>
      </c>
    </row>
    <row r="186" spans="1:4" x14ac:dyDescent="0.35">
      <c r="A186" t="e">
        <f>'Lista de productos'!#REF!</f>
        <v>#REF!</v>
      </c>
      <c r="B186">
        <f>'Lista de productos'!B196</f>
        <v>0</v>
      </c>
      <c r="D186">
        <v>182</v>
      </c>
    </row>
    <row r="187" spans="1:4" x14ac:dyDescent="0.35">
      <c r="A187" t="e">
        <f>'Lista de productos'!#REF!</f>
        <v>#REF!</v>
      </c>
      <c r="B187">
        <f>'Lista de productos'!B197</f>
        <v>0</v>
      </c>
      <c r="D187">
        <v>183</v>
      </c>
    </row>
    <row r="188" spans="1:4" x14ac:dyDescent="0.35">
      <c r="A188" t="e">
        <f>'Lista de productos'!#REF!</f>
        <v>#REF!</v>
      </c>
      <c r="B188">
        <f>'Lista de productos'!B198</f>
        <v>0</v>
      </c>
      <c r="D188">
        <v>184</v>
      </c>
    </row>
    <row r="189" spans="1:4" x14ac:dyDescent="0.35">
      <c r="A189" t="e">
        <f>'Lista de productos'!#REF!</f>
        <v>#REF!</v>
      </c>
      <c r="B189">
        <f>'Lista de productos'!B199</f>
        <v>0</v>
      </c>
      <c r="D189">
        <v>185</v>
      </c>
    </row>
    <row r="190" spans="1:4" x14ac:dyDescent="0.35">
      <c r="A190" t="e">
        <f>'Lista de productos'!#REF!</f>
        <v>#REF!</v>
      </c>
      <c r="B190">
        <f>'Lista de productos'!B200</f>
        <v>0</v>
      </c>
      <c r="D190">
        <v>186</v>
      </c>
    </row>
    <row r="191" spans="1:4" x14ac:dyDescent="0.35">
      <c r="A191" t="e">
        <f>'Lista de productos'!#REF!</f>
        <v>#REF!</v>
      </c>
      <c r="B191">
        <f>'Lista de productos'!B201</f>
        <v>0</v>
      </c>
      <c r="D191">
        <v>187</v>
      </c>
    </row>
    <row r="192" spans="1:4" x14ac:dyDescent="0.35">
      <c r="A192" t="e">
        <f>'Lista de productos'!#REF!</f>
        <v>#REF!</v>
      </c>
      <c r="B192">
        <f>'Lista de productos'!B202</f>
        <v>0</v>
      </c>
      <c r="D192">
        <v>188</v>
      </c>
    </row>
    <row r="193" spans="1:4" x14ac:dyDescent="0.35">
      <c r="A193" t="e">
        <f>'Lista de productos'!#REF!</f>
        <v>#REF!</v>
      </c>
      <c r="B193">
        <f>'Lista de productos'!B203</f>
        <v>0</v>
      </c>
      <c r="D193">
        <v>189</v>
      </c>
    </row>
    <row r="194" spans="1:4" x14ac:dyDescent="0.35">
      <c r="A194" t="e">
        <f>'Lista de productos'!#REF!</f>
        <v>#REF!</v>
      </c>
      <c r="B194">
        <f>'Lista de productos'!B204</f>
        <v>0</v>
      </c>
      <c r="D194">
        <v>190</v>
      </c>
    </row>
    <row r="195" spans="1:4" x14ac:dyDescent="0.35">
      <c r="A195" t="e">
        <f>'Lista de productos'!#REF!</f>
        <v>#REF!</v>
      </c>
      <c r="B195">
        <f>'Lista de productos'!B205</f>
        <v>0</v>
      </c>
      <c r="D195">
        <v>191</v>
      </c>
    </row>
    <row r="196" spans="1:4" x14ac:dyDescent="0.35">
      <c r="A196" t="e">
        <f>'Lista de productos'!#REF!</f>
        <v>#REF!</v>
      </c>
      <c r="B196">
        <f>'Lista de productos'!B206</f>
        <v>0</v>
      </c>
      <c r="D196">
        <v>192</v>
      </c>
    </row>
    <row r="197" spans="1:4" x14ac:dyDescent="0.35">
      <c r="A197" t="e">
        <f>'Lista de productos'!#REF!</f>
        <v>#REF!</v>
      </c>
      <c r="B197">
        <f>'Lista de productos'!B207</f>
        <v>0</v>
      </c>
      <c r="D197">
        <v>193</v>
      </c>
    </row>
    <row r="198" spans="1:4" x14ac:dyDescent="0.35">
      <c r="A198" t="e">
        <f>'Lista de productos'!#REF!</f>
        <v>#REF!</v>
      </c>
      <c r="B198">
        <f>'Lista de productos'!B208</f>
        <v>0</v>
      </c>
      <c r="D198">
        <v>194</v>
      </c>
    </row>
    <row r="199" spans="1:4" x14ac:dyDescent="0.35">
      <c r="A199" t="e">
        <f>'Lista de productos'!#REF!</f>
        <v>#REF!</v>
      </c>
      <c r="B199">
        <f>'Lista de productos'!B209</f>
        <v>0</v>
      </c>
      <c r="D199">
        <v>195</v>
      </c>
    </row>
    <row r="200" spans="1:4" x14ac:dyDescent="0.35">
      <c r="A200" t="e">
        <f>'Lista de productos'!#REF!</f>
        <v>#REF!</v>
      </c>
      <c r="B200">
        <f>'Lista de productos'!B210</f>
        <v>0</v>
      </c>
      <c r="D200">
        <v>196</v>
      </c>
    </row>
    <row r="201" spans="1:4" x14ac:dyDescent="0.35">
      <c r="A201" t="e">
        <f>'Lista de productos'!#REF!</f>
        <v>#REF!</v>
      </c>
      <c r="B201">
        <f>'Lista de productos'!B211</f>
        <v>0</v>
      </c>
      <c r="D201">
        <v>197</v>
      </c>
    </row>
    <row r="202" spans="1:4" x14ac:dyDescent="0.35">
      <c r="A202" t="e">
        <f>'Lista de productos'!#REF!</f>
        <v>#REF!</v>
      </c>
      <c r="B202">
        <f>'Lista de productos'!B212</f>
        <v>0</v>
      </c>
      <c r="D202">
        <v>198</v>
      </c>
    </row>
    <row r="203" spans="1:4" x14ac:dyDescent="0.35">
      <c r="A203" t="e">
        <f>'Lista de productos'!#REF!</f>
        <v>#REF!</v>
      </c>
      <c r="B203">
        <f>'Lista de productos'!B213</f>
        <v>0</v>
      </c>
      <c r="D203">
        <v>199</v>
      </c>
    </row>
    <row r="204" spans="1:4" x14ac:dyDescent="0.35">
      <c r="A204" t="e">
        <f>'Lista de productos'!#REF!</f>
        <v>#REF!</v>
      </c>
      <c r="B204">
        <f>'Lista de productos'!B214</f>
        <v>0</v>
      </c>
      <c r="D204">
        <v>200</v>
      </c>
    </row>
    <row r="205" spans="1:4" x14ac:dyDescent="0.35">
      <c r="A205" t="e">
        <f>'Lista de productos'!#REF!</f>
        <v>#REF!</v>
      </c>
      <c r="B205">
        <f>'Lista de productos'!B215</f>
        <v>0</v>
      </c>
      <c r="D205">
        <v>201</v>
      </c>
    </row>
    <row r="206" spans="1:4" x14ac:dyDescent="0.35">
      <c r="A206" t="e">
        <f>'Lista de productos'!#REF!</f>
        <v>#REF!</v>
      </c>
      <c r="B206">
        <f>'Lista de productos'!B216</f>
        <v>0</v>
      </c>
      <c r="D206">
        <v>202</v>
      </c>
    </row>
    <row r="207" spans="1:4" x14ac:dyDescent="0.35">
      <c r="A207" t="e">
        <f>'Lista de productos'!#REF!</f>
        <v>#REF!</v>
      </c>
      <c r="B207">
        <f>'Lista de productos'!B217</f>
        <v>0</v>
      </c>
      <c r="D207">
        <v>203</v>
      </c>
    </row>
    <row r="208" spans="1:4" x14ac:dyDescent="0.35">
      <c r="A208" t="e">
        <f>'Lista de productos'!#REF!</f>
        <v>#REF!</v>
      </c>
      <c r="B208">
        <f>'Lista de productos'!B218</f>
        <v>0</v>
      </c>
      <c r="D208">
        <v>204</v>
      </c>
    </row>
    <row r="209" spans="1:4" x14ac:dyDescent="0.35">
      <c r="A209" t="e">
        <f>'Lista de productos'!#REF!</f>
        <v>#REF!</v>
      </c>
      <c r="B209">
        <f>'Lista de productos'!B219</f>
        <v>0</v>
      </c>
      <c r="D209">
        <v>205</v>
      </c>
    </row>
    <row r="210" spans="1:4" x14ac:dyDescent="0.35">
      <c r="A210" t="e">
        <f>'Lista de productos'!#REF!</f>
        <v>#REF!</v>
      </c>
      <c r="B210">
        <f>'Lista de productos'!B220</f>
        <v>0</v>
      </c>
      <c r="D210">
        <v>206</v>
      </c>
    </row>
    <row r="211" spans="1:4" x14ac:dyDescent="0.35">
      <c r="A211" t="e">
        <f>'Lista de productos'!#REF!</f>
        <v>#REF!</v>
      </c>
      <c r="B211">
        <f>'Lista de productos'!B221</f>
        <v>0</v>
      </c>
      <c r="D211">
        <v>207</v>
      </c>
    </row>
    <row r="212" spans="1:4" x14ac:dyDescent="0.35">
      <c r="A212" t="e">
        <f>'Lista de productos'!#REF!</f>
        <v>#REF!</v>
      </c>
      <c r="B212">
        <f>'Lista de productos'!B222</f>
        <v>0</v>
      </c>
      <c r="D212">
        <v>208</v>
      </c>
    </row>
    <row r="213" spans="1:4" x14ac:dyDescent="0.35">
      <c r="A213" t="e">
        <f>'Lista de productos'!#REF!</f>
        <v>#REF!</v>
      </c>
      <c r="B213">
        <f>'Lista de productos'!B223</f>
        <v>0</v>
      </c>
      <c r="D213">
        <v>209</v>
      </c>
    </row>
    <row r="214" spans="1:4" x14ac:dyDescent="0.35">
      <c r="A214" t="e">
        <f>'Lista de productos'!#REF!</f>
        <v>#REF!</v>
      </c>
      <c r="B214">
        <f>'Lista de productos'!B224</f>
        <v>0</v>
      </c>
      <c r="D214">
        <v>210</v>
      </c>
    </row>
    <row r="215" spans="1:4" x14ac:dyDescent="0.35">
      <c r="A215" t="e">
        <f>'Lista de productos'!#REF!</f>
        <v>#REF!</v>
      </c>
      <c r="B215">
        <f>'Lista de productos'!B225</f>
        <v>0</v>
      </c>
      <c r="D215">
        <v>211</v>
      </c>
    </row>
    <row r="216" spans="1:4" x14ac:dyDescent="0.35">
      <c r="A216" t="e">
        <f>'Lista de productos'!#REF!</f>
        <v>#REF!</v>
      </c>
      <c r="B216">
        <f>'Lista de productos'!B226</f>
        <v>0</v>
      </c>
      <c r="D216">
        <v>212</v>
      </c>
    </row>
    <row r="217" spans="1:4" x14ac:dyDescent="0.35">
      <c r="A217" t="e">
        <f>'Lista de productos'!#REF!</f>
        <v>#REF!</v>
      </c>
      <c r="B217">
        <f>'Lista de productos'!B227</f>
        <v>0</v>
      </c>
      <c r="D217">
        <v>213</v>
      </c>
    </row>
    <row r="218" spans="1:4" x14ac:dyDescent="0.35">
      <c r="A218" t="e">
        <f>'Lista de productos'!#REF!</f>
        <v>#REF!</v>
      </c>
      <c r="B218">
        <f>'Lista de productos'!B228</f>
        <v>0</v>
      </c>
      <c r="D218">
        <v>214</v>
      </c>
    </row>
    <row r="219" spans="1:4" x14ac:dyDescent="0.35">
      <c r="A219" t="e">
        <f>'Lista de productos'!#REF!</f>
        <v>#REF!</v>
      </c>
      <c r="B219">
        <f>'Lista de productos'!B229</f>
        <v>0</v>
      </c>
      <c r="D219">
        <v>215</v>
      </c>
    </row>
    <row r="220" spans="1:4" x14ac:dyDescent="0.35">
      <c r="A220" t="e">
        <f>'Lista de productos'!#REF!</f>
        <v>#REF!</v>
      </c>
      <c r="B220">
        <f>'Lista de productos'!B230</f>
        <v>0</v>
      </c>
      <c r="D220">
        <v>216</v>
      </c>
    </row>
    <row r="221" spans="1:4" x14ac:dyDescent="0.35">
      <c r="A221" t="e">
        <f>'Lista de productos'!#REF!</f>
        <v>#REF!</v>
      </c>
      <c r="B221">
        <f>'Lista de productos'!B231</f>
        <v>0</v>
      </c>
      <c r="D221">
        <v>217</v>
      </c>
    </row>
    <row r="222" spans="1:4" x14ac:dyDescent="0.35">
      <c r="A222" t="e">
        <f>'Lista de productos'!#REF!</f>
        <v>#REF!</v>
      </c>
      <c r="B222">
        <f>'Lista de productos'!B232</f>
        <v>0</v>
      </c>
      <c r="D222">
        <v>218</v>
      </c>
    </row>
    <row r="223" spans="1:4" x14ac:dyDescent="0.35">
      <c r="A223" t="e">
        <f>'Lista de productos'!#REF!</f>
        <v>#REF!</v>
      </c>
      <c r="B223">
        <f>'Lista de productos'!B233</f>
        <v>0</v>
      </c>
      <c r="D223">
        <v>219</v>
      </c>
    </row>
    <row r="224" spans="1:4" x14ac:dyDescent="0.35">
      <c r="A224" t="e">
        <f>'Lista de productos'!#REF!</f>
        <v>#REF!</v>
      </c>
      <c r="B224">
        <f>'Lista de productos'!B234</f>
        <v>0</v>
      </c>
      <c r="D224">
        <v>220</v>
      </c>
    </row>
    <row r="225" spans="1:4" x14ac:dyDescent="0.35">
      <c r="A225" t="e">
        <f>'Lista de productos'!#REF!</f>
        <v>#REF!</v>
      </c>
      <c r="B225">
        <f>'Lista de productos'!B235</f>
        <v>0</v>
      </c>
      <c r="D225">
        <v>221</v>
      </c>
    </row>
    <row r="226" spans="1:4" x14ac:dyDescent="0.35">
      <c r="A226" t="e">
        <f>'Lista de productos'!#REF!</f>
        <v>#REF!</v>
      </c>
      <c r="B226">
        <f>'Lista de productos'!B236</f>
        <v>0</v>
      </c>
      <c r="D226">
        <v>222</v>
      </c>
    </row>
    <row r="227" spans="1:4" x14ac:dyDescent="0.35">
      <c r="A227" t="e">
        <f>'Lista de productos'!#REF!</f>
        <v>#REF!</v>
      </c>
      <c r="B227">
        <f>'Lista de productos'!B237</f>
        <v>0</v>
      </c>
      <c r="D227">
        <v>223</v>
      </c>
    </row>
    <row r="228" spans="1:4" x14ac:dyDescent="0.35">
      <c r="A228" t="e">
        <f>'Lista de productos'!#REF!</f>
        <v>#REF!</v>
      </c>
      <c r="B228">
        <f>'Lista de productos'!B238</f>
        <v>0</v>
      </c>
      <c r="D228">
        <v>224</v>
      </c>
    </row>
    <row r="229" spans="1:4" x14ac:dyDescent="0.35">
      <c r="A229" t="e">
        <f>'Lista de productos'!#REF!</f>
        <v>#REF!</v>
      </c>
      <c r="B229">
        <f>'Lista de productos'!B239</f>
        <v>0</v>
      </c>
      <c r="D229">
        <v>225</v>
      </c>
    </row>
    <row r="230" spans="1:4" x14ac:dyDescent="0.35">
      <c r="A230" t="e">
        <f>'Lista de productos'!#REF!</f>
        <v>#REF!</v>
      </c>
      <c r="B230">
        <f>'Lista de productos'!B240</f>
        <v>0</v>
      </c>
      <c r="D230">
        <v>226</v>
      </c>
    </row>
    <row r="231" spans="1:4" x14ac:dyDescent="0.35">
      <c r="A231" t="e">
        <f>'Lista de productos'!#REF!</f>
        <v>#REF!</v>
      </c>
      <c r="B231">
        <f>'Lista de productos'!B241</f>
        <v>0</v>
      </c>
      <c r="D231">
        <v>227</v>
      </c>
    </row>
    <row r="232" spans="1:4" x14ac:dyDescent="0.35">
      <c r="A232" t="e">
        <f>'Lista de productos'!#REF!</f>
        <v>#REF!</v>
      </c>
      <c r="B232">
        <f>'Lista de productos'!B242</f>
        <v>0</v>
      </c>
      <c r="D232">
        <v>228</v>
      </c>
    </row>
    <row r="233" spans="1:4" x14ac:dyDescent="0.35">
      <c r="A233" t="e">
        <f>'Lista de productos'!#REF!</f>
        <v>#REF!</v>
      </c>
      <c r="B233">
        <f>'Lista de productos'!B243</f>
        <v>0</v>
      </c>
      <c r="D233">
        <v>229</v>
      </c>
    </row>
    <row r="234" spans="1:4" x14ac:dyDescent="0.35">
      <c r="A234" t="e">
        <f>'Lista de productos'!#REF!</f>
        <v>#REF!</v>
      </c>
      <c r="B234">
        <f>'Lista de productos'!B244</f>
        <v>0</v>
      </c>
      <c r="D234">
        <v>230</v>
      </c>
    </row>
    <row r="235" spans="1:4" x14ac:dyDescent="0.35">
      <c r="A235" t="e">
        <f>'Lista de productos'!#REF!</f>
        <v>#REF!</v>
      </c>
      <c r="B235">
        <f>'Lista de productos'!B245</f>
        <v>0</v>
      </c>
      <c r="D235">
        <v>231</v>
      </c>
    </row>
    <row r="236" spans="1:4" x14ac:dyDescent="0.35">
      <c r="A236" t="e">
        <f>'Lista de productos'!#REF!</f>
        <v>#REF!</v>
      </c>
      <c r="B236">
        <f>'Lista de productos'!B246</f>
        <v>0</v>
      </c>
      <c r="D236">
        <v>232</v>
      </c>
    </row>
    <row r="237" spans="1:4" x14ac:dyDescent="0.35">
      <c r="A237" t="e">
        <f>'Lista de productos'!#REF!</f>
        <v>#REF!</v>
      </c>
      <c r="B237">
        <f>'Lista de productos'!B247</f>
        <v>0</v>
      </c>
      <c r="D237">
        <v>233</v>
      </c>
    </row>
    <row r="238" spans="1:4" x14ac:dyDescent="0.35">
      <c r="A238" t="e">
        <f>'Lista de productos'!#REF!</f>
        <v>#REF!</v>
      </c>
      <c r="B238">
        <f>'Lista de productos'!B248</f>
        <v>0</v>
      </c>
      <c r="D238">
        <v>234</v>
      </c>
    </row>
    <row r="239" spans="1:4" x14ac:dyDescent="0.35">
      <c r="A239" t="e">
        <f>'Lista de productos'!#REF!</f>
        <v>#REF!</v>
      </c>
      <c r="B239">
        <f>'Lista de productos'!B249</f>
        <v>0</v>
      </c>
      <c r="D239">
        <v>235</v>
      </c>
    </row>
    <row r="240" spans="1:4" x14ac:dyDescent="0.35">
      <c r="A240" t="e">
        <f>'Lista de productos'!#REF!</f>
        <v>#REF!</v>
      </c>
      <c r="B240">
        <f>'Lista de productos'!B250</f>
        <v>0</v>
      </c>
      <c r="D240">
        <v>236</v>
      </c>
    </row>
    <row r="241" spans="1:4" x14ac:dyDescent="0.35">
      <c r="A241" t="e">
        <f>'Lista de productos'!#REF!</f>
        <v>#REF!</v>
      </c>
      <c r="B241">
        <f>'Lista de productos'!B251</f>
        <v>0</v>
      </c>
      <c r="D241">
        <v>237</v>
      </c>
    </row>
    <row r="242" spans="1:4" x14ac:dyDescent="0.35">
      <c r="A242" t="e">
        <f>'Lista de productos'!#REF!</f>
        <v>#REF!</v>
      </c>
      <c r="B242">
        <f>'Lista de productos'!B252</f>
        <v>0</v>
      </c>
      <c r="D242">
        <v>238</v>
      </c>
    </row>
    <row r="243" spans="1:4" x14ac:dyDescent="0.35">
      <c r="A243" t="e">
        <f>'Lista de productos'!#REF!</f>
        <v>#REF!</v>
      </c>
      <c r="B243">
        <f>'Lista de productos'!B253</f>
        <v>0</v>
      </c>
      <c r="D243">
        <v>239</v>
      </c>
    </row>
    <row r="244" spans="1:4" x14ac:dyDescent="0.35">
      <c r="A244" t="e">
        <f>'Lista de productos'!#REF!</f>
        <v>#REF!</v>
      </c>
      <c r="B244">
        <f>'Lista de productos'!B254</f>
        <v>0</v>
      </c>
      <c r="D244">
        <v>240</v>
      </c>
    </row>
    <row r="245" spans="1:4" x14ac:dyDescent="0.35">
      <c r="A245" t="e">
        <f>'Lista de productos'!#REF!</f>
        <v>#REF!</v>
      </c>
      <c r="B245">
        <f>'Lista de productos'!B255</f>
        <v>0</v>
      </c>
      <c r="D245">
        <v>241</v>
      </c>
    </row>
    <row r="246" spans="1:4" x14ac:dyDescent="0.35">
      <c r="A246" t="e">
        <f>'Lista de productos'!#REF!</f>
        <v>#REF!</v>
      </c>
      <c r="B246">
        <f>'Lista de productos'!B256</f>
        <v>0</v>
      </c>
      <c r="D246">
        <v>242</v>
      </c>
    </row>
    <row r="247" spans="1:4" x14ac:dyDescent="0.35">
      <c r="A247" t="e">
        <f>'Lista de productos'!#REF!</f>
        <v>#REF!</v>
      </c>
      <c r="B247">
        <f>'Lista de productos'!B257</f>
        <v>0</v>
      </c>
      <c r="D247">
        <v>243</v>
      </c>
    </row>
    <row r="248" spans="1:4" x14ac:dyDescent="0.35">
      <c r="A248" t="e">
        <f>'Lista de productos'!#REF!</f>
        <v>#REF!</v>
      </c>
      <c r="B248">
        <f>'Lista de productos'!B258</f>
        <v>0</v>
      </c>
      <c r="D248">
        <v>244</v>
      </c>
    </row>
    <row r="249" spans="1:4" x14ac:dyDescent="0.35">
      <c r="A249" t="e">
        <f>'Lista de productos'!#REF!</f>
        <v>#REF!</v>
      </c>
      <c r="B249">
        <f>'Lista de productos'!B259</f>
        <v>0</v>
      </c>
      <c r="D249">
        <v>245</v>
      </c>
    </row>
    <row r="250" spans="1:4" x14ac:dyDescent="0.35">
      <c r="A250" t="e">
        <f>'Lista de productos'!#REF!</f>
        <v>#REF!</v>
      </c>
      <c r="B250">
        <f>'Lista de productos'!B260</f>
        <v>0</v>
      </c>
      <c r="D250">
        <v>246</v>
      </c>
    </row>
    <row r="251" spans="1:4" x14ac:dyDescent="0.35">
      <c r="A251" t="e">
        <f>'Lista de productos'!#REF!</f>
        <v>#REF!</v>
      </c>
      <c r="B251">
        <f>'Lista de productos'!B261</f>
        <v>0</v>
      </c>
      <c r="D251">
        <v>247</v>
      </c>
    </row>
    <row r="252" spans="1:4" x14ac:dyDescent="0.35">
      <c r="A252" t="e">
        <f>'Lista de productos'!#REF!</f>
        <v>#REF!</v>
      </c>
      <c r="B252">
        <f>'Lista de productos'!B262</f>
        <v>0</v>
      </c>
      <c r="D252">
        <v>248</v>
      </c>
    </row>
    <row r="253" spans="1:4" x14ac:dyDescent="0.35">
      <c r="A253" t="e">
        <f>'Lista de productos'!#REF!</f>
        <v>#REF!</v>
      </c>
      <c r="B253">
        <f>'Lista de productos'!B263</f>
        <v>0</v>
      </c>
      <c r="D253">
        <v>249</v>
      </c>
    </row>
    <row r="254" spans="1:4" x14ac:dyDescent="0.35">
      <c r="A254" t="e">
        <f>'Lista de productos'!#REF!</f>
        <v>#REF!</v>
      </c>
      <c r="B254">
        <f>'Lista de productos'!B264</f>
        <v>0</v>
      </c>
      <c r="D254">
        <v>250</v>
      </c>
    </row>
    <row r="255" spans="1:4" x14ac:dyDescent="0.35">
      <c r="A255" t="e">
        <f>'Lista de productos'!#REF!</f>
        <v>#REF!</v>
      </c>
      <c r="B255">
        <f>'Lista de productos'!B265</f>
        <v>0</v>
      </c>
      <c r="D255">
        <v>251</v>
      </c>
    </row>
    <row r="256" spans="1:4" x14ac:dyDescent="0.35">
      <c r="A256" t="e">
        <f>'Lista de productos'!#REF!</f>
        <v>#REF!</v>
      </c>
      <c r="B256">
        <f>'Lista de productos'!B266</f>
        <v>0</v>
      </c>
      <c r="D256">
        <v>252</v>
      </c>
    </row>
    <row r="257" spans="1:4" x14ac:dyDescent="0.35">
      <c r="A257" t="e">
        <f>'Lista de productos'!#REF!</f>
        <v>#REF!</v>
      </c>
      <c r="B257">
        <f>'Lista de productos'!B267</f>
        <v>0</v>
      </c>
      <c r="D257">
        <v>253</v>
      </c>
    </row>
    <row r="258" spans="1:4" x14ac:dyDescent="0.35">
      <c r="A258" t="e">
        <f>'Lista de productos'!#REF!</f>
        <v>#REF!</v>
      </c>
      <c r="B258">
        <f>'Lista de productos'!B268</f>
        <v>0</v>
      </c>
      <c r="D258">
        <v>254</v>
      </c>
    </row>
    <row r="259" spans="1:4" x14ac:dyDescent="0.35">
      <c r="A259" t="e">
        <f>'Lista de productos'!#REF!</f>
        <v>#REF!</v>
      </c>
      <c r="B259">
        <f>'Lista de productos'!B269</f>
        <v>0</v>
      </c>
      <c r="D259">
        <v>255</v>
      </c>
    </row>
    <row r="260" spans="1:4" x14ac:dyDescent="0.35">
      <c r="A260" t="e">
        <f>'Lista de productos'!#REF!</f>
        <v>#REF!</v>
      </c>
      <c r="B260">
        <f>'Lista de productos'!B270</f>
        <v>0</v>
      </c>
      <c r="D260">
        <v>256</v>
      </c>
    </row>
    <row r="261" spans="1:4" x14ac:dyDescent="0.35">
      <c r="A261" t="e">
        <f>'Lista de productos'!#REF!</f>
        <v>#REF!</v>
      </c>
      <c r="B261">
        <f>'Lista de productos'!B271</f>
        <v>0</v>
      </c>
      <c r="D261">
        <v>257</v>
      </c>
    </row>
    <row r="262" spans="1:4" x14ac:dyDescent="0.35">
      <c r="A262" t="e">
        <f>'Lista de productos'!#REF!</f>
        <v>#REF!</v>
      </c>
      <c r="B262">
        <f>'Lista de productos'!B272</f>
        <v>0</v>
      </c>
      <c r="D262">
        <v>258</v>
      </c>
    </row>
    <row r="263" spans="1:4" x14ac:dyDescent="0.35">
      <c r="A263" t="e">
        <f>'Lista de productos'!#REF!</f>
        <v>#REF!</v>
      </c>
      <c r="B263">
        <f>'Lista de productos'!B273</f>
        <v>0</v>
      </c>
      <c r="D263">
        <v>259</v>
      </c>
    </row>
    <row r="264" spans="1:4" x14ac:dyDescent="0.35">
      <c r="A264" t="e">
        <f>'Lista de productos'!#REF!</f>
        <v>#REF!</v>
      </c>
      <c r="B264">
        <f>'Lista de productos'!B274</f>
        <v>0</v>
      </c>
      <c r="D264">
        <v>260</v>
      </c>
    </row>
    <row r="265" spans="1:4" x14ac:dyDescent="0.35">
      <c r="A265" t="e">
        <f>'Lista de productos'!#REF!</f>
        <v>#REF!</v>
      </c>
      <c r="B265">
        <f>'Lista de productos'!B275</f>
        <v>0</v>
      </c>
      <c r="D265">
        <v>261</v>
      </c>
    </row>
    <row r="266" spans="1:4" x14ac:dyDescent="0.35">
      <c r="A266" t="e">
        <f>'Lista de productos'!#REF!</f>
        <v>#REF!</v>
      </c>
      <c r="B266">
        <f>'Lista de productos'!B276</f>
        <v>0</v>
      </c>
      <c r="D266">
        <v>262</v>
      </c>
    </row>
    <row r="267" spans="1:4" x14ac:dyDescent="0.35">
      <c r="A267" t="e">
        <f>'Lista de productos'!#REF!</f>
        <v>#REF!</v>
      </c>
      <c r="B267">
        <f>'Lista de productos'!B277</f>
        <v>0</v>
      </c>
      <c r="D267">
        <v>263</v>
      </c>
    </row>
    <row r="268" spans="1:4" x14ac:dyDescent="0.35">
      <c r="A268" t="e">
        <f>'Lista de productos'!#REF!</f>
        <v>#REF!</v>
      </c>
      <c r="B268">
        <f>'Lista de productos'!B278</f>
        <v>0</v>
      </c>
      <c r="D268">
        <v>264</v>
      </c>
    </row>
    <row r="269" spans="1:4" x14ac:dyDescent="0.35">
      <c r="A269" t="e">
        <f>'Lista de productos'!#REF!</f>
        <v>#REF!</v>
      </c>
      <c r="B269">
        <f>'Lista de productos'!B279</f>
        <v>0</v>
      </c>
      <c r="D269">
        <v>265</v>
      </c>
    </row>
    <row r="270" spans="1:4" x14ac:dyDescent="0.35">
      <c r="A270" t="e">
        <f>'Lista de productos'!#REF!</f>
        <v>#REF!</v>
      </c>
      <c r="B270">
        <f>'Lista de productos'!B280</f>
        <v>0</v>
      </c>
      <c r="D270">
        <v>266</v>
      </c>
    </row>
    <row r="271" spans="1:4" x14ac:dyDescent="0.35">
      <c r="A271" t="e">
        <f>'Lista de productos'!#REF!</f>
        <v>#REF!</v>
      </c>
      <c r="B271">
        <f>'Lista de productos'!B281</f>
        <v>0</v>
      </c>
      <c r="D271">
        <v>267</v>
      </c>
    </row>
    <row r="272" spans="1:4" x14ac:dyDescent="0.35">
      <c r="A272" t="e">
        <f>'Lista de productos'!#REF!</f>
        <v>#REF!</v>
      </c>
      <c r="B272">
        <f>'Lista de productos'!B282</f>
        <v>0</v>
      </c>
      <c r="D272">
        <v>268</v>
      </c>
    </row>
    <row r="273" spans="1:4" x14ac:dyDescent="0.35">
      <c r="A273" t="e">
        <f>'Lista de productos'!#REF!</f>
        <v>#REF!</v>
      </c>
      <c r="B273">
        <f>'Lista de productos'!B283</f>
        <v>0</v>
      </c>
      <c r="D273">
        <v>269</v>
      </c>
    </row>
    <row r="274" spans="1:4" x14ac:dyDescent="0.35">
      <c r="A274" t="e">
        <f>'Lista de productos'!#REF!</f>
        <v>#REF!</v>
      </c>
      <c r="B274">
        <f>'Lista de productos'!B284</f>
        <v>0</v>
      </c>
      <c r="D274">
        <v>270</v>
      </c>
    </row>
    <row r="275" spans="1:4" x14ac:dyDescent="0.35">
      <c r="A275" t="e">
        <f>'Lista de productos'!#REF!</f>
        <v>#REF!</v>
      </c>
      <c r="B275">
        <f>'Lista de productos'!B285</f>
        <v>0</v>
      </c>
      <c r="D275">
        <v>271</v>
      </c>
    </row>
    <row r="276" spans="1:4" x14ac:dyDescent="0.35">
      <c r="A276" t="e">
        <f>'Lista de productos'!#REF!</f>
        <v>#REF!</v>
      </c>
      <c r="B276">
        <f>'Lista de productos'!B286</f>
        <v>0</v>
      </c>
      <c r="D276">
        <v>272</v>
      </c>
    </row>
    <row r="277" spans="1:4" x14ac:dyDescent="0.35">
      <c r="A277" t="e">
        <f>'Lista de productos'!#REF!</f>
        <v>#REF!</v>
      </c>
      <c r="B277">
        <f>'Lista de productos'!B287</f>
        <v>0</v>
      </c>
      <c r="D277">
        <v>273</v>
      </c>
    </row>
    <row r="278" spans="1:4" x14ac:dyDescent="0.35">
      <c r="A278" t="e">
        <f>'Lista de productos'!#REF!</f>
        <v>#REF!</v>
      </c>
      <c r="B278">
        <f>'Lista de productos'!B288</f>
        <v>0</v>
      </c>
      <c r="D278">
        <v>274</v>
      </c>
    </row>
    <row r="279" spans="1:4" x14ac:dyDescent="0.35">
      <c r="A279" t="e">
        <f>'Lista de productos'!#REF!</f>
        <v>#REF!</v>
      </c>
      <c r="B279">
        <f>'Lista de productos'!B289</f>
        <v>0</v>
      </c>
      <c r="D279">
        <v>275</v>
      </c>
    </row>
    <row r="280" spans="1:4" x14ac:dyDescent="0.35">
      <c r="A280" t="e">
        <f>'Lista de productos'!#REF!</f>
        <v>#REF!</v>
      </c>
      <c r="B280">
        <f>'Lista de productos'!B290</f>
        <v>0</v>
      </c>
      <c r="D280">
        <v>276</v>
      </c>
    </row>
    <row r="281" spans="1:4" x14ac:dyDescent="0.35">
      <c r="A281" t="e">
        <f>'Lista de productos'!#REF!</f>
        <v>#REF!</v>
      </c>
      <c r="B281">
        <f>'Lista de productos'!B291</f>
        <v>0</v>
      </c>
      <c r="D281">
        <v>277</v>
      </c>
    </row>
    <row r="282" spans="1:4" x14ac:dyDescent="0.35">
      <c r="A282" t="e">
        <f>'Lista de productos'!#REF!</f>
        <v>#REF!</v>
      </c>
      <c r="B282">
        <f>'Lista de productos'!B292</f>
        <v>0</v>
      </c>
      <c r="D282">
        <v>278</v>
      </c>
    </row>
    <row r="283" spans="1:4" x14ac:dyDescent="0.35">
      <c r="A283" t="e">
        <f>'Lista de productos'!#REF!</f>
        <v>#REF!</v>
      </c>
      <c r="B283">
        <f>'Lista de productos'!B293</f>
        <v>0</v>
      </c>
      <c r="D283">
        <v>279</v>
      </c>
    </row>
    <row r="284" spans="1:4" x14ac:dyDescent="0.35">
      <c r="A284" t="e">
        <f>'Lista de productos'!#REF!</f>
        <v>#REF!</v>
      </c>
      <c r="B284">
        <f>'Lista de productos'!B294</f>
        <v>0</v>
      </c>
      <c r="D284">
        <v>280</v>
      </c>
    </row>
    <row r="285" spans="1:4" x14ac:dyDescent="0.35">
      <c r="A285" t="e">
        <f>'Lista de productos'!#REF!</f>
        <v>#REF!</v>
      </c>
      <c r="B285">
        <f>'Lista de productos'!B295</f>
        <v>0</v>
      </c>
      <c r="D285">
        <v>281</v>
      </c>
    </row>
    <row r="286" spans="1:4" x14ac:dyDescent="0.35">
      <c r="A286" t="e">
        <f>'Lista de productos'!#REF!</f>
        <v>#REF!</v>
      </c>
      <c r="B286">
        <f>'Lista de productos'!B296</f>
        <v>0</v>
      </c>
      <c r="D286">
        <v>282</v>
      </c>
    </row>
    <row r="287" spans="1:4" x14ac:dyDescent="0.35">
      <c r="A287" t="e">
        <f>'Lista de productos'!#REF!</f>
        <v>#REF!</v>
      </c>
      <c r="B287">
        <f>'Lista de productos'!B297</f>
        <v>0</v>
      </c>
      <c r="D287">
        <v>283</v>
      </c>
    </row>
    <row r="288" spans="1:4" x14ac:dyDescent="0.35">
      <c r="A288" t="e">
        <f>'Lista de productos'!#REF!</f>
        <v>#REF!</v>
      </c>
      <c r="B288">
        <f>'Lista de productos'!B298</f>
        <v>0</v>
      </c>
      <c r="D288">
        <v>284</v>
      </c>
    </row>
    <row r="289" spans="1:4" x14ac:dyDescent="0.35">
      <c r="A289" t="e">
        <f>'Lista de productos'!#REF!</f>
        <v>#REF!</v>
      </c>
      <c r="B289">
        <f>'Lista de productos'!B299</f>
        <v>0</v>
      </c>
      <c r="D289">
        <v>285</v>
      </c>
    </row>
    <row r="290" spans="1:4" x14ac:dyDescent="0.35">
      <c r="A290" t="e">
        <f>'Lista de productos'!#REF!</f>
        <v>#REF!</v>
      </c>
      <c r="B290">
        <f>'Lista de productos'!B300</f>
        <v>0</v>
      </c>
      <c r="D290">
        <v>286</v>
      </c>
    </row>
    <row r="291" spans="1:4" x14ac:dyDescent="0.35">
      <c r="A291" t="e">
        <f>'Lista de productos'!#REF!</f>
        <v>#REF!</v>
      </c>
      <c r="B291">
        <f>'Lista de productos'!B301</f>
        <v>0</v>
      </c>
      <c r="D291">
        <v>287</v>
      </c>
    </row>
    <row r="292" spans="1:4" x14ac:dyDescent="0.35">
      <c r="A292" t="e">
        <f>'Lista de productos'!#REF!</f>
        <v>#REF!</v>
      </c>
      <c r="B292">
        <f>'Lista de productos'!B302</f>
        <v>0</v>
      </c>
      <c r="D292">
        <v>288</v>
      </c>
    </row>
    <row r="293" spans="1:4" x14ac:dyDescent="0.35">
      <c r="A293" t="e">
        <f>'Lista de productos'!#REF!</f>
        <v>#REF!</v>
      </c>
      <c r="B293">
        <f>'Lista de productos'!B303</f>
        <v>0</v>
      </c>
      <c r="D293">
        <v>289</v>
      </c>
    </row>
    <row r="294" spans="1:4" x14ac:dyDescent="0.35">
      <c r="A294" t="e">
        <f>'Lista de productos'!#REF!</f>
        <v>#REF!</v>
      </c>
      <c r="B294">
        <f>'Lista de productos'!B304</f>
        <v>0</v>
      </c>
      <c r="D294">
        <v>290</v>
      </c>
    </row>
    <row r="295" spans="1:4" x14ac:dyDescent="0.35">
      <c r="A295" t="e">
        <f>'Lista de productos'!#REF!</f>
        <v>#REF!</v>
      </c>
      <c r="B295">
        <f>'Lista de productos'!B305</f>
        <v>0</v>
      </c>
      <c r="D295">
        <v>291</v>
      </c>
    </row>
    <row r="296" spans="1:4" x14ac:dyDescent="0.35">
      <c r="A296" t="e">
        <f>'Lista de productos'!#REF!</f>
        <v>#REF!</v>
      </c>
      <c r="B296">
        <f>'Lista de productos'!B306</f>
        <v>0</v>
      </c>
      <c r="D296">
        <v>292</v>
      </c>
    </row>
    <row r="297" spans="1:4" x14ac:dyDescent="0.35">
      <c r="A297" t="e">
        <f>'Lista de productos'!#REF!</f>
        <v>#REF!</v>
      </c>
      <c r="B297">
        <f>'Lista de productos'!B307</f>
        <v>0</v>
      </c>
      <c r="D297">
        <v>293</v>
      </c>
    </row>
    <row r="298" spans="1:4" x14ac:dyDescent="0.35">
      <c r="A298" t="e">
        <f>'Lista de productos'!#REF!</f>
        <v>#REF!</v>
      </c>
      <c r="B298">
        <f>'Lista de productos'!B308</f>
        <v>0</v>
      </c>
      <c r="D298">
        <v>294</v>
      </c>
    </row>
    <row r="299" spans="1:4" x14ac:dyDescent="0.35">
      <c r="A299" t="e">
        <f>'Lista de productos'!#REF!</f>
        <v>#REF!</v>
      </c>
      <c r="B299">
        <f>'Lista de productos'!B309</f>
        <v>0</v>
      </c>
      <c r="D299">
        <v>295</v>
      </c>
    </row>
    <row r="300" spans="1:4" x14ac:dyDescent="0.35">
      <c r="A300" t="e">
        <f>'Lista de productos'!#REF!</f>
        <v>#REF!</v>
      </c>
      <c r="B300">
        <f>'Lista de productos'!B310</f>
        <v>0</v>
      </c>
      <c r="D300">
        <v>296</v>
      </c>
    </row>
    <row r="301" spans="1:4" x14ac:dyDescent="0.35">
      <c r="A301" t="e">
        <f>'Lista de productos'!#REF!</f>
        <v>#REF!</v>
      </c>
      <c r="B301">
        <f>'Lista de productos'!B311</f>
        <v>0</v>
      </c>
      <c r="D301">
        <v>297</v>
      </c>
    </row>
    <row r="302" spans="1:4" x14ac:dyDescent="0.35">
      <c r="A302" t="e">
        <f>'Lista de productos'!#REF!</f>
        <v>#REF!</v>
      </c>
      <c r="B302">
        <f>'Lista de productos'!B312</f>
        <v>0</v>
      </c>
      <c r="D302">
        <v>298</v>
      </c>
    </row>
    <row r="303" spans="1:4" x14ac:dyDescent="0.35">
      <c r="A303" t="e">
        <f>'Lista de productos'!#REF!</f>
        <v>#REF!</v>
      </c>
      <c r="B303">
        <f>'Lista de productos'!B313</f>
        <v>0</v>
      </c>
      <c r="D303">
        <v>299</v>
      </c>
    </row>
    <row r="304" spans="1:4" x14ac:dyDescent="0.35">
      <c r="A304" t="e">
        <f>'Lista de productos'!#REF!</f>
        <v>#REF!</v>
      </c>
      <c r="B304">
        <f>'Lista de productos'!B314</f>
        <v>0</v>
      </c>
      <c r="D304">
        <v>300</v>
      </c>
    </row>
    <row r="305" spans="1:4" x14ac:dyDescent="0.35">
      <c r="A305" t="e">
        <f>'Lista de productos'!#REF!</f>
        <v>#REF!</v>
      </c>
      <c r="B305">
        <f>'Lista de productos'!B315</f>
        <v>0</v>
      </c>
      <c r="D305">
        <v>301</v>
      </c>
    </row>
    <row r="306" spans="1:4" x14ac:dyDescent="0.35">
      <c r="A306" t="e">
        <f>'Lista de productos'!#REF!</f>
        <v>#REF!</v>
      </c>
      <c r="B306">
        <f>'Lista de productos'!B316</f>
        <v>0</v>
      </c>
      <c r="D306">
        <v>302</v>
      </c>
    </row>
    <row r="307" spans="1:4" x14ac:dyDescent="0.35">
      <c r="A307" t="e">
        <f>'Lista de productos'!#REF!</f>
        <v>#REF!</v>
      </c>
      <c r="B307">
        <f>'Lista de productos'!B317</f>
        <v>0</v>
      </c>
      <c r="D307">
        <v>303</v>
      </c>
    </row>
    <row r="308" spans="1:4" x14ac:dyDescent="0.35">
      <c r="A308" t="e">
        <f>'Lista de productos'!#REF!</f>
        <v>#REF!</v>
      </c>
      <c r="B308">
        <f>'Lista de productos'!B318</f>
        <v>0</v>
      </c>
      <c r="D308">
        <v>304</v>
      </c>
    </row>
    <row r="309" spans="1:4" x14ac:dyDescent="0.35">
      <c r="A309" t="e">
        <f>'Lista de productos'!#REF!</f>
        <v>#REF!</v>
      </c>
      <c r="B309">
        <f>'Lista de productos'!B319</f>
        <v>0</v>
      </c>
      <c r="D309">
        <v>305</v>
      </c>
    </row>
    <row r="310" spans="1:4" x14ac:dyDescent="0.35">
      <c r="A310" t="e">
        <f>'Lista de productos'!#REF!</f>
        <v>#REF!</v>
      </c>
      <c r="B310">
        <f>'Lista de productos'!B320</f>
        <v>0</v>
      </c>
      <c r="D310">
        <v>306</v>
      </c>
    </row>
    <row r="311" spans="1:4" x14ac:dyDescent="0.35">
      <c r="A311" t="e">
        <f>'Lista de productos'!#REF!</f>
        <v>#REF!</v>
      </c>
      <c r="B311">
        <f>'Lista de productos'!B321</f>
        <v>0</v>
      </c>
      <c r="D311">
        <v>307</v>
      </c>
    </row>
    <row r="312" spans="1:4" x14ac:dyDescent="0.35">
      <c r="A312" t="e">
        <f>'Lista de productos'!#REF!</f>
        <v>#REF!</v>
      </c>
      <c r="B312">
        <f>'Lista de productos'!B322</f>
        <v>0</v>
      </c>
      <c r="D312">
        <v>308</v>
      </c>
    </row>
    <row r="313" spans="1:4" x14ac:dyDescent="0.35">
      <c r="A313" t="e">
        <f>'Lista de productos'!#REF!</f>
        <v>#REF!</v>
      </c>
      <c r="B313">
        <f>'Lista de productos'!B323</f>
        <v>0</v>
      </c>
      <c r="D313">
        <v>309</v>
      </c>
    </row>
    <row r="314" spans="1:4" x14ac:dyDescent="0.35">
      <c r="A314" t="e">
        <f>'Lista de productos'!#REF!</f>
        <v>#REF!</v>
      </c>
      <c r="B314">
        <f>'Lista de productos'!B324</f>
        <v>0</v>
      </c>
      <c r="D314">
        <v>310</v>
      </c>
    </row>
    <row r="315" spans="1:4" x14ac:dyDescent="0.35">
      <c r="A315" t="e">
        <f>'Lista de productos'!#REF!</f>
        <v>#REF!</v>
      </c>
      <c r="B315">
        <f>'Lista de productos'!B325</f>
        <v>0</v>
      </c>
      <c r="D315">
        <v>311</v>
      </c>
    </row>
    <row r="316" spans="1:4" x14ac:dyDescent="0.35">
      <c r="A316" t="e">
        <f>'Lista de productos'!#REF!</f>
        <v>#REF!</v>
      </c>
      <c r="B316">
        <f>'Lista de productos'!B326</f>
        <v>0</v>
      </c>
      <c r="D316">
        <v>312</v>
      </c>
    </row>
    <row r="317" spans="1:4" x14ac:dyDescent="0.35">
      <c r="A317" t="e">
        <f>'Lista de productos'!#REF!</f>
        <v>#REF!</v>
      </c>
      <c r="B317">
        <f>'Lista de productos'!B327</f>
        <v>0</v>
      </c>
      <c r="D317">
        <v>313</v>
      </c>
    </row>
    <row r="318" spans="1:4" x14ac:dyDescent="0.35">
      <c r="A318" t="e">
        <f>'Lista de productos'!#REF!</f>
        <v>#REF!</v>
      </c>
      <c r="B318">
        <f>'Lista de productos'!B328</f>
        <v>0</v>
      </c>
      <c r="D318">
        <v>314</v>
      </c>
    </row>
    <row r="319" spans="1:4" x14ac:dyDescent="0.35">
      <c r="A319" t="e">
        <f>'Lista de productos'!#REF!</f>
        <v>#REF!</v>
      </c>
      <c r="B319">
        <f>'Lista de productos'!B329</f>
        <v>0</v>
      </c>
      <c r="D319">
        <v>315</v>
      </c>
    </row>
    <row r="320" spans="1:4" x14ac:dyDescent="0.35">
      <c r="A320" t="e">
        <f>'Lista de productos'!#REF!</f>
        <v>#REF!</v>
      </c>
      <c r="B320">
        <f>'Lista de productos'!B330</f>
        <v>0</v>
      </c>
      <c r="D320">
        <v>316</v>
      </c>
    </row>
    <row r="321" spans="1:4" x14ac:dyDescent="0.35">
      <c r="A321" t="e">
        <f>'Lista de productos'!#REF!</f>
        <v>#REF!</v>
      </c>
      <c r="B321">
        <f>'Lista de productos'!B331</f>
        <v>0</v>
      </c>
      <c r="D321">
        <v>317</v>
      </c>
    </row>
    <row r="322" spans="1:4" x14ac:dyDescent="0.35">
      <c r="A322" t="e">
        <f>'Lista de productos'!#REF!</f>
        <v>#REF!</v>
      </c>
      <c r="B322">
        <f>'Lista de productos'!B332</f>
        <v>0</v>
      </c>
      <c r="D322">
        <v>318</v>
      </c>
    </row>
    <row r="323" spans="1:4" x14ac:dyDescent="0.35">
      <c r="A323" t="e">
        <f>'Lista de productos'!#REF!</f>
        <v>#REF!</v>
      </c>
      <c r="B323">
        <f>'Lista de productos'!B333</f>
        <v>0</v>
      </c>
      <c r="D323">
        <v>319</v>
      </c>
    </row>
    <row r="324" spans="1:4" x14ac:dyDescent="0.35">
      <c r="A324" t="e">
        <f>'Lista de productos'!#REF!</f>
        <v>#REF!</v>
      </c>
      <c r="B324">
        <f>'Lista de productos'!B334</f>
        <v>0</v>
      </c>
      <c r="D324">
        <v>320</v>
      </c>
    </row>
    <row r="325" spans="1:4" x14ac:dyDescent="0.35">
      <c r="A325" t="e">
        <f>'Lista de productos'!#REF!</f>
        <v>#REF!</v>
      </c>
      <c r="B325">
        <f>'Lista de productos'!B335</f>
        <v>0</v>
      </c>
      <c r="D325">
        <v>321</v>
      </c>
    </row>
    <row r="326" spans="1:4" x14ac:dyDescent="0.35">
      <c r="A326" t="e">
        <f>'Lista de productos'!#REF!</f>
        <v>#REF!</v>
      </c>
      <c r="B326">
        <f>'Lista de productos'!B336</f>
        <v>0</v>
      </c>
      <c r="D326">
        <v>322</v>
      </c>
    </row>
    <row r="327" spans="1:4" x14ac:dyDescent="0.35">
      <c r="A327" t="e">
        <f>'Lista de productos'!#REF!</f>
        <v>#REF!</v>
      </c>
      <c r="B327">
        <f>'Lista de productos'!B337</f>
        <v>0</v>
      </c>
      <c r="D327">
        <v>323</v>
      </c>
    </row>
    <row r="328" spans="1:4" x14ac:dyDescent="0.35">
      <c r="A328" t="e">
        <f>'Lista de productos'!#REF!</f>
        <v>#REF!</v>
      </c>
      <c r="B328">
        <f>'Lista de productos'!B338</f>
        <v>0</v>
      </c>
      <c r="D328">
        <v>324</v>
      </c>
    </row>
    <row r="329" spans="1:4" x14ac:dyDescent="0.35">
      <c r="A329" t="e">
        <f>'Lista de productos'!#REF!</f>
        <v>#REF!</v>
      </c>
      <c r="B329">
        <f>'Lista de productos'!B339</f>
        <v>0</v>
      </c>
      <c r="D329">
        <v>325</v>
      </c>
    </row>
    <row r="330" spans="1:4" x14ac:dyDescent="0.35">
      <c r="A330" t="e">
        <f>'Lista de productos'!#REF!</f>
        <v>#REF!</v>
      </c>
      <c r="B330">
        <f>'Lista de productos'!B340</f>
        <v>0</v>
      </c>
      <c r="D330">
        <v>326</v>
      </c>
    </row>
    <row r="331" spans="1:4" x14ac:dyDescent="0.35">
      <c r="A331" t="e">
        <f>'Lista de productos'!#REF!</f>
        <v>#REF!</v>
      </c>
      <c r="B331">
        <f>'Lista de productos'!B341</f>
        <v>0</v>
      </c>
      <c r="D331">
        <v>327</v>
      </c>
    </row>
    <row r="332" spans="1:4" x14ac:dyDescent="0.35">
      <c r="A332" t="e">
        <f>'Lista de productos'!#REF!</f>
        <v>#REF!</v>
      </c>
      <c r="B332">
        <f>'Lista de productos'!B342</f>
        <v>0</v>
      </c>
      <c r="D332">
        <v>328</v>
      </c>
    </row>
    <row r="333" spans="1:4" x14ac:dyDescent="0.35">
      <c r="A333" t="e">
        <f>'Lista de productos'!#REF!</f>
        <v>#REF!</v>
      </c>
      <c r="B333">
        <f>'Lista de productos'!B343</f>
        <v>0</v>
      </c>
      <c r="D333">
        <v>329</v>
      </c>
    </row>
    <row r="334" spans="1:4" x14ac:dyDescent="0.35">
      <c r="A334" t="e">
        <f>'Lista de productos'!#REF!</f>
        <v>#REF!</v>
      </c>
      <c r="B334">
        <f>'Lista de productos'!B344</f>
        <v>0</v>
      </c>
      <c r="D334">
        <v>330</v>
      </c>
    </row>
    <row r="335" spans="1:4" x14ac:dyDescent="0.35">
      <c r="A335" t="e">
        <f>'Lista de productos'!#REF!</f>
        <v>#REF!</v>
      </c>
      <c r="B335">
        <f>'Lista de productos'!B345</f>
        <v>0</v>
      </c>
      <c r="D335">
        <v>331</v>
      </c>
    </row>
    <row r="336" spans="1:4" x14ac:dyDescent="0.35">
      <c r="A336" t="e">
        <f>'Lista de productos'!#REF!</f>
        <v>#REF!</v>
      </c>
      <c r="B336">
        <f>'Lista de productos'!B346</f>
        <v>0</v>
      </c>
      <c r="D336">
        <v>332</v>
      </c>
    </row>
    <row r="337" spans="1:4" x14ac:dyDescent="0.35">
      <c r="A337" t="e">
        <f>'Lista de productos'!#REF!</f>
        <v>#REF!</v>
      </c>
      <c r="B337">
        <f>'Lista de productos'!B347</f>
        <v>0</v>
      </c>
      <c r="D337">
        <v>333</v>
      </c>
    </row>
    <row r="338" spans="1:4" x14ac:dyDescent="0.35">
      <c r="A338" t="e">
        <f>'Lista de productos'!#REF!</f>
        <v>#REF!</v>
      </c>
      <c r="B338">
        <f>'Lista de productos'!B348</f>
        <v>0</v>
      </c>
      <c r="D338">
        <v>334</v>
      </c>
    </row>
    <row r="339" spans="1:4" x14ac:dyDescent="0.35">
      <c r="A339" t="e">
        <f>'Lista de productos'!#REF!</f>
        <v>#REF!</v>
      </c>
      <c r="B339">
        <f>'Lista de productos'!B349</f>
        <v>0</v>
      </c>
      <c r="D339">
        <v>335</v>
      </c>
    </row>
    <row r="340" spans="1:4" x14ac:dyDescent="0.35">
      <c r="A340" t="e">
        <f>'Lista de productos'!#REF!</f>
        <v>#REF!</v>
      </c>
      <c r="B340">
        <f>'Lista de productos'!B350</f>
        <v>0</v>
      </c>
      <c r="D340">
        <v>336</v>
      </c>
    </row>
    <row r="341" spans="1:4" x14ac:dyDescent="0.35">
      <c r="A341" t="e">
        <f>'Lista de productos'!#REF!</f>
        <v>#REF!</v>
      </c>
      <c r="B341">
        <f>'Lista de productos'!B351</f>
        <v>0</v>
      </c>
      <c r="D341">
        <v>337</v>
      </c>
    </row>
    <row r="342" spans="1:4" x14ac:dyDescent="0.35">
      <c r="A342" t="e">
        <f>'Lista de productos'!#REF!</f>
        <v>#REF!</v>
      </c>
      <c r="B342">
        <f>'Lista de productos'!B352</f>
        <v>0</v>
      </c>
      <c r="D342">
        <v>338</v>
      </c>
    </row>
    <row r="343" spans="1:4" x14ac:dyDescent="0.35">
      <c r="A343" t="e">
        <f>'Lista de productos'!#REF!</f>
        <v>#REF!</v>
      </c>
      <c r="B343">
        <f>'Lista de productos'!B353</f>
        <v>0</v>
      </c>
      <c r="D343">
        <v>339</v>
      </c>
    </row>
    <row r="344" spans="1:4" x14ac:dyDescent="0.35">
      <c r="A344" t="e">
        <f>'Lista de productos'!#REF!</f>
        <v>#REF!</v>
      </c>
      <c r="B344">
        <f>'Lista de productos'!B354</f>
        <v>0</v>
      </c>
      <c r="D344">
        <v>340</v>
      </c>
    </row>
    <row r="345" spans="1:4" x14ac:dyDescent="0.35">
      <c r="A345" t="e">
        <f>'Lista de productos'!#REF!</f>
        <v>#REF!</v>
      </c>
      <c r="B345">
        <f>'Lista de productos'!B355</f>
        <v>0</v>
      </c>
      <c r="D345">
        <v>341</v>
      </c>
    </row>
    <row r="346" spans="1:4" x14ac:dyDescent="0.35">
      <c r="A346" t="e">
        <f>'Lista de productos'!#REF!</f>
        <v>#REF!</v>
      </c>
      <c r="B346">
        <f>'Lista de productos'!B356</f>
        <v>0</v>
      </c>
      <c r="D346">
        <v>342</v>
      </c>
    </row>
    <row r="347" spans="1:4" x14ac:dyDescent="0.35">
      <c r="A347" t="e">
        <f>'Lista de productos'!#REF!</f>
        <v>#REF!</v>
      </c>
      <c r="B347">
        <f>'Lista de productos'!B357</f>
        <v>0</v>
      </c>
      <c r="D347">
        <v>343</v>
      </c>
    </row>
    <row r="348" spans="1:4" x14ac:dyDescent="0.35">
      <c r="A348" t="e">
        <f>'Lista de productos'!#REF!</f>
        <v>#REF!</v>
      </c>
      <c r="B348">
        <f>'Lista de productos'!B358</f>
        <v>0</v>
      </c>
      <c r="D348">
        <v>344</v>
      </c>
    </row>
    <row r="349" spans="1:4" x14ac:dyDescent="0.35">
      <c r="A349" t="e">
        <f>'Lista de productos'!#REF!</f>
        <v>#REF!</v>
      </c>
      <c r="B349">
        <f>'Lista de productos'!B359</f>
        <v>0</v>
      </c>
      <c r="D349">
        <v>345</v>
      </c>
    </row>
    <row r="350" spans="1:4" x14ac:dyDescent="0.35">
      <c r="A350" t="e">
        <f>'Lista de productos'!#REF!</f>
        <v>#REF!</v>
      </c>
      <c r="B350">
        <f>'Lista de productos'!B360</f>
        <v>0</v>
      </c>
      <c r="D350">
        <v>346</v>
      </c>
    </row>
    <row r="351" spans="1:4" x14ac:dyDescent="0.35">
      <c r="A351" t="e">
        <f>'Lista de productos'!#REF!</f>
        <v>#REF!</v>
      </c>
      <c r="B351">
        <f>'Lista de productos'!B361</f>
        <v>0</v>
      </c>
      <c r="D351">
        <v>347</v>
      </c>
    </row>
    <row r="352" spans="1:4" x14ac:dyDescent="0.35">
      <c r="A352" t="e">
        <f>'Lista de productos'!#REF!</f>
        <v>#REF!</v>
      </c>
      <c r="B352">
        <f>'Lista de productos'!B362</f>
        <v>0</v>
      </c>
      <c r="D352">
        <v>348</v>
      </c>
    </row>
    <row r="353" spans="1:4" x14ac:dyDescent="0.35">
      <c r="A353" t="e">
        <f>'Lista de productos'!#REF!</f>
        <v>#REF!</v>
      </c>
      <c r="B353">
        <f>'Lista de productos'!B363</f>
        <v>0</v>
      </c>
      <c r="D353">
        <v>349</v>
      </c>
    </row>
    <row r="354" spans="1:4" x14ac:dyDescent="0.35">
      <c r="A354" t="e">
        <f>'Lista de productos'!#REF!</f>
        <v>#REF!</v>
      </c>
      <c r="B354">
        <f>'Lista de productos'!B364</f>
        <v>0</v>
      </c>
      <c r="D354">
        <v>350</v>
      </c>
    </row>
    <row r="355" spans="1:4" x14ac:dyDescent="0.35">
      <c r="A355" t="e">
        <f>'Lista de productos'!#REF!</f>
        <v>#REF!</v>
      </c>
      <c r="B355">
        <f>'Lista de productos'!B365</f>
        <v>0</v>
      </c>
      <c r="D355">
        <v>351</v>
      </c>
    </row>
    <row r="356" spans="1:4" x14ac:dyDescent="0.35">
      <c r="A356" t="e">
        <f>'Lista de productos'!#REF!</f>
        <v>#REF!</v>
      </c>
      <c r="B356">
        <f>'Lista de productos'!B366</f>
        <v>0</v>
      </c>
      <c r="D356">
        <v>352</v>
      </c>
    </row>
    <row r="357" spans="1:4" x14ac:dyDescent="0.35">
      <c r="A357" t="e">
        <f>'Lista de productos'!#REF!</f>
        <v>#REF!</v>
      </c>
      <c r="B357">
        <f>'Lista de productos'!B367</f>
        <v>0</v>
      </c>
      <c r="D357">
        <v>353</v>
      </c>
    </row>
    <row r="358" spans="1:4" x14ac:dyDescent="0.35">
      <c r="A358" t="e">
        <f>'Lista de productos'!#REF!</f>
        <v>#REF!</v>
      </c>
      <c r="B358">
        <f>'Lista de productos'!B368</f>
        <v>0</v>
      </c>
      <c r="D358">
        <v>354</v>
      </c>
    </row>
    <row r="359" spans="1:4" x14ac:dyDescent="0.35">
      <c r="A359" t="e">
        <f>'Lista de productos'!#REF!</f>
        <v>#REF!</v>
      </c>
      <c r="B359">
        <f>'Lista de productos'!B369</f>
        <v>0</v>
      </c>
      <c r="D359">
        <v>355</v>
      </c>
    </row>
    <row r="360" spans="1:4" x14ac:dyDescent="0.35">
      <c r="A360" t="e">
        <f>'Lista de productos'!#REF!</f>
        <v>#REF!</v>
      </c>
      <c r="B360">
        <f>'Lista de productos'!B370</f>
        <v>0</v>
      </c>
      <c r="D360">
        <v>356</v>
      </c>
    </row>
    <row r="361" spans="1:4" x14ac:dyDescent="0.35">
      <c r="A361" t="e">
        <f>'Lista de productos'!#REF!</f>
        <v>#REF!</v>
      </c>
      <c r="B361">
        <f>'Lista de productos'!B371</f>
        <v>0</v>
      </c>
      <c r="D361">
        <v>357</v>
      </c>
    </row>
    <row r="362" spans="1:4" x14ac:dyDescent="0.35">
      <c r="A362" t="e">
        <f>'Lista de productos'!#REF!</f>
        <v>#REF!</v>
      </c>
      <c r="B362">
        <f>'Lista de productos'!B372</f>
        <v>0</v>
      </c>
      <c r="D362">
        <v>358</v>
      </c>
    </row>
    <row r="363" spans="1:4" x14ac:dyDescent="0.35">
      <c r="A363" t="e">
        <f>'Lista de productos'!#REF!</f>
        <v>#REF!</v>
      </c>
      <c r="B363">
        <f>'Lista de productos'!B373</f>
        <v>0</v>
      </c>
      <c r="D363">
        <v>359</v>
      </c>
    </row>
    <row r="364" spans="1:4" x14ac:dyDescent="0.35">
      <c r="A364" t="e">
        <f>'Lista de productos'!#REF!</f>
        <v>#REF!</v>
      </c>
      <c r="B364">
        <f>'Lista de productos'!B374</f>
        <v>0</v>
      </c>
      <c r="D364">
        <v>360</v>
      </c>
    </row>
    <row r="365" spans="1:4" x14ac:dyDescent="0.35">
      <c r="A365" t="e">
        <f>'Lista de productos'!#REF!</f>
        <v>#REF!</v>
      </c>
      <c r="B365">
        <f>'Lista de productos'!B375</f>
        <v>0</v>
      </c>
      <c r="D365">
        <v>361</v>
      </c>
    </row>
    <row r="366" spans="1:4" x14ac:dyDescent="0.35">
      <c r="A366" t="e">
        <f>'Lista de productos'!#REF!</f>
        <v>#REF!</v>
      </c>
      <c r="B366">
        <f>'Lista de productos'!B376</f>
        <v>0</v>
      </c>
      <c r="D366">
        <v>362</v>
      </c>
    </row>
    <row r="367" spans="1:4" x14ac:dyDescent="0.35">
      <c r="A367" t="e">
        <f>'Lista de productos'!#REF!</f>
        <v>#REF!</v>
      </c>
      <c r="B367">
        <f>'Lista de productos'!B377</f>
        <v>0</v>
      </c>
      <c r="D367">
        <v>363</v>
      </c>
    </row>
    <row r="368" spans="1:4" x14ac:dyDescent="0.35">
      <c r="A368" t="e">
        <f>'Lista de productos'!#REF!</f>
        <v>#REF!</v>
      </c>
      <c r="B368">
        <f>'Lista de productos'!B378</f>
        <v>0</v>
      </c>
      <c r="D368">
        <v>364</v>
      </c>
    </row>
    <row r="369" spans="1:4" x14ac:dyDescent="0.35">
      <c r="A369" t="e">
        <f>'Lista de productos'!#REF!</f>
        <v>#REF!</v>
      </c>
      <c r="B369">
        <f>'Lista de productos'!B379</f>
        <v>0</v>
      </c>
      <c r="D369">
        <v>365</v>
      </c>
    </row>
    <row r="370" spans="1:4" x14ac:dyDescent="0.35">
      <c r="A370" t="e">
        <f>'Lista de productos'!#REF!</f>
        <v>#REF!</v>
      </c>
      <c r="B370">
        <f>'Lista de productos'!B380</f>
        <v>0</v>
      </c>
      <c r="D370">
        <v>366</v>
      </c>
    </row>
    <row r="371" spans="1:4" x14ac:dyDescent="0.35">
      <c r="A371" t="e">
        <f>'Lista de productos'!#REF!</f>
        <v>#REF!</v>
      </c>
      <c r="B371">
        <f>'Lista de productos'!B381</f>
        <v>0</v>
      </c>
      <c r="D371">
        <v>367</v>
      </c>
    </row>
    <row r="372" spans="1:4" x14ac:dyDescent="0.35">
      <c r="A372" t="e">
        <f>'Lista de productos'!#REF!</f>
        <v>#REF!</v>
      </c>
      <c r="B372">
        <f>'Lista de productos'!B382</f>
        <v>0</v>
      </c>
      <c r="D372">
        <v>368</v>
      </c>
    </row>
    <row r="373" spans="1:4" x14ac:dyDescent="0.35">
      <c r="A373" t="e">
        <f>'Lista de productos'!#REF!</f>
        <v>#REF!</v>
      </c>
      <c r="B373">
        <f>'Lista de productos'!B383</f>
        <v>0</v>
      </c>
      <c r="D373">
        <v>369</v>
      </c>
    </row>
    <row r="374" spans="1:4" x14ac:dyDescent="0.35">
      <c r="A374" t="e">
        <f>'Lista de productos'!#REF!</f>
        <v>#REF!</v>
      </c>
      <c r="B374">
        <f>'Lista de productos'!B384</f>
        <v>0</v>
      </c>
      <c r="D374">
        <v>370</v>
      </c>
    </row>
    <row r="375" spans="1:4" x14ac:dyDescent="0.35">
      <c r="A375" t="e">
        <f>'Lista de productos'!#REF!</f>
        <v>#REF!</v>
      </c>
      <c r="B375">
        <f>'Lista de productos'!B385</f>
        <v>0</v>
      </c>
      <c r="D375">
        <v>371</v>
      </c>
    </row>
    <row r="376" spans="1:4" x14ac:dyDescent="0.35">
      <c r="A376" t="e">
        <f>'Lista de productos'!#REF!</f>
        <v>#REF!</v>
      </c>
      <c r="B376">
        <f>'Lista de productos'!B386</f>
        <v>0</v>
      </c>
      <c r="D376">
        <v>372</v>
      </c>
    </row>
    <row r="377" spans="1:4" x14ac:dyDescent="0.35">
      <c r="A377" t="e">
        <f>'Lista de productos'!#REF!</f>
        <v>#REF!</v>
      </c>
      <c r="B377">
        <f>'Lista de productos'!B387</f>
        <v>0</v>
      </c>
      <c r="D377">
        <v>373</v>
      </c>
    </row>
    <row r="378" spans="1:4" x14ac:dyDescent="0.35">
      <c r="A378" t="e">
        <f>'Lista de productos'!#REF!</f>
        <v>#REF!</v>
      </c>
      <c r="B378">
        <f>'Lista de productos'!B388</f>
        <v>0</v>
      </c>
      <c r="D378">
        <v>374</v>
      </c>
    </row>
    <row r="379" spans="1:4" x14ac:dyDescent="0.35">
      <c r="A379" t="e">
        <f>'Lista de productos'!#REF!</f>
        <v>#REF!</v>
      </c>
      <c r="B379">
        <f>'Lista de productos'!B389</f>
        <v>0</v>
      </c>
      <c r="D379">
        <v>375</v>
      </c>
    </row>
    <row r="380" spans="1:4" x14ac:dyDescent="0.35">
      <c r="A380" t="e">
        <f>'Lista de productos'!#REF!</f>
        <v>#REF!</v>
      </c>
      <c r="B380">
        <f>'Lista de productos'!B390</f>
        <v>0</v>
      </c>
      <c r="D380">
        <v>376</v>
      </c>
    </row>
    <row r="381" spans="1:4" x14ac:dyDescent="0.35">
      <c r="A381" t="e">
        <f>'Lista de productos'!#REF!</f>
        <v>#REF!</v>
      </c>
      <c r="B381">
        <f>'Lista de productos'!B391</f>
        <v>0</v>
      </c>
      <c r="D381">
        <v>377</v>
      </c>
    </row>
    <row r="382" spans="1:4" x14ac:dyDescent="0.35">
      <c r="A382" t="e">
        <f>'Lista de productos'!#REF!</f>
        <v>#REF!</v>
      </c>
      <c r="B382">
        <f>'Lista de productos'!B392</f>
        <v>0</v>
      </c>
      <c r="D382">
        <v>378</v>
      </c>
    </row>
    <row r="383" spans="1:4" x14ac:dyDescent="0.35">
      <c r="A383" t="e">
        <f>'Lista de productos'!#REF!</f>
        <v>#REF!</v>
      </c>
      <c r="B383">
        <f>'Lista de productos'!B393</f>
        <v>0</v>
      </c>
      <c r="D383">
        <v>379</v>
      </c>
    </row>
    <row r="384" spans="1:4" x14ac:dyDescent="0.35">
      <c r="A384" t="e">
        <f>'Lista de productos'!#REF!</f>
        <v>#REF!</v>
      </c>
      <c r="B384">
        <f>'Lista de productos'!B394</f>
        <v>0</v>
      </c>
      <c r="D384">
        <v>380</v>
      </c>
    </row>
    <row r="385" spans="1:4" x14ac:dyDescent="0.35">
      <c r="A385" t="e">
        <f>'Lista de productos'!#REF!</f>
        <v>#REF!</v>
      </c>
      <c r="B385">
        <f>'Lista de productos'!B395</f>
        <v>0</v>
      </c>
      <c r="D385">
        <v>381</v>
      </c>
    </row>
    <row r="386" spans="1:4" x14ac:dyDescent="0.35">
      <c r="A386" t="e">
        <f>'Lista de productos'!#REF!</f>
        <v>#REF!</v>
      </c>
      <c r="B386">
        <f>'Lista de productos'!B396</f>
        <v>0</v>
      </c>
      <c r="D386">
        <v>382</v>
      </c>
    </row>
    <row r="387" spans="1:4" x14ac:dyDescent="0.35">
      <c r="A387" t="e">
        <f>'Lista de productos'!#REF!</f>
        <v>#REF!</v>
      </c>
      <c r="B387">
        <f>'Lista de productos'!B397</f>
        <v>0</v>
      </c>
      <c r="D387">
        <v>383</v>
      </c>
    </row>
    <row r="388" spans="1:4" x14ac:dyDescent="0.35">
      <c r="A388" t="e">
        <f>'Lista de productos'!#REF!</f>
        <v>#REF!</v>
      </c>
      <c r="B388">
        <f>'Lista de productos'!B398</f>
        <v>0</v>
      </c>
      <c r="D388">
        <v>384</v>
      </c>
    </row>
    <row r="389" spans="1:4" x14ac:dyDescent="0.35">
      <c r="A389" t="e">
        <f>'Lista de productos'!#REF!</f>
        <v>#REF!</v>
      </c>
      <c r="B389">
        <f>'Lista de productos'!B399</f>
        <v>0</v>
      </c>
      <c r="D389">
        <v>385</v>
      </c>
    </row>
    <row r="390" spans="1:4" x14ac:dyDescent="0.35">
      <c r="A390" t="e">
        <f>'Lista de productos'!#REF!</f>
        <v>#REF!</v>
      </c>
      <c r="B390">
        <f>'Lista de productos'!B400</f>
        <v>0</v>
      </c>
      <c r="D390">
        <v>386</v>
      </c>
    </row>
    <row r="391" spans="1:4" x14ac:dyDescent="0.35">
      <c r="A391" t="e">
        <f>'Lista de productos'!#REF!</f>
        <v>#REF!</v>
      </c>
      <c r="B391">
        <f>'Lista de productos'!B401</f>
        <v>0</v>
      </c>
      <c r="D391">
        <v>387</v>
      </c>
    </row>
    <row r="392" spans="1:4" x14ac:dyDescent="0.35">
      <c r="A392" t="e">
        <f>'Lista de productos'!#REF!</f>
        <v>#REF!</v>
      </c>
      <c r="B392">
        <f>'Lista de productos'!B402</f>
        <v>0</v>
      </c>
      <c r="D392">
        <v>388</v>
      </c>
    </row>
    <row r="393" spans="1:4" x14ac:dyDescent="0.35">
      <c r="A393" t="e">
        <f>'Lista de productos'!#REF!</f>
        <v>#REF!</v>
      </c>
      <c r="B393">
        <f>'Lista de productos'!B403</f>
        <v>0</v>
      </c>
      <c r="D393">
        <v>389</v>
      </c>
    </row>
    <row r="394" spans="1:4" x14ac:dyDescent="0.35">
      <c r="A394" t="e">
        <f>'Lista de productos'!#REF!</f>
        <v>#REF!</v>
      </c>
      <c r="B394">
        <f>'Lista de productos'!B404</f>
        <v>0</v>
      </c>
      <c r="D394">
        <v>390</v>
      </c>
    </row>
    <row r="395" spans="1:4" x14ac:dyDescent="0.35">
      <c r="A395" t="e">
        <f>'Lista de productos'!#REF!</f>
        <v>#REF!</v>
      </c>
      <c r="B395">
        <f>'Lista de productos'!B405</f>
        <v>0</v>
      </c>
      <c r="D395">
        <v>391</v>
      </c>
    </row>
    <row r="396" spans="1:4" x14ac:dyDescent="0.35">
      <c r="A396" t="e">
        <f>'Lista de productos'!#REF!</f>
        <v>#REF!</v>
      </c>
      <c r="B396">
        <f>'Lista de productos'!B406</f>
        <v>0</v>
      </c>
      <c r="D396">
        <v>392</v>
      </c>
    </row>
    <row r="397" spans="1:4" x14ac:dyDescent="0.35">
      <c r="A397" t="e">
        <f>'Lista de productos'!#REF!</f>
        <v>#REF!</v>
      </c>
      <c r="B397">
        <f>'Lista de productos'!B407</f>
        <v>0</v>
      </c>
      <c r="D397">
        <v>393</v>
      </c>
    </row>
    <row r="398" spans="1:4" x14ac:dyDescent="0.35">
      <c r="A398" t="e">
        <f>'Lista de productos'!#REF!</f>
        <v>#REF!</v>
      </c>
      <c r="B398">
        <f>'Lista de productos'!B408</f>
        <v>0</v>
      </c>
      <c r="D398">
        <v>394</v>
      </c>
    </row>
    <row r="399" spans="1:4" x14ac:dyDescent="0.35">
      <c r="A399" t="e">
        <f>'Lista de productos'!#REF!</f>
        <v>#REF!</v>
      </c>
      <c r="B399">
        <f>'Lista de productos'!B409</f>
        <v>0</v>
      </c>
      <c r="D399">
        <v>395</v>
      </c>
    </row>
    <row r="400" spans="1:4" x14ac:dyDescent="0.35">
      <c r="A400" t="e">
        <f>'Lista de productos'!#REF!</f>
        <v>#REF!</v>
      </c>
      <c r="B400">
        <f>'Lista de productos'!B410</f>
        <v>0</v>
      </c>
      <c r="D400">
        <v>396</v>
      </c>
    </row>
    <row r="401" spans="1:4" x14ac:dyDescent="0.35">
      <c r="A401" t="e">
        <f>'Lista de productos'!#REF!</f>
        <v>#REF!</v>
      </c>
      <c r="B401">
        <f>'Lista de productos'!B411</f>
        <v>0</v>
      </c>
      <c r="D401">
        <v>397</v>
      </c>
    </row>
    <row r="402" spans="1:4" x14ac:dyDescent="0.35">
      <c r="A402" t="e">
        <f>'Lista de productos'!#REF!</f>
        <v>#REF!</v>
      </c>
      <c r="B402">
        <f>'Lista de productos'!B412</f>
        <v>0</v>
      </c>
      <c r="D402">
        <v>398</v>
      </c>
    </row>
    <row r="403" spans="1:4" x14ac:dyDescent="0.35">
      <c r="A403" t="e">
        <f>'Lista de productos'!#REF!</f>
        <v>#REF!</v>
      </c>
      <c r="B403">
        <f>'Lista de productos'!B413</f>
        <v>0</v>
      </c>
      <c r="D403">
        <v>399</v>
      </c>
    </row>
    <row r="404" spans="1:4" x14ac:dyDescent="0.35">
      <c r="A404" t="e">
        <f>'Lista de productos'!#REF!</f>
        <v>#REF!</v>
      </c>
      <c r="B404">
        <f>'Lista de productos'!B414</f>
        <v>0</v>
      </c>
      <c r="D404">
        <v>400</v>
      </c>
    </row>
    <row r="405" spans="1:4" x14ac:dyDescent="0.35">
      <c r="A405" t="e">
        <f>'Lista de productos'!#REF!</f>
        <v>#REF!</v>
      </c>
      <c r="B405">
        <f>'Lista de productos'!B415</f>
        <v>0</v>
      </c>
      <c r="D405">
        <v>401</v>
      </c>
    </row>
    <row r="406" spans="1:4" x14ac:dyDescent="0.35">
      <c r="A406" t="e">
        <f>'Lista de productos'!#REF!</f>
        <v>#REF!</v>
      </c>
      <c r="B406">
        <f>'Lista de productos'!B416</f>
        <v>0</v>
      </c>
      <c r="D406">
        <v>402</v>
      </c>
    </row>
    <row r="407" spans="1:4" x14ac:dyDescent="0.35">
      <c r="A407" t="e">
        <f>'Lista de productos'!#REF!</f>
        <v>#REF!</v>
      </c>
      <c r="B407">
        <f>'Lista de productos'!B417</f>
        <v>0</v>
      </c>
      <c r="D407">
        <v>403</v>
      </c>
    </row>
    <row r="408" spans="1:4" x14ac:dyDescent="0.35">
      <c r="A408" t="e">
        <f>'Lista de productos'!#REF!</f>
        <v>#REF!</v>
      </c>
      <c r="B408">
        <f>'Lista de productos'!B418</f>
        <v>0</v>
      </c>
      <c r="D408">
        <v>404</v>
      </c>
    </row>
    <row r="409" spans="1:4" x14ac:dyDescent="0.35">
      <c r="A409" t="e">
        <f>'Lista de productos'!#REF!</f>
        <v>#REF!</v>
      </c>
      <c r="B409">
        <f>'Lista de productos'!B419</f>
        <v>0</v>
      </c>
      <c r="D409">
        <v>405</v>
      </c>
    </row>
    <row r="410" spans="1:4" x14ac:dyDescent="0.35">
      <c r="A410" t="e">
        <f>'Lista de productos'!#REF!</f>
        <v>#REF!</v>
      </c>
      <c r="B410">
        <f>'Lista de productos'!B420</f>
        <v>0</v>
      </c>
      <c r="D410">
        <v>406</v>
      </c>
    </row>
    <row r="411" spans="1:4" x14ac:dyDescent="0.35">
      <c r="A411" t="e">
        <f>'Lista de productos'!#REF!</f>
        <v>#REF!</v>
      </c>
      <c r="B411">
        <f>'Lista de productos'!B421</f>
        <v>0</v>
      </c>
      <c r="D411">
        <v>407</v>
      </c>
    </row>
    <row r="412" spans="1:4" x14ac:dyDescent="0.35">
      <c r="A412" t="e">
        <f>'Lista de productos'!#REF!</f>
        <v>#REF!</v>
      </c>
      <c r="B412">
        <f>'Lista de productos'!B422</f>
        <v>0</v>
      </c>
      <c r="D412">
        <v>408</v>
      </c>
    </row>
    <row r="413" spans="1:4" x14ac:dyDescent="0.35">
      <c r="A413" t="e">
        <f>'Lista de productos'!#REF!</f>
        <v>#REF!</v>
      </c>
      <c r="B413">
        <f>'Lista de productos'!B423</f>
        <v>0</v>
      </c>
      <c r="D413">
        <v>409</v>
      </c>
    </row>
    <row r="414" spans="1:4" x14ac:dyDescent="0.35">
      <c r="A414" t="e">
        <f>'Lista de productos'!#REF!</f>
        <v>#REF!</v>
      </c>
      <c r="B414">
        <f>'Lista de productos'!B424</f>
        <v>0</v>
      </c>
      <c r="D414">
        <v>410</v>
      </c>
    </row>
    <row r="415" spans="1:4" x14ac:dyDescent="0.35">
      <c r="A415" t="e">
        <f>'Lista de productos'!#REF!</f>
        <v>#REF!</v>
      </c>
      <c r="B415">
        <f>'Lista de productos'!B425</f>
        <v>0</v>
      </c>
      <c r="D415">
        <v>411</v>
      </c>
    </row>
    <row r="416" spans="1:4" x14ac:dyDescent="0.35">
      <c r="A416" t="e">
        <f>'Lista de productos'!#REF!</f>
        <v>#REF!</v>
      </c>
      <c r="B416">
        <f>'Lista de productos'!B426</f>
        <v>0</v>
      </c>
      <c r="D416">
        <v>412</v>
      </c>
    </row>
    <row r="417" spans="1:4" x14ac:dyDescent="0.35">
      <c r="A417" t="e">
        <f>'Lista de productos'!#REF!</f>
        <v>#REF!</v>
      </c>
      <c r="B417">
        <f>'Lista de productos'!B427</f>
        <v>0</v>
      </c>
      <c r="D417">
        <v>413</v>
      </c>
    </row>
    <row r="418" spans="1:4" x14ac:dyDescent="0.35">
      <c r="A418" t="e">
        <f>'Lista de productos'!#REF!</f>
        <v>#REF!</v>
      </c>
      <c r="B418">
        <f>'Lista de productos'!B428</f>
        <v>0</v>
      </c>
      <c r="D418">
        <v>414</v>
      </c>
    </row>
    <row r="419" spans="1:4" x14ac:dyDescent="0.35">
      <c r="A419" t="e">
        <f>'Lista de productos'!#REF!</f>
        <v>#REF!</v>
      </c>
      <c r="B419">
        <f>'Lista de productos'!B429</f>
        <v>0</v>
      </c>
      <c r="D419">
        <v>415</v>
      </c>
    </row>
    <row r="420" spans="1:4" x14ac:dyDescent="0.35">
      <c r="A420" t="e">
        <f>'Lista de productos'!#REF!</f>
        <v>#REF!</v>
      </c>
      <c r="B420">
        <f>'Lista de productos'!B430</f>
        <v>0</v>
      </c>
      <c r="D420">
        <v>416</v>
      </c>
    </row>
    <row r="421" spans="1:4" x14ac:dyDescent="0.35">
      <c r="A421" t="e">
        <f>'Lista de productos'!#REF!</f>
        <v>#REF!</v>
      </c>
      <c r="B421">
        <f>'Lista de productos'!B431</f>
        <v>0</v>
      </c>
      <c r="D421">
        <v>417</v>
      </c>
    </row>
    <row r="422" spans="1:4" x14ac:dyDescent="0.35">
      <c r="A422" t="e">
        <f>'Lista de productos'!#REF!</f>
        <v>#REF!</v>
      </c>
      <c r="B422">
        <f>'Lista de productos'!B432</f>
        <v>0</v>
      </c>
      <c r="D422">
        <v>418</v>
      </c>
    </row>
    <row r="423" spans="1:4" x14ac:dyDescent="0.35">
      <c r="A423" t="e">
        <f>'Lista de productos'!#REF!</f>
        <v>#REF!</v>
      </c>
      <c r="B423">
        <f>'Lista de productos'!B433</f>
        <v>0</v>
      </c>
      <c r="D423">
        <v>419</v>
      </c>
    </row>
    <row r="424" spans="1:4" x14ac:dyDescent="0.35">
      <c r="A424" t="e">
        <f>'Lista de productos'!#REF!</f>
        <v>#REF!</v>
      </c>
      <c r="B424">
        <f>'Lista de productos'!B434</f>
        <v>0</v>
      </c>
      <c r="D424">
        <v>420</v>
      </c>
    </row>
    <row r="425" spans="1:4" x14ac:dyDescent="0.35">
      <c r="A425" t="e">
        <f>'Lista de productos'!#REF!</f>
        <v>#REF!</v>
      </c>
      <c r="B425">
        <f>'Lista de productos'!B435</f>
        <v>0</v>
      </c>
      <c r="D425">
        <v>421</v>
      </c>
    </row>
    <row r="426" spans="1:4" x14ac:dyDescent="0.35">
      <c r="A426" t="e">
        <f>'Lista de productos'!#REF!</f>
        <v>#REF!</v>
      </c>
      <c r="B426">
        <f>'Lista de productos'!B436</f>
        <v>0</v>
      </c>
      <c r="D426">
        <v>422</v>
      </c>
    </row>
    <row r="427" spans="1:4" x14ac:dyDescent="0.35">
      <c r="A427" t="e">
        <f>'Lista de productos'!#REF!</f>
        <v>#REF!</v>
      </c>
      <c r="B427">
        <f>'Lista de productos'!B437</f>
        <v>0</v>
      </c>
      <c r="D427">
        <v>423</v>
      </c>
    </row>
    <row r="428" spans="1:4" x14ac:dyDescent="0.35">
      <c r="A428" t="e">
        <f>'Lista de productos'!#REF!</f>
        <v>#REF!</v>
      </c>
      <c r="B428">
        <f>'Lista de productos'!B438</f>
        <v>0</v>
      </c>
      <c r="D428">
        <v>424</v>
      </c>
    </row>
    <row r="429" spans="1:4" x14ac:dyDescent="0.35">
      <c r="A429" t="e">
        <f>'Lista de productos'!#REF!</f>
        <v>#REF!</v>
      </c>
      <c r="B429">
        <f>'Lista de productos'!B439</f>
        <v>0</v>
      </c>
      <c r="D429">
        <v>425</v>
      </c>
    </row>
    <row r="430" spans="1:4" x14ac:dyDescent="0.35">
      <c r="A430" t="e">
        <f>'Lista de productos'!#REF!</f>
        <v>#REF!</v>
      </c>
      <c r="B430">
        <f>'Lista de productos'!B440</f>
        <v>0</v>
      </c>
      <c r="D430">
        <v>426</v>
      </c>
    </row>
    <row r="431" spans="1:4" x14ac:dyDescent="0.35">
      <c r="A431" t="e">
        <f>'Lista de productos'!#REF!</f>
        <v>#REF!</v>
      </c>
      <c r="B431">
        <f>'Lista de productos'!B441</f>
        <v>0</v>
      </c>
      <c r="D431">
        <v>427</v>
      </c>
    </row>
    <row r="432" spans="1:4" x14ac:dyDescent="0.35">
      <c r="A432" t="e">
        <f>'Lista de productos'!#REF!</f>
        <v>#REF!</v>
      </c>
      <c r="B432">
        <f>'Lista de productos'!B442</f>
        <v>0</v>
      </c>
      <c r="D432">
        <v>428</v>
      </c>
    </row>
    <row r="433" spans="1:4" x14ac:dyDescent="0.35">
      <c r="A433" t="e">
        <f>'Lista de productos'!#REF!</f>
        <v>#REF!</v>
      </c>
      <c r="B433">
        <f>'Lista de productos'!B443</f>
        <v>0</v>
      </c>
      <c r="D433">
        <v>429</v>
      </c>
    </row>
    <row r="434" spans="1:4" x14ac:dyDescent="0.35">
      <c r="A434" t="e">
        <f>'Lista de productos'!#REF!</f>
        <v>#REF!</v>
      </c>
      <c r="B434">
        <f>'Lista de productos'!B444</f>
        <v>0</v>
      </c>
      <c r="D434">
        <v>430</v>
      </c>
    </row>
    <row r="435" spans="1:4" x14ac:dyDescent="0.35">
      <c r="A435" t="e">
        <f>'Lista de productos'!#REF!</f>
        <v>#REF!</v>
      </c>
      <c r="B435">
        <f>'Lista de productos'!B445</f>
        <v>0</v>
      </c>
      <c r="D435">
        <v>431</v>
      </c>
    </row>
    <row r="436" spans="1:4" x14ac:dyDescent="0.35">
      <c r="A436" t="e">
        <f>'Lista de productos'!#REF!</f>
        <v>#REF!</v>
      </c>
      <c r="B436">
        <f>'Lista de productos'!B446</f>
        <v>0</v>
      </c>
      <c r="D436">
        <v>432</v>
      </c>
    </row>
    <row r="437" spans="1:4" x14ac:dyDescent="0.35">
      <c r="A437" t="e">
        <f>'Lista de productos'!#REF!</f>
        <v>#REF!</v>
      </c>
      <c r="B437">
        <f>'Lista de productos'!B447</f>
        <v>0</v>
      </c>
      <c r="D437">
        <v>433</v>
      </c>
    </row>
    <row r="438" spans="1:4" x14ac:dyDescent="0.35">
      <c r="A438" t="e">
        <f>'Lista de productos'!#REF!</f>
        <v>#REF!</v>
      </c>
      <c r="B438">
        <f>'Lista de productos'!B448</f>
        <v>0</v>
      </c>
      <c r="D438">
        <v>434</v>
      </c>
    </row>
    <row r="439" spans="1:4" x14ac:dyDescent="0.35">
      <c r="A439" t="e">
        <f>'Lista de productos'!#REF!</f>
        <v>#REF!</v>
      </c>
      <c r="B439">
        <f>'Lista de productos'!B449</f>
        <v>0</v>
      </c>
      <c r="D439">
        <v>435</v>
      </c>
    </row>
    <row r="440" spans="1:4" x14ac:dyDescent="0.35">
      <c r="A440" t="e">
        <f>'Lista de productos'!#REF!</f>
        <v>#REF!</v>
      </c>
      <c r="B440">
        <f>'Lista de productos'!B450</f>
        <v>0</v>
      </c>
      <c r="D440">
        <v>436</v>
      </c>
    </row>
    <row r="441" spans="1:4" x14ac:dyDescent="0.35">
      <c r="A441" t="e">
        <f>'Lista de productos'!#REF!</f>
        <v>#REF!</v>
      </c>
      <c r="B441">
        <f>'Lista de productos'!B451</f>
        <v>0</v>
      </c>
      <c r="D441">
        <v>437</v>
      </c>
    </row>
    <row r="442" spans="1:4" x14ac:dyDescent="0.35">
      <c r="A442" t="e">
        <f>'Lista de productos'!#REF!</f>
        <v>#REF!</v>
      </c>
      <c r="B442">
        <f>'Lista de productos'!B452</f>
        <v>0</v>
      </c>
      <c r="D442">
        <v>438</v>
      </c>
    </row>
    <row r="443" spans="1:4" x14ac:dyDescent="0.35">
      <c r="A443" t="e">
        <f>'Lista de productos'!#REF!</f>
        <v>#REF!</v>
      </c>
      <c r="B443">
        <f>'Lista de productos'!B453</f>
        <v>0</v>
      </c>
      <c r="D443">
        <v>439</v>
      </c>
    </row>
    <row r="444" spans="1:4" x14ac:dyDescent="0.35">
      <c r="A444" t="e">
        <f>'Lista de productos'!#REF!</f>
        <v>#REF!</v>
      </c>
      <c r="B444">
        <f>'Lista de productos'!B454</f>
        <v>0</v>
      </c>
      <c r="D444">
        <v>440</v>
      </c>
    </row>
    <row r="445" spans="1:4" x14ac:dyDescent="0.35">
      <c r="A445" t="e">
        <f>'Lista de productos'!#REF!</f>
        <v>#REF!</v>
      </c>
      <c r="B445">
        <f>'Lista de productos'!B455</f>
        <v>0</v>
      </c>
      <c r="D445">
        <v>441</v>
      </c>
    </row>
    <row r="446" spans="1:4" x14ac:dyDescent="0.35">
      <c r="A446" t="e">
        <f>'Lista de productos'!#REF!</f>
        <v>#REF!</v>
      </c>
      <c r="B446">
        <f>'Lista de productos'!B456</f>
        <v>0</v>
      </c>
      <c r="D446">
        <v>442</v>
      </c>
    </row>
    <row r="447" spans="1:4" x14ac:dyDescent="0.35">
      <c r="A447" t="e">
        <f>'Lista de productos'!#REF!</f>
        <v>#REF!</v>
      </c>
      <c r="B447">
        <f>'Lista de productos'!B457</f>
        <v>0</v>
      </c>
      <c r="D447">
        <v>443</v>
      </c>
    </row>
    <row r="448" spans="1:4" x14ac:dyDescent="0.35">
      <c r="A448" t="e">
        <f>'Lista de productos'!#REF!</f>
        <v>#REF!</v>
      </c>
      <c r="B448">
        <f>'Lista de productos'!B458</f>
        <v>0</v>
      </c>
      <c r="D448">
        <v>444</v>
      </c>
    </row>
    <row r="449" spans="1:4" x14ac:dyDescent="0.35">
      <c r="A449" t="e">
        <f>'Lista de productos'!#REF!</f>
        <v>#REF!</v>
      </c>
      <c r="B449">
        <f>'Lista de productos'!B459</f>
        <v>0</v>
      </c>
      <c r="D449">
        <v>445</v>
      </c>
    </row>
    <row r="450" spans="1:4" x14ac:dyDescent="0.35">
      <c r="A450" t="e">
        <f>'Lista de productos'!#REF!</f>
        <v>#REF!</v>
      </c>
      <c r="B450">
        <f>'Lista de productos'!B460</f>
        <v>0</v>
      </c>
      <c r="D450">
        <v>446</v>
      </c>
    </row>
    <row r="451" spans="1:4" x14ac:dyDescent="0.35">
      <c r="A451" t="e">
        <f>'Lista de productos'!#REF!</f>
        <v>#REF!</v>
      </c>
      <c r="B451">
        <f>'Lista de productos'!B461</f>
        <v>0</v>
      </c>
      <c r="D451">
        <v>447</v>
      </c>
    </row>
    <row r="452" spans="1:4" x14ac:dyDescent="0.35">
      <c r="A452" t="e">
        <f>'Lista de productos'!#REF!</f>
        <v>#REF!</v>
      </c>
      <c r="B452">
        <f>'Lista de productos'!B462</f>
        <v>0</v>
      </c>
      <c r="D452">
        <v>448</v>
      </c>
    </row>
    <row r="453" spans="1:4" x14ac:dyDescent="0.35">
      <c r="A453" t="e">
        <f>'Lista de productos'!#REF!</f>
        <v>#REF!</v>
      </c>
      <c r="B453">
        <f>'Lista de productos'!B463</f>
        <v>0</v>
      </c>
      <c r="D453">
        <v>449</v>
      </c>
    </row>
    <row r="454" spans="1:4" x14ac:dyDescent="0.35">
      <c r="A454" t="e">
        <f>'Lista de productos'!#REF!</f>
        <v>#REF!</v>
      </c>
      <c r="B454">
        <f>'Lista de productos'!B464</f>
        <v>0</v>
      </c>
      <c r="D454">
        <v>450</v>
      </c>
    </row>
    <row r="455" spans="1:4" x14ac:dyDescent="0.35">
      <c r="A455" t="e">
        <f>'Lista de productos'!#REF!</f>
        <v>#REF!</v>
      </c>
      <c r="B455">
        <f>'Lista de productos'!B465</f>
        <v>0</v>
      </c>
      <c r="D455">
        <v>451</v>
      </c>
    </row>
    <row r="456" spans="1:4" x14ac:dyDescent="0.35">
      <c r="A456" t="e">
        <f>'Lista de productos'!#REF!</f>
        <v>#REF!</v>
      </c>
      <c r="B456">
        <f>'Lista de productos'!B466</f>
        <v>0</v>
      </c>
      <c r="D456">
        <v>452</v>
      </c>
    </row>
    <row r="457" spans="1:4" x14ac:dyDescent="0.35">
      <c r="A457" t="e">
        <f>'Lista de productos'!#REF!</f>
        <v>#REF!</v>
      </c>
      <c r="B457">
        <f>'Lista de productos'!B467</f>
        <v>0</v>
      </c>
      <c r="D457">
        <v>453</v>
      </c>
    </row>
    <row r="458" spans="1:4" x14ac:dyDescent="0.35">
      <c r="A458" t="e">
        <f>'Lista de productos'!#REF!</f>
        <v>#REF!</v>
      </c>
      <c r="B458">
        <f>'Lista de productos'!B468</f>
        <v>0</v>
      </c>
      <c r="D458">
        <v>454</v>
      </c>
    </row>
    <row r="459" spans="1:4" x14ac:dyDescent="0.35">
      <c r="A459" t="e">
        <f>'Lista de productos'!#REF!</f>
        <v>#REF!</v>
      </c>
      <c r="B459">
        <f>'Lista de productos'!B469</f>
        <v>0</v>
      </c>
      <c r="D459">
        <v>455</v>
      </c>
    </row>
    <row r="460" spans="1:4" x14ac:dyDescent="0.35">
      <c r="A460" t="e">
        <f>'Lista de productos'!#REF!</f>
        <v>#REF!</v>
      </c>
      <c r="B460">
        <f>'Lista de productos'!B470</f>
        <v>0</v>
      </c>
      <c r="D460">
        <v>456</v>
      </c>
    </row>
    <row r="461" spans="1:4" x14ac:dyDescent="0.35">
      <c r="A461" t="e">
        <f>'Lista de productos'!#REF!</f>
        <v>#REF!</v>
      </c>
      <c r="B461">
        <f>'Lista de productos'!B471</f>
        <v>0</v>
      </c>
      <c r="D461">
        <v>457</v>
      </c>
    </row>
    <row r="462" spans="1:4" x14ac:dyDescent="0.35">
      <c r="A462" t="e">
        <f>'Lista de productos'!#REF!</f>
        <v>#REF!</v>
      </c>
      <c r="B462">
        <f>'Lista de productos'!B472</f>
        <v>0</v>
      </c>
      <c r="D462">
        <v>458</v>
      </c>
    </row>
    <row r="463" spans="1:4" x14ac:dyDescent="0.35">
      <c r="A463" t="e">
        <f>'Lista de productos'!#REF!</f>
        <v>#REF!</v>
      </c>
      <c r="B463">
        <f>'Lista de productos'!B473</f>
        <v>0</v>
      </c>
      <c r="D463">
        <v>459</v>
      </c>
    </row>
    <row r="464" spans="1:4" x14ac:dyDescent="0.35">
      <c r="A464" t="e">
        <f>'Lista de productos'!#REF!</f>
        <v>#REF!</v>
      </c>
      <c r="B464">
        <f>'Lista de productos'!B474</f>
        <v>0</v>
      </c>
      <c r="D464">
        <v>460</v>
      </c>
    </row>
    <row r="465" spans="1:4" x14ac:dyDescent="0.35">
      <c r="A465" t="e">
        <f>'Lista de productos'!#REF!</f>
        <v>#REF!</v>
      </c>
      <c r="B465">
        <f>'Lista de productos'!B475</f>
        <v>0</v>
      </c>
      <c r="D465">
        <v>461</v>
      </c>
    </row>
    <row r="466" spans="1:4" x14ac:dyDescent="0.35">
      <c r="A466" t="e">
        <f>'Lista de productos'!#REF!</f>
        <v>#REF!</v>
      </c>
      <c r="B466">
        <f>'Lista de productos'!B476</f>
        <v>0</v>
      </c>
      <c r="D466">
        <v>462</v>
      </c>
    </row>
    <row r="467" spans="1:4" x14ac:dyDescent="0.35">
      <c r="A467" t="e">
        <f>'Lista de productos'!#REF!</f>
        <v>#REF!</v>
      </c>
      <c r="B467">
        <f>'Lista de productos'!B477</f>
        <v>0</v>
      </c>
      <c r="D467">
        <v>463</v>
      </c>
    </row>
    <row r="468" spans="1:4" x14ac:dyDescent="0.35">
      <c r="A468" t="e">
        <f>'Lista de productos'!#REF!</f>
        <v>#REF!</v>
      </c>
      <c r="B468">
        <f>'Lista de productos'!B478</f>
        <v>0</v>
      </c>
      <c r="D468">
        <v>464</v>
      </c>
    </row>
    <row r="469" spans="1:4" x14ac:dyDescent="0.35">
      <c r="A469" t="e">
        <f>'Lista de productos'!#REF!</f>
        <v>#REF!</v>
      </c>
      <c r="B469">
        <f>'Lista de productos'!B479</f>
        <v>0</v>
      </c>
      <c r="D469">
        <v>465</v>
      </c>
    </row>
    <row r="470" spans="1:4" x14ac:dyDescent="0.35">
      <c r="A470" t="e">
        <f>'Lista de productos'!#REF!</f>
        <v>#REF!</v>
      </c>
      <c r="B470">
        <f>'Lista de productos'!B480</f>
        <v>0</v>
      </c>
      <c r="D470">
        <v>466</v>
      </c>
    </row>
    <row r="471" spans="1:4" x14ac:dyDescent="0.35">
      <c r="A471" t="e">
        <f>'Lista de productos'!#REF!</f>
        <v>#REF!</v>
      </c>
      <c r="B471">
        <f>'Lista de productos'!B481</f>
        <v>0</v>
      </c>
      <c r="D471">
        <v>467</v>
      </c>
    </row>
    <row r="472" spans="1:4" x14ac:dyDescent="0.35">
      <c r="A472" t="e">
        <f>'Lista de productos'!#REF!</f>
        <v>#REF!</v>
      </c>
      <c r="B472">
        <f>'Lista de productos'!B482</f>
        <v>0</v>
      </c>
      <c r="D472">
        <v>468</v>
      </c>
    </row>
    <row r="473" spans="1:4" x14ac:dyDescent="0.35">
      <c r="A473" t="e">
        <f>'Lista de productos'!#REF!</f>
        <v>#REF!</v>
      </c>
      <c r="B473">
        <f>'Lista de productos'!B483</f>
        <v>0</v>
      </c>
      <c r="D473">
        <v>469</v>
      </c>
    </row>
    <row r="474" spans="1:4" x14ac:dyDescent="0.35">
      <c r="A474" t="e">
        <f>'Lista de productos'!#REF!</f>
        <v>#REF!</v>
      </c>
      <c r="B474">
        <f>'Lista de productos'!B484</f>
        <v>0</v>
      </c>
      <c r="D474">
        <v>470</v>
      </c>
    </row>
    <row r="475" spans="1:4" x14ac:dyDescent="0.35">
      <c r="A475" t="e">
        <f>'Lista de productos'!#REF!</f>
        <v>#REF!</v>
      </c>
      <c r="B475">
        <f>'Lista de productos'!B485</f>
        <v>0</v>
      </c>
      <c r="D475">
        <v>471</v>
      </c>
    </row>
    <row r="476" spans="1:4" x14ac:dyDescent="0.35">
      <c r="A476" t="e">
        <f>'Lista de productos'!#REF!</f>
        <v>#REF!</v>
      </c>
      <c r="B476">
        <f>'Lista de productos'!B486</f>
        <v>0</v>
      </c>
      <c r="D476">
        <v>472</v>
      </c>
    </row>
    <row r="477" spans="1:4" x14ac:dyDescent="0.35">
      <c r="A477" t="e">
        <f>'Lista de productos'!#REF!</f>
        <v>#REF!</v>
      </c>
      <c r="B477">
        <f>'Lista de productos'!B487</f>
        <v>0</v>
      </c>
      <c r="D477">
        <v>473</v>
      </c>
    </row>
    <row r="478" spans="1:4" x14ac:dyDescent="0.35">
      <c r="A478" t="e">
        <f>'Lista de productos'!#REF!</f>
        <v>#REF!</v>
      </c>
      <c r="B478">
        <f>'Lista de productos'!B488</f>
        <v>0</v>
      </c>
      <c r="D478">
        <v>474</v>
      </c>
    </row>
    <row r="479" spans="1:4" x14ac:dyDescent="0.35">
      <c r="A479" t="e">
        <f>'Lista de productos'!#REF!</f>
        <v>#REF!</v>
      </c>
      <c r="B479">
        <f>'Lista de productos'!B489</f>
        <v>0</v>
      </c>
      <c r="D479">
        <v>475</v>
      </c>
    </row>
    <row r="480" spans="1:4" x14ac:dyDescent="0.35">
      <c r="A480" t="e">
        <f>'Lista de productos'!#REF!</f>
        <v>#REF!</v>
      </c>
      <c r="B480">
        <f>'Lista de productos'!B490</f>
        <v>0</v>
      </c>
      <c r="D480">
        <v>476</v>
      </c>
    </row>
    <row r="481" spans="1:4" x14ac:dyDescent="0.35">
      <c r="A481" t="e">
        <f>'Lista de productos'!#REF!</f>
        <v>#REF!</v>
      </c>
      <c r="B481">
        <f>'Lista de productos'!B491</f>
        <v>0</v>
      </c>
      <c r="D481">
        <v>477</v>
      </c>
    </row>
    <row r="482" spans="1:4" x14ac:dyDescent="0.35">
      <c r="A482" t="e">
        <f>'Lista de productos'!#REF!</f>
        <v>#REF!</v>
      </c>
      <c r="B482">
        <f>'Lista de productos'!B492</f>
        <v>0</v>
      </c>
      <c r="D482">
        <v>478</v>
      </c>
    </row>
    <row r="483" spans="1:4" x14ac:dyDescent="0.35">
      <c r="A483" t="e">
        <f>'Lista de productos'!#REF!</f>
        <v>#REF!</v>
      </c>
      <c r="B483">
        <f>'Lista de productos'!B493</f>
        <v>0</v>
      </c>
      <c r="D483">
        <v>479</v>
      </c>
    </row>
    <row r="484" spans="1:4" x14ac:dyDescent="0.35">
      <c r="A484" t="e">
        <f>'Lista de productos'!#REF!</f>
        <v>#REF!</v>
      </c>
      <c r="B484">
        <f>'Lista de productos'!B494</f>
        <v>0</v>
      </c>
      <c r="D484">
        <v>480</v>
      </c>
    </row>
    <row r="485" spans="1:4" x14ac:dyDescent="0.35">
      <c r="A485" t="e">
        <f>'Lista de productos'!#REF!</f>
        <v>#REF!</v>
      </c>
      <c r="B485">
        <f>'Lista de productos'!B495</f>
        <v>0</v>
      </c>
      <c r="D485">
        <v>481</v>
      </c>
    </row>
    <row r="486" spans="1:4" x14ac:dyDescent="0.35">
      <c r="A486" t="e">
        <f>'Lista de productos'!#REF!</f>
        <v>#REF!</v>
      </c>
      <c r="B486">
        <f>'Lista de productos'!B496</f>
        <v>0</v>
      </c>
      <c r="D486">
        <v>482</v>
      </c>
    </row>
    <row r="487" spans="1:4" x14ac:dyDescent="0.35">
      <c r="A487" t="e">
        <f>'Lista de productos'!#REF!</f>
        <v>#REF!</v>
      </c>
      <c r="B487">
        <f>'Lista de productos'!B497</f>
        <v>0</v>
      </c>
      <c r="D487">
        <v>483</v>
      </c>
    </row>
    <row r="488" spans="1:4" x14ac:dyDescent="0.35">
      <c r="A488" t="e">
        <f>'Lista de productos'!#REF!</f>
        <v>#REF!</v>
      </c>
      <c r="B488">
        <f>'Lista de productos'!B498</f>
        <v>0</v>
      </c>
      <c r="D488">
        <v>484</v>
      </c>
    </row>
    <row r="489" spans="1:4" x14ac:dyDescent="0.35">
      <c r="A489" t="e">
        <f>'Lista de productos'!#REF!</f>
        <v>#REF!</v>
      </c>
      <c r="B489">
        <f>'Lista de productos'!B499</f>
        <v>0</v>
      </c>
      <c r="D489">
        <v>485</v>
      </c>
    </row>
    <row r="490" spans="1:4" x14ac:dyDescent="0.35">
      <c r="A490" t="e">
        <f>'Lista de productos'!#REF!</f>
        <v>#REF!</v>
      </c>
      <c r="B490">
        <f>'Lista de productos'!B500</f>
        <v>0</v>
      </c>
      <c r="D490">
        <v>486</v>
      </c>
    </row>
    <row r="491" spans="1:4" x14ac:dyDescent="0.35">
      <c r="A491" t="e">
        <f>'Lista de productos'!#REF!</f>
        <v>#REF!</v>
      </c>
      <c r="B491">
        <f>'Lista de productos'!B501</f>
        <v>0</v>
      </c>
      <c r="D491">
        <v>487</v>
      </c>
    </row>
    <row r="492" spans="1:4" x14ac:dyDescent="0.35">
      <c r="A492" t="e">
        <f>'Lista de productos'!#REF!</f>
        <v>#REF!</v>
      </c>
      <c r="B492">
        <f>'Lista de productos'!B502</f>
        <v>0</v>
      </c>
      <c r="D492">
        <v>488</v>
      </c>
    </row>
    <row r="493" spans="1:4" x14ac:dyDescent="0.35">
      <c r="A493" t="e">
        <f>'Lista de productos'!#REF!</f>
        <v>#REF!</v>
      </c>
      <c r="B493">
        <f>'Lista de productos'!B503</f>
        <v>0</v>
      </c>
      <c r="D493">
        <v>489</v>
      </c>
    </row>
    <row r="494" spans="1:4" x14ac:dyDescent="0.35">
      <c r="A494" t="e">
        <f>'Lista de productos'!#REF!</f>
        <v>#REF!</v>
      </c>
      <c r="B494">
        <f>'Lista de productos'!B504</f>
        <v>0</v>
      </c>
      <c r="D494">
        <v>490</v>
      </c>
    </row>
    <row r="495" spans="1:4" x14ac:dyDescent="0.35">
      <c r="A495" t="e">
        <f>'Lista de productos'!#REF!</f>
        <v>#REF!</v>
      </c>
      <c r="B495">
        <f>'Lista de productos'!B505</f>
        <v>0</v>
      </c>
      <c r="D495">
        <v>491</v>
      </c>
    </row>
    <row r="496" spans="1:4" x14ac:dyDescent="0.35">
      <c r="A496" t="e">
        <f>'Lista de productos'!#REF!</f>
        <v>#REF!</v>
      </c>
      <c r="B496">
        <f>'Lista de productos'!B506</f>
        <v>0</v>
      </c>
      <c r="D496">
        <v>492</v>
      </c>
    </row>
    <row r="497" spans="1:4" x14ac:dyDescent="0.35">
      <c r="A497" t="e">
        <f>'Lista de productos'!#REF!</f>
        <v>#REF!</v>
      </c>
      <c r="B497">
        <f>'Lista de productos'!B507</f>
        <v>0</v>
      </c>
      <c r="D497">
        <v>493</v>
      </c>
    </row>
    <row r="498" spans="1:4" x14ac:dyDescent="0.35">
      <c r="A498" t="e">
        <f>'Lista de productos'!#REF!</f>
        <v>#REF!</v>
      </c>
      <c r="B498">
        <f>'Lista de productos'!B508</f>
        <v>0</v>
      </c>
      <c r="D498">
        <v>494</v>
      </c>
    </row>
    <row r="499" spans="1:4" x14ac:dyDescent="0.35">
      <c r="A499" t="e">
        <f>'Lista de productos'!#REF!</f>
        <v>#REF!</v>
      </c>
      <c r="B499">
        <f>'Lista de productos'!B509</f>
        <v>0</v>
      </c>
      <c r="D499">
        <v>495</v>
      </c>
    </row>
    <row r="500" spans="1:4" x14ac:dyDescent="0.35">
      <c r="A500" t="e">
        <f>'Lista de productos'!#REF!</f>
        <v>#REF!</v>
      </c>
      <c r="B500">
        <f>'Lista de productos'!B510</f>
        <v>0</v>
      </c>
      <c r="D500">
        <v>496</v>
      </c>
    </row>
    <row r="501" spans="1:4" x14ac:dyDescent="0.35">
      <c r="A501" t="e">
        <f>'Lista de productos'!#REF!</f>
        <v>#REF!</v>
      </c>
      <c r="B501">
        <f>'Lista de productos'!B511</f>
        <v>0</v>
      </c>
      <c r="D501">
        <v>497</v>
      </c>
    </row>
    <row r="502" spans="1:4" x14ac:dyDescent="0.35">
      <c r="A502" t="e">
        <f>'Lista de productos'!#REF!</f>
        <v>#REF!</v>
      </c>
      <c r="B502">
        <f>'Lista de productos'!B512</f>
        <v>0</v>
      </c>
      <c r="D502">
        <v>498</v>
      </c>
    </row>
    <row r="503" spans="1:4" x14ac:dyDescent="0.35">
      <c r="A503" t="e">
        <f>'Lista de productos'!#REF!</f>
        <v>#REF!</v>
      </c>
      <c r="B503">
        <f>'Lista de productos'!B513</f>
        <v>0</v>
      </c>
      <c r="D503">
        <v>499</v>
      </c>
    </row>
    <row r="504" spans="1:4" x14ac:dyDescent="0.35">
      <c r="A504" t="e">
        <f>'Lista de productos'!#REF!</f>
        <v>#REF!</v>
      </c>
      <c r="B504">
        <f>'Lista de productos'!B514</f>
        <v>0</v>
      </c>
      <c r="D504">
        <v>500</v>
      </c>
    </row>
    <row r="505" spans="1:4" x14ac:dyDescent="0.35">
      <c r="A505" t="e">
        <f>'Lista de productos'!#REF!</f>
        <v>#REF!</v>
      </c>
      <c r="B505">
        <f>'Lista de productos'!B515</f>
        <v>0</v>
      </c>
      <c r="D505">
        <v>501</v>
      </c>
    </row>
    <row r="506" spans="1:4" x14ac:dyDescent="0.35">
      <c r="A506" t="e">
        <f>'Lista de productos'!#REF!</f>
        <v>#REF!</v>
      </c>
      <c r="B506">
        <f>'Lista de productos'!B516</f>
        <v>0</v>
      </c>
      <c r="D506">
        <v>502</v>
      </c>
    </row>
    <row r="507" spans="1:4" x14ac:dyDescent="0.35">
      <c r="A507" t="e">
        <f>'Lista de productos'!#REF!</f>
        <v>#REF!</v>
      </c>
      <c r="B507">
        <f>'Lista de productos'!B517</f>
        <v>0</v>
      </c>
      <c r="D507">
        <v>503</v>
      </c>
    </row>
    <row r="508" spans="1:4" x14ac:dyDescent="0.35">
      <c r="A508" t="e">
        <f>'Lista de productos'!#REF!</f>
        <v>#REF!</v>
      </c>
      <c r="B508">
        <f>'Lista de productos'!B518</f>
        <v>0</v>
      </c>
      <c r="D508">
        <v>504</v>
      </c>
    </row>
    <row r="509" spans="1:4" x14ac:dyDescent="0.35">
      <c r="A509" t="e">
        <f>'Lista de productos'!#REF!</f>
        <v>#REF!</v>
      </c>
      <c r="B509">
        <f>'Lista de productos'!B519</f>
        <v>0</v>
      </c>
      <c r="D509">
        <v>505</v>
      </c>
    </row>
    <row r="510" spans="1:4" x14ac:dyDescent="0.35">
      <c r="A510" t="e">
        <f>'Lista de productos'!#REF!</f>
        <v>#REF!</v>
      </c>
      <c r="B510">
        <f>'Lista de productos'!B520</f>
        <v>0</v>
      </c>
      <c r="D510">
        <v>506</v>
      </c>
    </row>
    <row r="511" spans="1:4" x14ac:dyDescent="0.35">
      <c r="A511" t="e">
        <f>'Lista de productos'!#REF!</f>
        <v>#REF!</v>
      </c>
      <c r="B511">
        <f>'Lista de productos'!B521</f>
        <v>0</v>
      </c>
      <c r="D511">
        <v>507</v>
      </c>
    </row>
    <row r="512" spans="1:4" x14ac:dyDescent="0.35">
      <c r="A512" t="e">
        <f>'Lista de productos'!#REF!</f>
        <v>#REF!</v>
      </c>
      <c r="B512">
        <f>'Lista de productos'!B522</f>
        <v>0</v>
      </c>
      <c r="D512">
        <v>508</v>
      </c>
    </row>
    <row r="513" spans="1:4" x14ac:dyDescent="0.35">
      <c r="A513" t="e">
        <f>'Lista de productos'!#REF!</f>
        <v>#REF!</v>
      </c>
      <c r="B513">
        <f>'Lista de productos'!B523</f>
        <v>0</v>
      </c>
      <c r="D513">
        <v>509</v>
      </c>
    </row>
    <row r="514" spans="1:4" x14ac:dyDescent="0.35">
      <c r="A514" t="e">
        <f>'Lista de productos'!#REF!</f>
        <v>#REF!</v>
      </c>
      <c r="B514">
        <f>'Lista de productos'!B524</f>
        <v>0</v>
      </c>
      <c r="D514">
        <v>510</v>
      </c>
    </row>
    <row r="515" spans="1:4" x14ac:dyDescent="0.35">
      <c r="A515" t="e">
        <f>'Lista de productos'!#REF!</f>
        <v>#REF!</v>
      </c>
      <c r="B515">
        <f>'Lista de productos'!B525</f>
        <v>0</v>
      </c>
      <c r="D515">
        <v>511</v>
      </c>
    </row>
    <row r="516" spans="1:4" x14ac:dyDescent="0.35">
      <c r="A516" t="e">
        <f>'Lista de productos'!#REF!</f>
        <v>#REF!</v>
      </c>
      <c r="B516">
        <f>'Lista de productos'!B526</f>
        <v>0</v>
      </c>
      <c r="D516">
        <v>512</v>
      </c>
    </row>
    <row r="517" spans="1:4" x14ac:dyDescent="0.35">
      <c r="A517" t="e">
        <f>'Lista de productos'!#REF!</f>
        <v>#REF!</v>
      </c>
      <c r="B517">
        <f>'Lista de productos'!B527</f>
        <v>0</v>
      </c>
      <c r="D517">
        <v>513</v>
      </c>
    </row>
    <row r="518" spans="1:4" x14ac:dyDescent="0.35">
      <c r="A518" t="e">
        <f>'Lista de productos'!#REF!</f>
        <v>#REF!</v>
      </c>
      <c r="B518">
        <f>'Lista de productos'!B528</f>
        <v>0</v>
      </c>
      <c r="D518">
        <v>514</v>
      </c>
    </row>
    <row r="519" spans="1:4" x14ac:dyDescent="0.35">
      <c r="A519" t="e">
        <f>'Lista de productos'!#REF!</f>
        <v>#REF!</v>
      </c>
      <c r="B519">
        <f>'Lista de productos'!B529</f>
        <v>0</v>
      </c>
      <c r="D519">
        <v>515</v>
      </c>
    </row>
    <row r="520" spans="1:4" x14ac:dyDescent="0.35">
      <c r="A520" t="e">
        <f>'Lista de productos'!#REF!</f>
        <v>#REF!</v>
      </c>
      <c r="B520">
        <f>'Lista de productos'!B530</f>
        <v>0</v>
      </c>
      <c r="D520">
        <v>516</v>
      </c>
    </row>
    <row r="521" spans="1:4" x14ac:dyDescent="0.35">
      <c r="A521" t="e">
        <f>'Lista de productos'!#REF!</f>
        <v>#REF!</v>
      </c>
      <c r="B521">
        <f>'Lista de productos'!B531</f>
        <v>0</v>
      </c>
      <c r="D521">
        <v>517</v>
      </c>
    </row>
    <row r="522" spans="1:4" x14ac:dyDescent="0.35">
      <c r="A522" t="e">
        <f>'Lista de productos'!#REF!</f>
        <v>#REF!</v>
      </c>
      <c r="B522">
        <f>'Lista de productos'!B532</f>
        <v>0</v>
      </c>
      <c r="D522">
        <v>518</v>
      </c>
    </row>
    <row r="523" spans="1:4" x14ac:dyDescent="0.35">
      <c r="A523" t="e">
        <f>'Lista de productos'!#REF!</f>
        <v>#REF!</v>
      </c>
      <c r="B523">
        <f>'Lista de productos'!B533</f>
        <v>0</v>
      </c>
      <c r="D523">
        <v>519</v>
      </c>
    </row>
    <row r="524" spans="1:4" x14ac:dyDescent="0.35">
      <c r="A524" t="e">
        <f>'Lista de productos'!#REF!</f>
        <v>#REF!</v>
      </c>
      <c r="B524">
        <f>'Lista de productos'!B534</f>
        <v>0</v>
      </c>
      <c r="D524">
        <v>520</v>
      </c>
    </row>
    <row r="525" spans="1:4" x14ac:dyDescent="0.35">
      <c r="A525" t="e">
        <f>'Lista de productos'!#REF!</f>
        <v>#REF!</v>
      </c>
      <c r="B525">
        <f>'Lista de productos'!B535</f>
        <v>0</v>
      </c>
      <c r="D525">
        <v>521</v>
      </c>
    </row>
    <row r="526" spans="1:4" x14ac:dyDescent="0.35">
      <c r="A526" t="e">
        <f>'Lista de productos'!#REF!</f>
        <v>#REF!</v>
      </c>
      <c r="B526">
        <f>'Lista de productos'!B536</f>
        <v>0</v>
      </c>
      <c r="D526">
        <v>522</v>
      </c>
    </row>
    <row r="527" spans="1:4" x14ac:dyDescent="0.35">
      <c r="A527" t="e">
        <f>'Lista de productos'!#REF!</f>
        <v>#REF!</v>
      </c>
      <c r="B527">
        <f>'Lista de productos'!B537</f>
        <v>0</v>
      </c>
      <c r="D527">
        <v>523</v>
      </c>
    </row>
    <row r="528" spans="1:4" x14ac:dyDescent="0.35">
      <c r="A528" t="e">
        <f>'Lista de productos'!#REF!</f>
        <v>#REF!</v>
      </c>
      <c r="B528">
        <f>'Lista de productos'!B538</f>
        <v>0</v>
      </c>
      <c r="D528">
        <v>524</v>
      </c>
    </row>
    <row r="529" spans="1:4" x14ac:dyDescent="0.35">
      <c r="A529" t="e">
        <f>'Lista de productos'!#REF!</f>
        <v>#REF!</v>
      </c>
      <c r="B529">
        <f>'Lista de productos'!B539</f>
        <v>0</v>
      </c>
      <c r="D529">
        <v>525</v>
      </c>
    </row>
    <row r="530" spans="1:4" x14ac:dyDescent="0.35">
      <c r="A530" t="e">
        <f>'Lista de productos'!#REF!</f>
        <v>#REF!</v>
      </c>
      <c r="B530">
        <f>'Lista de productos'!B540</f>
        <v>0</v>
      </c>
      <c r="D530">
        <v>526</v>
      </c>
    </row>
    <row r="531" spans="1:4" x14ac:dyDescent="0.35">
      <c r="A531" t="e">
        <f>'Lista de productos'!#REF!</f>
        <v>#REF!</v>
      </c>
      <c r="B531">
        <f>'Lista de productos'!B541</f>
        <v>0</v>
      </c>
      <c r="D531">
        <v>527</v>
      </c>
    </row>
    <row r="532" spans="1:4" x14ac:dyDescent="0.35">
      <c r="A532" t="e">
        <f>'Lista de productos'!#REF!</f>
        <v>#REF!</v>
      </c>
      <c r="B532">
        <f>'Lista de productos'!B542</f>
        <v>0</v>
      </c>
      <c r="D532">
        <v>528</v>
      </c>
    </row>
    <row r="533" spans="1:4" x14ac:dyDescent="0.35">
      <c r="A533" t="e">
        <f>'Lista de productos'!#REF!</f>
        <v>#REF!</v>
      </c>
      <c r="B533">
        <f>'Lista de productos'!B543</f>
        <v>0</v>
      </c>
      <c r="D533">
        <v>529</v>
      </c>
    </row>
    <row r="534" spans="1:4" x14ac:dyDescent="0.35">
      <c r="A534" t="e">
        <f>'Lista de productos'!#REF!</f>
        <v>#REF!</v>
      </c>
      <c r="B534">
        <f>'Lista de productos'!B544</f>
        <v>0</v>
      </c>
      <c r="D534">
        <v>530</v>
      </c>
    </row>
    <row r="535" spans="1:4" x14ac:dyDescent="0.35">
      <c r="A535" t="e">
        <f>'Lista de productos'!#REF!</f>
        <v>#REF!</v>
      </c>
      <c r="B535">
        <f>'Lista de productos'!B545</f>
        <v>0</v>
      </c>
      <c r="D535">
        <v>531</v>
      </c>
    </row>
    <row r="536" spans="1:4" x14ac:dyDescent="0.35">
      <c r="A536" t="e">
        <f>'Lista de productos'!#REF!</f>
        <v>#REF!</v>
      </c>
      <c r="B536">
        <f>'Lista de productos'!B546</f>
        <v>0</v>
      </c>
      <c r="D536">
        <v>532</v>
      </c>
    </row>
    <row r="537" spans="1:4" x14ac:dyDescent="0.35">
      <c r="A537" t="e">
        <f>'Lista de productos'!#REF!</f>
        <v>#REF!</v>
      </c>
      <c r="B537">
        <f>'Lista de productos'!B547</f>
        <v>0</v>
      </c>
      <c r="D537">
        <v>533</v>
      </c>
    </row>
    <row r="538" spans="1:4" x14ac:dyDescent="0.35">
      <c r="A538" t="e">
        <f>'Lista de productos'!#REF!</f>
        <v>#REF!</v>
      </c>
      <c r="B538">
        <f>'Lista de productos'!B548</f>
        <v>0</v>
      </c>
      <c r="D538">
        <v>534</v>
      </c>
    </row>
    <row r="539" spans="1:4" x14ac:dyDescent="0.35">
      <c r="A539" t="e">
        <f>'Lista de productos'!#REF!</f>
        <v>#REF!</v>
      </c>
      <c r="B539">
        <f>'Lista de productos'!B549</f>
        <v>0</v>
      </c>
      <c r="D539">
        <v>535</v>
      </c>
    </row>
    <row r="540" spans="1:4" x14ac:dyDescent="0.35">
      <c r="A540" t="e">
        <f>'Lista de productos'!#REF!</f>
        <v>#REF!</v>
      </c>
      <c r="B540">
        <f>'Lista de productos'!B550</f>
        <v>0</v>
      </c>
      <c r="D540">
        <v>536</v>
      </c>
    </row>
    <row r="541" spans="1:4" x14ac:dyDescent="0.35">
      <c r="A541" t="e">
        <f>'Lista de productos'!#REF!</f>
        <v>#REF!</v>
      </c>
      <c r="B541">
        <f>'Lista de productos'!B551</f>
        <v>0</v>
      </c>
      <c r="D541">
        <v>537</v>
      </c>
    </row>
    <row r="542" spans="1:4" x14ac:dyDescent="0.35">
      <c r="A542" t="e">
        <f>'Lista de productos'!#REF!</f>
        <v>#REF!</v>
      </c>
      <c r="B542">
        <f>'Lista de productos'!B552</f>
        <v>0</v>
      </c>
      <c r="D542">
        <v>538</v>
      </c>
    </row>
    <row r="543" spans="1:4" x14ac:dyDescent="0.35">
      <c r="A543" t="e">
        <f>'Lista de productos'!#REF!</f>
        <v>#REF!</v>
      </c>
      <c r="B543">
        <f>'Lista de productos'!B553</f>
        <v>0</v>
      </c>
      <c r="D543">
        <v>539</v>
      </c>
    </row>
    <row r="544" spans="1:4" x14ac:dyDescent="0.35">
      <c r="A544" t="e">
        <f>'Lista de productos'!#REF!</f>
        <v>#REF!</v>
      </c>
      <c r="B544">
        <f>'Lista de productos'!B554</f>
        <v>0</v>
      </c>
      <c r="D544">
        <v>540</v>
      </c>
    </row>
    <row r="545" spans="1:4" x14ac:dyDescent="0.35">
      <c r="A545" t="e">
        <f>'Lista de productos'!#REF!</f>
        <v>#REF!</v>
      </c>
      <c r="B545">
        <f>'Lista de productos'!B555</f>
        <v>0</v>
      </c>
      <c r="D545">
        <v>541</v>
      </c>
    </row>
    <row r="546" spans="1:4" x14ac:dyDescent="0.35">
      <c r="A546" t="e">
        <f>'Lista de productos'!#REF!</f>
        <v>#REF!</v>
      </c>
      <c r="B546">
        <f>'Lista de productos'!B556</f>
        <v>0</v>
      </c>
      <c r="D546">
        <v>542</v>
      </c>
    </row>
    <row r="547" spans="1:4" x14ac:dyDescent="0.35">
      <c r="A547" t="e">
        <f>'Lista de productos'!#REF!</f>
        <v>#REF!</v>
      </c>
      <c r="B547">
        <f>'Lista de productos'!B557</f>
        <v>0</v>
      </c>
      <c r="D547">
        <v>543</v>
      </c>
    </row>
    <row r="548" spans="1:4" x14ac:dyDescent="0.35">
      <c r="A548" t="e">
        <f>'Lista de productos'!#REF!</f>
        <v>#REF!</v>
      </c>
      <c r="B548">
        <f>'Lista de productos'!B558</f>
        <v>0</v>
      </c>
      <c r="D548">
        <v>544</v>
      </c>
    </row>
    <row r="549" spans="1:4" x14ac:dyDescent="0.35">
      <c r="A549" t="e">
        <f>'Lista de productos'!#REF!</f>
        <v>#REF!</v>
      </c>
      <c r="B549">
        <f>'Lista de productos'!B559</f>
        <v>0</v>
      </c>
      <c r="D549">
        <v>545</v>
      </c>
    </row>
    <row r="550" spans="1:4" x14ac:dyDescent="0.35">
      <c r="A550" t="e">
        <f>'Lista de productos'!#REF!</f>
        <v>#REF!</v>
      </c>
      <c r="B550">
        <f>'Lista de productos'!B560</f>
        <v>0</v>
      </c>
      <c r="D550">
        <v>546</v>
      </c>
    </row>
    <row r="551" spans="1:4" x14ac:dyDescent="0.35">
      <c r="A551" t="e">
        <f>'Lista de productos'!#REF!</f>
        <v>#REF!</v>
      </c>
      <c r="B551">
        <f>'Lista de productos'!B561</f>
        <v>0</v>
      </c>
      <c r="D551">
        <v>547</v>
      </c>
    </row>
    <row r="552" spans="1:4" x14ac:dyDescent="0.35">
      <c r="A552" t="e">
        <f>'Lista de productos'!#REF!</f>
        <v>#REF!</v>
      </c>
      <c r="B552">
        <f>'Lista de productos'!B562</f>
        <v>0</v>
      </c>
      <c r="D552">
        <v>548</v>
      </c>
    </row>
    <row r="553" spans="1:4" x14ac:dyDescent="0.35">
      <c r="A553" t="e">
        <f>'Lista de productos'!#REF!</f>
        <v>#REF!</v>
      </c>
      <c r="B553">
        <f>'Lista de productos'!B563</f>
        <v>0</v>
      </c>
      <c r="D553">
        <v>549</v>
      </c>
    </row>
    <row r="554" spans="1:4" x14ac:dyDescent="0.35">
      <c r="A554" t="e">
        <f>'Lista de productos'!#REF!</f>
        <v>#REF!</v>
      </c>
      <c r="B554">
        <f>'Lista de productos'!B564</f>
        <v>0</v>
      </c>
      <c r="D554">
        <v>550</v>
      </c>
    </row>
    <row r="555" spans="1:4" x14ac:dyDescent="0.35">
      <c r="A555" t="e">
        <f>'Lista de productos'!#REF!</f>
        <v>#REF!</v>
      </c>
      <c r="B555">
        <f>'Lista de productos'!B565</f>
        <v>0</v>
      </c>
      <c r="D555">
        <v>551</v>
      </c>
    </row>
    <row r="556" spans="1:4" x14ac:dyDescent="0.35">
      <c r="A556" t="e">
        <f>'Lista de productos'!#REF!</f>
        <v>#REF!</v>
      </c>
      <c r="B556">
        <f>'Lista de productos'!B566</f>
        <v>0</v>
      </c>
      <c r="D556">
        <v>552</v>
      </c>
    </row>
    <row r="557" spans="1:4" x14ac:dyDescent="0.35">
      <c r="A557" t="e">
        <f>'Lista de productos'!#REF!</f>
        <v>#REF!</v>
      </c>
      <c r="B557">
        <f>'Lista de productos'!B567</f>
        <v>0</v>
      </c>
      <c r="D557">
        <v>553</v>
      </c>
    </row>
    <row r="558" spans="1:4" x14ac:dyDescent="0.35">
      <c r="A558" t="e">
        <f>'Lista de productos'!#REF!</f>
        <v>#REF!</v>
      </c>
      <c r="B558">
        <f>'Lista de productos'!B568</f>
        <v>0</v>
      </c>
      <c r="D558">
        <v>554</v>
      </c>
    </row>
    <row r="559" spans="1:4" x14ac:dyDescent="0.35">
      <c r="A559" t="e">
        <f>'Lista de productos'!#REF!</f>
        <v>#REF!</v>
      </c>
      <c r="B559">
        <f>'Lista de productos'!B569</f>
        <v>0</v>
      </c>
      <c r="D559">
        <v>555</v>
      </c>
    </row>
    <row r="560" spans="1:4" x14ac:dyDescent="0.35">
      <c r="A560" t="e">
        <f>'Lista de productos'!#REF!</f>
        <v>#REF!</v>
      </c>
      <c r="B560">
        <f>'Lista de productos'!B570</f>
        <v>0</v>
      </c>
      <c r="D560">
        <v>556</v>
      </c>
    </row>
    <row r="561" spans="1:4" x14ac:dyDescent="0.35">
      <c r="A561" t="e">
        <f>'Lista de productos'!#REF!</f>
        <v>#REF!</v>
      </c>
      <c r="B561">
        <f>'Lista de productos'!B571</f>
        <v>0</v>
      </c>
      <c r="D561">
        <v>557</v>
      </c>
    </row>
    <row r="562" spans="1:4" x14ac:dyDescent="0.35">
      <c r="A562" t="e">
        <f>'Lista de productos'!#REF!</f>
        <v>#REF!</v>
      </c>
      <c r="B562">
        <f>'Lista de productos'!B572</f>
        <v>0</v>
      </c>
      <c r="D562">
        <v>558</v>
      </c>
    </row>
    <row r="563" spans="1:4" x14ac:dyDescent="0.35">
      <c r="A563" t="e">
        <f>'Lista de productos'!#REF!</f>
        <v>#REF!</v>
      </c>
      <c r="B563">
        <f>'Lista de productos'!B573</f>
        <v>0</v>
      </c>
      <c r="D563">
        <v>559</v>
      </c>
    </row>
    <row r="564" spans="1:4" x14ac:dyDescent="0.35">
      <c r="A564" t="e">
        <f>'Lista de productos'!#REF!</f>
        <v>#REF!</v>
      </c>
      <c r="B564">
        <f>'Lista de productos'!B574</f>
        <v>0</v>
      </c>
      <c r="D564">
        <v>560</v>
      </c>
    </row>
    <row r="565" spans="1:4" x14ac:dyDescent="0.35">
      <c r="A565" t="e">
        <f>'Lista de productos'!#REF!</f>
        <v>#REF!</v>
      </c>
      <c r="B565">
        <f>'Lista de productos'!B575</f>
        <v>0</v>
      </c>
      <c r="D565">
        <v>561</v>
      </c>
    </row>
    <row r="566" spans="1:4" x14ac:dyDescent="0.35">
      <c r="A566" t="e">
        <f>'Lista de productos'!#REF!</f>
        <v>#REF!</v>
      </c>
      <c r="B566">
        <f>'Lista de productos'!B576</f>
        <v>0</v>
      </c>
      <c r="D566">
        <v>562</v>
      </c>
    </row>
    <row r="567" spans="1:4" x14ac:dyDescent="0.35">
      <c r="A567" t="e">
        <f>'Lista de productos'!#REF!</f>
        <v>#REF!</v>
      </c>
      <c r="B567">
        <f>'Lista de productos'!B577</f>
        <v>0</v>
      </c>
      <c r="D567">
        <v>563</v>
      </c>
    </row>
    <row r="568" spans="1:4" x14ac:dyDescent="0.35">
      <c r="A568" t="e">
        <f>'Lista de productos'!#REF!</f>
        <v>#REF!</v>
      </c>
      <c r="B568">
        <f>'Lista de productos'!B578</f>
        <v>0</v>
      </c>
      <c r="D568">
        <v>564</v>
      </c>
    </row>
    <row r="569" spans="1:4" x14ac:dyDescent="0.35">
      <c r="A569" t="e">
        <f>'Lista de productos'!#REF!</f>
        <v>#REF!</v>
      </c>
      <c r="B569">
        <f>'Lista de productos'!B579</f>
        <v>0</v>
      </c>
      <c r="D569">
        <v>565</v>
      </c>
    </row>
    <row r="570" spans="1:4" x14ac:dyDescent="0.35">
      <c r="A570" t="e">
        <f>'Lista de productos'!#REF!</f>
        <v>#REF!</v>
      </c>
      <c r="B570">
        <f>'Lista de productos'!B580</f>
        <v>0</v>
      </c>
      <c r="D570">
        <v>566</v>
      </c>
    </row>
    <row r="571" spans="1:4" x14ac:dyDescent="0.35">
      <c r="A571" t="e">
        <f>'Lista de productos'!#REF!</f>
        <v>#REF!</v>
      </c>
      <c r="B571">
        <f>'Lista de productos'!B581</f>
        <v>0</v>
      </c>
      <c r="D571">
        <v>567</v>
      </c>
    </row>
    <row r="572" spans="1:4" x14ac:dyDescent="0.35">
      <c r="A572" t="e">
        <f>'Lista de productos'!#REF!</f>
        <v>#REF!</v>
      </c>
      <c r="B572">
        <f>'Lista de productos'!B582</f>
        <v>0</v>
      </c>
      <c r="D572">
        <v>568</v>
      </c>
    </row>
    <row r="573" spans="1:4" x14ac:dyDescent="0.35">
      <c r="A573" t="e">
        <f>'Lista de productos'!#REF!</f>
        <v>#REF!</v>
      </c>
      <c r="B573">
        <f>'Lista de productos'!B583</f>
        <v>0</v>
      </c>
      <c r="D573">
        <v>569</v>
      </c>
    </row>
    <row r="574" spans="1:4" x14ac:dyDescent="0.35">
      <c r="A574" t="e">
        <f>'Lista de productos'!#REF!</f>
        <v>#REF!</v>
      </c>
      <c r="B574">
        <f>'Lista de productos'!B584</f>
        <v>0</v>
      </c>
      <c r="D574">
        <v>570</v>
      </c>
    </row>
    <row r="575" spans="1:4" x14ac:dyDescent="0.35">
      <c r="A575" t="e">
        <f>'Lista de productos'!#REF!</f>
        <v>#REF!</v>
      </c>
      <c r="B575">
        <f>'Lista de productos'!B585</f>
        <v>0</v>
      </c>
      <c r="D575">
        <v>571</v>
      </c>
    </row>
    <row r="576" spans="1:4" x14ac:dyDescent="0.35">
      <c r="A576" t="e">
        <f>'Lista de productos'!#REF!</f>
        <v>#REF!</v>
      </c>
      <c r="B576">
        <f>'Lista de productos'!B586</f>
        <v>0</v>
      </c>
      <c r="D576">
        <v>572</v>
      </c>
    </row>
    <row r="577" spans="1:4" x14ac:dyDescent="0.35">
      <c r="A577" t="e">
        <f>'Lista de productos'!#REF!</f>
        <v>#REF!</v>
      </c>
      <c r="B577">
        <f>'Lista de productos'!B587</f>
        <v>0</v>
      </c>
      <c r="D577">
        <v>573</v>
      </c>
    </row>
    <row r="578" spans="1:4" x14ac:dyDescent="0.35">
      <c r="A578" t="e">
        <f>'Lista de productos'!#REF!</f>
        <v>#REF!</v>
      </c>
      <c r="B578">
        <f>'Lista de productos'!B588</f>
        <v>0</v>
      </c>
      <c r="D578">
        <v>574</v>
      </c>
    </row>
    <row r="579" spans="1:4" x14ac:dyDescent="0.35">
      <c r="A579" t="e">
        <f>'Lista de productos'!#REF!</f>
        <v>#REF!</v>
      </c>
      <c r="B579">
        <f>'Lista de productos'!B589</f>
        <v>0</v>
      </c>
      <c r="D579">
        <v>575</v>
      </c>
    </row>
    <row r="580" spans="1:4" x14ac:dyDescent="0.35">
      <c r="A580" t="e">
        <f>'Lista de productos'!#REF!</f>
        <v>#REF!</v>
      </c>
      <c r="B580">
        <f>'Lista de productos'!B590</f>
        <v>0</v>
      </c>
      <c r="D580">
        <v>576</v>
      </c>
    </row>
    <row r="581" spans="1:4" x14ac:dyDescent="0.35">
      <c r="A581" t="e">
        <f>'Lista de productos'!#REF!</f>
        <v>#REF!</v>
      </c>
      <c r="B581">
        <f>'Lista de productos'!B591</f>
        <v>0</v>
      </c>
      <c r="D581">
        <v>577</v>
      </c>
    </row>
    <row r="582" spans="1:4" x14ac:dyDescent="0.35">
      <c r="A582" t="e">
        <f>'Lista de productos'!#REF!</f>
        <v>#REF!</v>
      </c>
      <c r="B582">
        <f>'Lista de productos'!B592</f>
        <v>0</v>
      </c>
      <c r="D582">
        <v>578</v>
      </c>
    </row>
    <row r="583" spans="1:4" x14ac:dyDescent="0.35">
      <c r="A583" t="e">
        <f>'Lista de productos'!#REF!</f>
        <v>#REF!</v>
      </c>
      <c r="B583">
        <f>'Lista de productos'!B593</f>
        <v>0</v>
      </c>
      <c r="D583">
        <v>579</v>
      </c>
    </row>
    <row r="584" spans="1:4" x14ac:dyDescent="0.35">
      <c r="A584" t="e">
        <f>'Lista de productos'!#REF!</f>
        <v>#REF!</v>
      </c>
      <c r="B584">
        <f>'Lista de productos'!B594</f>
        <v>0</v>
      </c>
      <c r="D584">
        <v>580</v>
      </c>
    </row>
    <row r="585" spans="1:4" x14ac:dyDescent="0.35">
      <c r="A585" t="e">
        <f>'Lista de productos'!#REF!</f>
        <v>#REF!</v>
      </c>
      <c r="B585">
        <f>'Lista de productos'!B595</f>
        <v>0</v>
      </c>
      <c r="D585">
        <v>581</v>
      </c>
    </row>
    <row r="586" spans="1:4" x14ac:dyDescent="0.35">
      <c r="A586" t="e">
        <f>'Lista de productos'!#REF!</f>
        <v>#REF!</v>
      </c>
      <c r="B586">
        <f>'Lista de productos'!B596</f>
        <v>0</v>
      </c>
      <c r="D586">
        <v>582</v>
      </c>
    </row>
    <row r="587" spans="1:4" x14ac:dyDescent="0.35">
      <c r="A587" t="e">
        <f>'Lista de productos'!#REF!</f>
        <v>#REF!</v>
      </c>
      <c r="B587">
        <f>'Lista de productos'!B597</f>
        <v>0</v>
      </c>
      <c r="D587">
        <v>583</v>
      </c>
    </row>
    <row r="588" spans="1:4" x14ac:dyDescent="0.35">
      <c r="A588" t="e">
        <f>'Lista de productos'!#REF!</f>
        <v>#REF!</v>
      </c>
      <c r="B588">
        <f>'Lista de productos'!B598</f>
        <v>0</v>
      </c>
      <c r="D588">
        <v>584</v>
      </c>
    </row>
    <row r="589" spans="1:4" x14ac:dyDescent="0.35">
      <c r="A589" t="e">
        <f>'Lista de productos'!#REF!</f>
        <v>#REF!</v>
      </c>
      <c r="B589">
        <f>'Lista de productos'!B599</f>
        <v>0</v>
      </c>
      <c r="D589">
        <v>585</v>
      </c>
    </row>
    <row r="590" spans="1:4" x14ac:dyDescent="0.35">
      <c r="A590" t="e">
        <f>'Lista de productos'!#REF!</f>
        <v>#REF!</v>
      </c>
      <c r="B590">
        <f>'Lista de productos'!B600</f>
        <v>0</v>
      </c>
      <c r="D590">
        <v>586</v>
      </c>
    </row>
    <row r="591" spans="1:4" x14ac:dyDescent="0.35">
      <c r="A591" t="e">
        <f>'Lista de productos'!#REF!</f>
        <v>#REF!</v>
      </c>
      <c r="B591">
        <f>'Lista de productos'!B601</f>
        <v>0</v>
      </c>
      <c r="D591">
        <v>587</v>
      </c>
    </row>
    <row r="592" spans="1:4" x14ac:dyDescent="0.35">
      <c r="A592" t="e">
        <f>'Lista de productos'!#REF!</f>
        <v>#REF!</v>
      </c>
      <c r="B592">
        <f>'Lista de productos'!B602</f>
        <v>0</v>
      </c>
      <c r="D592">
        <v>588</v>
      </c>
    </row>
    <row r="593" spans="1:4" x14ac:dyDescent="0.35">
      <c r="A593" t="e">
        <f>'Lista de productos'!#REF!</f>
        <v>#REF!</v>
      </c>
      <c r="B593">
        <f>'Lista de productos'!B603</f>
        <v>0</v>
      </c>
      <c r="D593">
        <v>589</v>
      </c>
    </row>
    <row r="594" spans="1:4" x14ac:dyDescent="0.35">
      <c r="A594" t="e">
        <f>'Lista de productos'!#REF!</f>
        <v>#REF!</v>
      </c>
      <c r="B594">
        <f>'Lista de productos'!B604</f>
        <v>0</v>
      </c>
      <c r="D594">
        <v>590</v>
      </c>
    </row>
    <row r="595" spans="1:4" x14ac:dyDescent="0.35">
      <c r="A595" t="e">
        <f>'Lista de productos'!#REF!</f>
        <v>#REF!</v>
      </c>
      <c r="B595">
        <f>'Lista de productos'!B605</f>
        <v>0</v>
      </c>
      <c r="D595">
        <v>591</v>
      </c>
    </row>
    <row r="596" spans="1:4" x14ac:dyDescent="0.35">
      <c r="A596" t="e">
        <f>'Lista de productos'!#REF!</f>
        <v>#REF!</v>
      </c>
      <c r="B596">
        <f>'Lista de productos'!B606</f>
        <v>0</v>
      </c>
      <c r="D596">
        <v>592</v>
      </c>
    </row>
    <row r="597" spans="1:4" x14ac:dyDescent="0.35">
      <c r="A597" t="e">
        <f>'Lista de productos'!#REF!</f>
        <v>#REF!</v>
      </c>
      <c r="B597">
        <f>'Lista de productos'!B607</f>
        <v>0</v>
      </c>
      <c r="D597">
        <v>593</v>
      </c>
    </row>
    <row r="598" spans="1:4" x14ac:dyDescent="0.35">
      <c r="A598" t="e">
        <f>'Lista de productos'!#REF!</f>
        <v>#REF!</v>
      </c>
      <c r="B598">
        <f>'Lista de productos'!B608</f>
        <v>0</v>
      </c>
      <c r="D598">
        <v>594</v>
      </c>
    </row>
    <row r="599" spans="1:4" x14ac:dyDescent="0.35">
      <c r="A599" t="e">
        <f>'Lista de productos'!#REF!</f>
        <v>#REF!</v>
      </c>
      <c r="B599">
        <f>'Lista de productos'!B609</f>
        <v>0</v>
      </c>
      <c r="D599">
        <v>595</v>
      </c>
    </row>
    <row r="600" spans="1:4" x14ac:dyDescent="0.35">
      <c r="A600" t="e">
        <f>'Lista de productos'!#REF!</f>
        <v>#REF!</v>
      </c>
      <c r="B600">
        <f>'Lista de productos'!B610</f>
        <v>0</v>
      </c>
      <c r="D600">
        <v>596</v>
      </c>
    </row>
    <row r="601" spans="1:4" x14ac:dyDescent="0.35">
      <c r="A601" t="e">
        <f>'Lista de productos'!#REF!</f>
        <v>#REF!</v>
      </c>
      <c r="B601">
        <f>'Lista de productos'!B611</f>
        <v>0</v>
      </c>
      <c r="D601">
        <v>597</v>
      </c>
    </row>
    <row r="602" spans="1:4" x14ac:dyDescent="0.35">
      <c r="A602" t="e">
        <f>'Lista de productos'!#REF!</f>
        <v>#REF!</v>
      </c>
      <c r="B602">
        <f>'Lista de productos'!B612</f>
        <v>0</v>
      </c>
      <c r="D602">
        <v>598</v>
      </c>
    </row>
    <row r="603" spans="1:4" x14ac:dyDescent="0.35">
      <c r="A603" t="e">
        <f>'Lista de productos'!#REF!</f>
        <v>#REF!</v>
      </c>
      <c r="B603">
        <f>'Lista de productos'!B613</f>
        <v>0</v>
      </c>
      <c r="D603">
        <v>599</v>
      </c>
    </row>
    <row r="604" spans="1:4" x14ac:dyDescent="0.35">
      <c r="A604" t="e">
        <f>'Lista de productos'!#REF!</f>
        <v>#REF!</v>
      </c>
      <c r="B604">
        <f>'Lista de productos'!B614</f>
        <v>0</v>
      </c>
      <c r="D604">
        <v>600</v>
      </c>
    </row>
    <row r="605" spans="1:4" x14ac:dyDescent="0.35">
      <c r="A605" t="e">
        <f>'Lista de productos'!#REF!</f>
        <v>#REF!</v>
      </c>
      <c r="B605">
        <f>'Lista de productos'!B615</f>
        <v>0</v>
      </c>
      <c r="D605">
        <v>601</v>
      </c>
    </row>
    <row r="606" spans="1:4" x14ac:dyDescent="0.35">
      <c r="A606" t="e">
        <f>'Lista de productos'!#REF!</f>
        <v>#REF!</v>
      </c>
      <c r="B606">
        <f>'Lista de productos'!B616</f>
        <v>0</v>
      </c>
      <c r="D606">
        <v>602</v>
      </c>
    </row>
    <row r="607" spans="1:4" x14ac:dyDescent="0.35">
      <c r="A607" t="e">
        <f>'Lista de productos'!#REF!</f>
        <v>#REF!</v>
      </c>
      <c r="B607">
        <f>'Lista de productos'!B617</f>
        <v>0</v>
      </c>
      <c r="D607">
        <v>603</v>
      </c>
    </row>
    <row r="608" spans="1:4" x14ac:dyDescent="0.35">
      <c r="A608" t="e">
        <f>'Lista de productos'!#REF!</f>
        <v>#REF!</v>
      </c>
      <c r="B608">
        <f>'Lista de productos'!B618</f>
        <v>0</v>
      </c>
      <c r="D608">
        <v>604</v>
      </c>
    </row>
    <row r="609" spans="1:4" x14ac:dyDescent="0.35">
      <c r="A609" t="e">
        <f>'Lista de productos'!#REF!</f>
        <v>#REF!</v>
      </c>
      <c r="B609">
        <f>'Lista de productos'!B619</f>
        <v>0</v>
      </c>
      <c r="D609">
        <v>605</v>
      </c>
    </row>
    <row r="610" spans="1:4" x14ac:dyDescent="0.35">
      <c r="A610" t="e">
        <f>'Lista de productos'!#REF!</f>
        <v>#REF!</v>
      </c>
      <c r="B610">
        <f>'Lista de productos'!B620</f>
        <v>0</v>
      </c>
      <c r="D610">
        <v>606</v>
      </c>
    </row>
    <row r="611" spans="1:4" x14ac:dyDescent="0.35">
      <c r="A611" t="e">
        <f>'Lista de productos'!#REF!</f>
        <v>#REF!</v>
      </c>
      <c r="B611">
        <f>'Lista de productos'!B621</f>
        <v>0</v>
      </c>
      <c r="D611">
        <v>607</v>
      </c>
    </row>
    <row r="612" spans="1:4" x14ac:dyDescent="0.35">
      <c r="A612" t="e">
        <f>'Lista de productos'!#REF!</f>
        <v>#REF!</v>
      </c>
      <c r="B612">
        <f>'Lista de productos'!B622</f>
        <v>0</v>
      </c>
      <c r="D612">
        <v>608</v>
      </c>
    </row>
    <row r="613" spans="1:4" x14ac:dyDescent="0.35">
      <c r="A613" t="e">
        <f>'Lista de productos'!#REF!</f>
        <v>#REF!</v>
      </c>
      <c r="B613">
        <f>'Lista de productos'!B623</f>
        <v>0</v>
      </c>
      <c r="D613">
        <v>609</v>
      </c>
    </row>
    <row r="614" spans="1:4" x14ac:dyDescent="0.35">
      <c r="A614" t="e">
        <f>'Lista de productos'!#REF!</f>
        <v>#REF!</v>
      </c>
      <c r="B614">
        <f>'Lista de productos'!B624</f>
        <v>0</v>
      </c>
      <c r="D614">
        <v>610</v>
      </c>
    </row>
    <row r="615" spans="1:4" x14ac:dyDescent="0.35">
      <c r="A615" t="e">
        <f>'Lista de productos'!#REF!</f>
        <v>#REF!</v>
      </c>
      <c r="B615">
        <f>'Lista de productos'!B625</f>
        <v>0</v>
      </c>
      <c r="D615">
        <v>611</v>
      </c>
    </row>
    <row r="616" spans="1:4" x14ac:dyDescent="0.35">
      <c r="A616" t="e">
        <f>'Lista de productos'!#REF!</f>
        <v>#REF!</v>
      </c>
      <c r="B616">
        <f>'Lista de productos'!B626</f>
        <v>0</v>
      </c>
      <c r="D616">
        <v>612</v>
      </c>
    </row>
    <row r="617" spans="1:4" x14ac:dyDescent="0.35">
      <c r="A617" t="e">
        <f>'Lista de productos'!#REF!</f>
        <v>#REF!</v>
      </c>
      <c r="B617">
        <f>'Lista de productos'!B627</f>
        <v>0</v>
      </c>
      <c r="D617">
        <v>613</v>
      </c>
    </row>
    <row r="618" spans="1:4" x14ac:dyDescent="0.35">
      <c r="A618" t="e">
        <f>'Lista de productos'!#REF!</f>
        <v>#REF!</v>
      </c>
      <c r="B618">
        <f>'Lista de productos'!B628</f>
        <v>0</v>
      </c>
      <c r="D618">
        <v>614</v>
      </c>
    </row>
    <row r="619" spans="1:4" x14ac:dyDescent="0.35">
      <c r="A619" t="e">
        <f>'Lista de productos'!#REF!</f>
        <v>#REF!</v>
      </c>
      <c r="B619">
        <f>'Lista de productos'!B629</f>
        <v>0</v>
      </c>
      <c r="D619">
        <v>615</v>
      </c>
    </row>
    <row r="620" spans="1:4" x14ac:dyDescent="0.35">
      <c r="A620" t="e">
        <f>'Lista de productos'!#REF!</f>
        <v>#REF!</v>
      </c>
      <c r="B620">
        <f>'Lista de productos'!B630</f>
        <v>0</v>
      </c>
      <c r="D620">
        <v>616</v>
      </c>
    </row>
    <row r="621" spans="1:4" x14ac:dyDescent="0.35">
      <c r="A621" t="e">
        <f>'Lista de productos'!#REF!</f>
        <v>#REF!</v>
      </c>
      <c r="B621">
        <f>'Lista de productos'!B631</f>
        <v>0</v>
      </c>
      <c r="D621">
        <v>617</v>
      </c>
    </row>
    <row r="622" spans="1:4" x14ac:dyDescent="0.35">
      <c r="A622" t="e">
        <f>'Lista de productos'!#REF!</f>
        <v>#REF!</v>
      </c>
      <c r="B622">
        <f>'Lista de productos'!B632</f>
        <v>0</v>
      </c>
      <c r="D622">
        <v>618</v>
      </c>
    </row>
    <row r="623" spans="1:4" x14ac:dyDescent="0.35">
      <c r="A623" t="e">
        <f>'Lista de productos'!#REF!</f>
        <v>#REF!</v>
      </c>
      <c r="B623">
        <f>'Lista de productos'!B633</f>
        <v>0</v>
      </c>
      <c r="D623">
        <v>619</v>
      </c>
    </row>
    <row r="624" spans="1:4" x14ac:dyDescent="0.35">
      <c r="A624" t="e">
        <f>'Lista de productos'!#REF!</f>
        <v>#REF!</v>
      </c>
      <c r="B624">
        <f>'Lista de productos'!B634</f>
        <v>0</v>
      </c>
      <c r="D624">
        <v>620</v>
      </c>
    </row>
    <row r="625" spans="1:4" x14ac:dyDescent="0.35">
      <c r="A625" t="e">
        <f>'Lista de productos'!#REF!</f>
        <v>#REF!</v>
      </c>
      <c r="B625">
        <f>'Lista de productos'!B635</f>
        <v>0</v>
      </c>
      <c r="D625">
        <v>621</v>
      </c>
    </row>
    <row r="626" spans="1:4" x14ac:dyDescent="0.35">
      <c r="A626" t="e">
        <f>'Lista de productos'!#REF!</f>
        <v>#REF!</v>
      </c>
      <c r="B626">
        <f>'Lista de productos'!B636</f>
        <v>0</v>
      </c>
      <c r="D626">
        <v>622</v>
      </c>
    </row>
    <row r="627" spans="1:4" x14ac:dyDescent="0.35">
      <c r="A627" t="e">
        <f>'Lista de productos'!#REF!</f>
        <v>#REF!</v>
      </c>
      <c r="B627">
        <f>'Lista de productos'!B637</f>
        <v>0</v>
      </c>
      <c r="D627">
        <v>623</v>
      </c>
    </row>
    <row r="628" spans="1:4" x14ac:dyDescent="0.35">
      <c r="A628" t="e">
        <f>'Lista de productos'!#REF!</f>
        <v>#REF!</v>
      </c>
      <c r="B628">
        <f>'Lista de productos'!B638</f>
        <v>0</v>
      </c>
      <c r="D628">
        <v>624</v>
      </c>
    </row>
    <row r="629" spans="1:4" x14ac:dyDescent="0.35">
      <c r="A629" t="e">
        <f>'Lista de productos'!#REF!</f>
        <v>#REF!</v>
      </c>
      <c r="B629">
        <f>'Lista de productos'!B639</f>
        <v>0</v>
      </c>
      <c r="D629">
        <v>625</v>
      </c>
    </row>
    <row r="630" spans="1:4" x14ac:dyDescent="0.35">
      <c r="A630" t="e">
        <f>'Lista de productos'!#REF!</f>
        <v>#REF!</v>
      </c>
      <c r="B630">
        <f>'Lista de productos'!B640</f>
        <v>0</v>
      </c>
      <c r="D630">
        <v>626</v>
      </c>
    </row>
    <row r="631" spans="1:4" x14ac:dyDescent="0.35">
      <c r="A631" t="e">
        <f>'Lista de productos'!#REF!</f>
        <v>#REF!</v>
      </c>
      <c r="B631">
        <f>'Lista de productos'!B641</f>
        <v>0</v>
      </c>
      <c r="D631">
        <v>627</v>
      </c>
    </row>
    <row r="632" spans="1:4" x14ac:dyDescent="0.35">
      <c r="A632" t="e">
        <f>'Lista de productos'!#REF!</f>
        <v>#REF!</v>
      </c>
      <c r="B632">
        <f>'Lista de productos'!B642</f>
        <v>0</v>
      </c>
      <c r="D632">
        <v>628</v>
      </c>
    </row>
    <row r="633" spans="1:4" x14ac:dyDescent="0.35">
      <c r="A633" t="e">
        <f>'Lista de productos'!#REF!</f>
        <v>#REF!</v>
      </c>
      <c r="B633">
        <f>'Lista de productos'!B643</f>
        <v>0</v>
      </c>
      <c r="D633">
        <v>629</v>
      </c>
    </row>
    <row r="634" spans="1:4" x14ac:dyDescent="0.35">
      <c r="A634" t="e">
        <f>'Lista de productos'!#REF!</f>
        <v>#REF!</v>
      </c>
      <c r="B634">
        <f>'Lista de productos'!B644</f>
        <v>0</v>
      </c>
      <c r="D634">
        <v>630</v>
      </c>
    </row>
    <row r="635" spans="1:4" x14ac:dyDescent="0.35">
      <c r="A635" t="e">
        <f>'Lista de productos'!#REF!</f>
        <v>#REF!</v>
      </c>
      <c r="B635">
        <f>'Lista de productos'!B645</f>
        <v>0</v>
      </c>
      <c r="D635">
        <v>631</v>
      </c>
    </row>
    <row r="636" spans="1:4" x14ac:dyDescent="0.35">
      <c r="A636" t="e">
        <f>'Lista de productos'!#REF!</f>
        <v>#REF!</v>
      </c>
      <c r="B636">
        <f>'Lista de productos'!B646</f>
        <v>0</v>
      </c>
      <c r="D636">
        <v>632</v>
      </c>
    </row>
    <row r="637" spans="1:4" x14ac:dyDescent="0.35">
      <c r="A637" t="e">
        <f>'Lista de productos'!#REF!</f>
        <v>#REF!</v>
      </c>
      <c r="B637">
        <f>'Lista de productos'!B647</f>
        <v>0</v>
      </c>
      <c r="D637">
        <v>633</v>
      </c>
    </row>
    <row r="638" spans="1:4" x14ac:dyDescent="0.35">
      <c r="A638" t="e">
        <f>'Lista de productos'!#REF!</f>
        <v>#REF!</v>
      </c>
      <c r="B638">
        <f>'Lista de productos'!B648</f>
        <v>0</v>
      </c>
      <c r="D638">
        <v>634</v>
      </c>
    </row>
    <row r="639" spans="1:4" x14ac:dyDescent="0.35">
      <c r="A639" t="e">
        <f>'Lista de productos'!#REF!</f>
        <v>#REF!</v>
      </c>
      <c r="B639">
        <f>'Lista de productos'!B649</f>
        <v>0</v>
      </c>
      <c r="D639">
        <v>635</v>
      </c>
    </row>
    <row r="640" spans="1:4" x14ac:dyDescent="0.35">
      <c r="A640" t="e">
        <f>'Lista de productos'!#REF!</f>
        <v>#REF!</v>
      </c>
      <c r="B640">
        <f>'Lista de productos'!B650</f>
        <v>0</v>
      </c>
      <c r="D640">
        <v>636</v>
      </c>
    </row>
    <row r="641" spans="1:4" x14ac:dyDescent="0.35">
      <c r="A641" t="e">
        <f>'Lista de productos'!#REF!</f>
        <v>#REF!</v>
      </c>
      <c r="B641">
        <f>'Lista de productos'!B651</f>
        <v>0</v>
      </c>
      <c r="D641">
        <v>637</v>
      </c>
    </row>
    <row r="642" spans="1:4" x14ac:dyDescent="0.35">
      <c r="A642" t="e">
        <f>'Lista de productos'!#REF!</f>
        <v>#REF!</v>
      </c>
      <c r="B642">
        <f>'Lista de productos'!B652</f>
        <v>0</v>
      </c>
      <c r="D642">
        <v>638</v>
      </c>
    </row>
    <row r="643" spans="1:4" x14ac:dyDescent="0.35">
      <c r="A643" t="e">
        <f>'Lista de productos'!#REF!</f>
        <v>#REF!</v>
      </c>
      <c r="B643">
        <f>'Lista de productos'!B653</f>
        <v>0</v>
      </c>
      <c r="D643">
        <v>639</v>
      </c>
    </row>
    <row r="644" spans="1:4" x14ac:dyDescent="0.35">
      <c r="A644" t="e">
        <f>'Lista de productos'!#REF!</f>
        <v>#REF!</v>
      </c>
      <c r="B644">
        <f>'Lista de productos'!B654</f>
        <v>0</v>
      </c>
      <c r="D644">
        <v>640</v>
      </c>
    </row>
    <row r="645" spans="1:4" x14ac:dyDescent="0.35">
      <c r="A645" t="e">
        <f>'Lista de productos'!#REF!</f>
        <v>#REF!</v>
      </c>
      <c r="B645">
        <f>'Lista de productos'!B655</f>
        <v>0</v>
      </c>
      <c r="D645">
        <v>641</v>
      </c>
    </row>
    <row r="646" spans="1:4" x14ac:dyDescent="0.35">
      <c r="A646" t="e">
        <f>'Lista de productos'!#REF!</f>
        <v>#REF!</v>
      </c>
      <c r="B646">
        <f>'Lista de productos'!B656</f>
        <v>0</v>
      </c>
      <c r="D646">
        <v>642</v>
      </c>
    </row>
    <row r="647" spans="1:4" x14ac:dyDescent="0.35">
      <c r="A647" t="e">
        <f>'Lista de productos'!#REF!</f>
        <v>#REF!</v>
      </c>
      <c r="B647">
        <f>'Lista de productos'!B657</f>
        <v>0</v>
      </c>
      <c r="D647">
        <v>643</v>
      </c>
    </row>
    <row r="648" spans="1:4" x14ac:dyDescent="0.35">
      <c r="A648" t="e">
        <f>'Lista de productos'!#REF!</f>
        <v>#REF!</v>
      </c>
      <c r="B648">
        <f>'Lista de productos'!B658</f>
        <v>0</v>
      </c>
      <c r="D648">
        <v>644</v>
      </c>
    </row>
    <row r="649" spans="1:4" x14ac:dyDescent="0.35">
      <c r="A649" t="e">
        <f>'Lista de productos'!#REF!</f>
        <v>#REF!</v>
      </c>
      <c r="B649">
        <f>'Lista de productos'!B659</f>
        <v>0</v>
      </c>
      <c r="D649">
        <v>645</v>
      </c>
    </row>
    <row r="650" spans="1:4" x14ac:dyDescent="0.35">
      <c r="A650" t="e">
        <f>'Lista de productos'!#REF!</f>
        <v>#REF!</v>
      </c>
      <c r="B650">
        <f>'Lista de productos'!B660</f>
        <v>0</v>
      </c>
      <c r="D650">
        <v>646</v>
      </c>
    </row>
    <row r="651" spans="1:4" x14ac:dyDescent="0.35">
      <c r="A651" t="e">
        <f>'Lista de productos'!#REF!</f>
        <v>#REF!</v>
      </c>
      <c r="B651">
        <f>'Lista de productos'!B661</f>
        <v>0</v>
      </c>
      <c r="D651">
        <v>647</v>
      </c>
    </row>
    <row r="652" spans="1:4" x14ac:dyDescent="0.35">
      <c r="A652" t="e">
        <f>'Lista de productos'!#REF!</f>
        <v>#REF!</v>
      </c>
      <c r="B652">
        <f>'Lista de productos'!B662</f>
        <v>0</v>
      </c>
      <c r="D652">
        <v>648</v>
      </c>
    </row>
    <row r="653" spans="1:4" x14ac:dyDescent="0.35">
      <c r="A653" t="e">
        <f>'Lista de productos'!#REF!</f>
        <v>#REF!</v>
      </c>
      <c r="B653">
        <f>'Lista de productos'!B663</f>
        <v>0</v>
      </c>
      <c r="D653">
        <v>649</v>
      </c>
    </row>
    <row r="654" spans="1:4" x14ac:dyDescent="0.35">
      <c r="A654" t="e">
        <f>'Lista de productos'!#REF!</f>
        <v>#REF!</v>
      </c>
      <c r="B654">
        <f>'Lista de productos'!B664</f>
        <v>0</v>
      </c>
      <c r="D654">
        <v>650</v>
      </c>
    </row>
    <row r="655" spans="1:4" x14ac:dyDescent="0.35">
      <c r="A655" t="e">
        <f>'Lista de productos'!#REF!</f>
        <v>#REF!</v>
      </c>
      <c r="B655">
        <f>'Lista de productos'!B665</f>
        <v>0</v>
      </c>
      <c r="D655">
        <v>651</v>
      </c>
    </row>
    <row r="656" spans="1:4" x14ac:dyDescent="0.35">
      <c r="A656" t="e">
        <f>'Lista de productos'!#REF!</f>
        <v>#REF!</v>
      </c>
      <c r="B656">
        <f>'Lista de productos'!B666</f>
        <v>0</v>
      </c>
      <c r="D656">
        <v>652</v>
      </c>
    </row>
    <row r="657" spans="1:4" x14ac:dyDescent="0.35">
      <c r="A657" t="e">
        <f>'Lista de productos'!#REF!</f>
        <v>#REF!</v>
      </c>
      <c r="B657">
        <f>'Lista de productos'!B667</f>
        <v>0</v>
      </c>
      <c r="D657">
        <v>653</v>
      </c>
    </row>
    <row r="658" spans="1:4" x14ac:dyDescent="0.35">
      <c r="A658" t="e">
        <f>'Lista de productos'!#REF!</f>
        <v>#REF!</v>
      </c>
      <c r="B658">
        <f>'Lista de productos'!B668</f>
        <v>0</v>
      </c>
      <c r="D658">
        <v>654</v>
      </c>
    </row>
    <row r="659" spans="1:4" x14ac:dyDescent="0.35">
      <c r="A659" t="e">
        <f>'Lista de productos'!#REF!</f>
        <v>#REF!</v>
      </c>
      <c r="B659">
        <f>'Lista de productos'!B669</f>
        <v>0</v>
      </c>
      <c r="D659">
        <v>655</v>
      </c>
    </row>
    <row r="660" spans="1:4" x14ac:dyDescent="0.35">
      <c r="A660" t="e">
        <f>'Lista de productos'!#REF!</f>
        <v>#REF!</v>
      </c>
      <c r="B660">
        <f>'Lista de productos'!B670</f>
        <v>0</v>
      </c>
      <c r="D660">
        <v>656</v>
      </c>
    </row>
    <row r="661" spans="1:4" x14ac:dyDescent="0.35">
      <c r="A661" t="e">
        <f>'Lista de productos'!#REF!</f>
        <v>#REF!</v>
      </c>
      <c r="B661">
        <f>'Lista de productos'!B671</f>
        <v>0</v>
      </c>
      <c r="D661">
        <v>657</v>
      </c>
    </row>
    <row r="662" spans="1:4" x14ac:dyDescent="0.35">
      <c r="A662" t="e">
        <f>'Lista de productos'!#REF!</f>
        <v>#REF!</v>
      </c>
      <c r="B662">
        <f>'Lista de productos'!B672</f>
        <v>0</v>
      </c>
      <c r="D662">
        <v>658</v>
      </c>
    </row>
    <row r="663" spans="1:4" x14ac:dyDescent="0.35">
      <c r="A663" t="e">
        <f>'Lista de productos'!#REF!</f>
        <v>#REF!</v>
      </c>
      <c r="B663">
        <f>'Lista de productos'!B673</f>
        <v>0</v>
      </c>
      <c r="D663">
        <v>659</v>
      </c>
    </row>
    <row r="664" spans="1:4" x14ac:dyDescent="0.35">
      <c r="A664" t="e">
        <f>'Lista de productos'!#REF!</f>
        <v>#REF!</v>
      </c>
      <c r="B664">
        <f>'Lista de productos'!B674</f>
        <v>0</v>
      </c>
      <c r="D664">
        <v>660</v>
      </c>
    </row>
    <row r="665" spans="1:4" x14ac:dyDescent="0.35">
      <c r="A665" t="e">
        <f>'Lista de productos'!#REF!</f>
        <v>#REF!</v>
      </c>
      <c r="B665">
        <f>'Lista de productos'!B675</f>
        <v>0</v>
      </c>
      <c r="D665">
        <v>661</v>
      </c>
    </row>
    <row r="666" spans="1:4" x14ac:dyDescent="0.35">
      <c r="A666" t="e">
        <f>'Lista de productos'!#REF!</f>
        <v>#REF!</v>
      </c>
      <c r="B666">
        <f>'Lista de productos'!B676</f>
        <v>0</v>
      </c>
      <c r="D666">
        <v>662</v>
      </c>
    </row>
    <row r="667" spans="1:4" x14ac:dyDescent="0.35">
      <c r="A667" t="e">
        <f>'Lista de productos'!#REF!</f>
        <v>#REF!</v>
      </c>
      <c r="B667">
        <f>'Lista de productos'!B677</f>
        <v>0</v>
      </c>
      <c r="D667">
        <v>663</v>
      </c>
    </row>
    <row r="668" spans="1:4" x14ac:dyDescent="0.35">
      <c r="A668" t="e">
        <f>'Lista de productos'!#REF!</f>
        <v>#REF!</v>
      </c>
      <c r="B668">
        <f>'Lista de productos'!B678</f>
        <v>0</v>
      </c>
      <c r="D668">
        <v>664</v>
      </c>
    </row>
    <row r="669" spans="1:4" x14ac:dyDescent="0.35">
      <c r="A669" t="e">
        <f>'Lista de productos'!#REF!</f>
        <v>#REF!</v>
      </c>
      <c r="B669">
        <f>'Lista de productos'!B679</f>
        <v>0</v>
      </c>
      <c r="D669">
        <v>665</v>
      </c>
    </row>
    <row r="670" spans="1:4" x14ac:dyDescent="0.35">
      <c r="A670" t="e">
        <f>'Lista de productos'!#REF!</f>
        <v>#REF!</v>
      </c>
      <c r="B670">
        <f>'Lista de productos'!B680</f>
        <v>0</v>
      </c>
      <c r="D670">
        <v>666</v>
      </c>
    </row>
    <row r="671" spans="1:4" x14ac:dyDescent="0.35">
      <c r="A671" t="e">
        <f>'Lista de productos'!#REF!</f>
        <v>#REF!</v>
      </c>
      <c r="B671">
        <f>'Lista de productos'!B681</f>
        <v>0</v>
      </c>
      <c r="D671">
        <v>667</v>
      </c>
    </row>
    <row r="672" spans="1:4" x14ac:dyDescent="0.35">
      <c r="A672" t="e">
        <f>'Lista de productos'!#REF!</f>
        <v>#REF!</v>
      </c>
      <c r="B672">
        <f>'Lista de productos'!B682</f>
        <v>0</v>
      </c>
      <c r="D672">
        <v>668</v>
      </c>
    </row>
    <row r="673" spans="1:4" x14ac:dyDescent="0.35">
      <c r="A673" t="e">
        <f>'Lista de productos'!#REF!</f>
        <v>#REF!</v>
      </c>
      <c r="B673">
        <f>'Lista de productos'!B683</f>
        <v>0</v>
      </c>
      <c r="D673">
        <v>669</v>
      </c>
    </row>
    <row r="674" spans="1:4" x14ac:dyDescent="0.35">
      <c r="A674" t="e">
        <f>'Lista de productos'!#REF!</f>
        <v>#REF!</v>
      </c>
      <c r="B674">
        <f>'Lista de productos'!B684</f>
        <v>0</v>
      </c>
      <c r="D674">
        <v>670</v>
      </c>
    </row>
    <row r="675" spans="1:4" x14ac:dyDescent="0.35">
      <c r="A675" t="e">
        <f>'Lista de productos'!#REF!</f>
        <v>#REF!</v>
      </c>
      <c r="B675">
        <f>'Lista de productos'!B685</f>
        <v>0</v>
      </c>
      <c r="D675">
        <v>671</v>
      </c>
    </row>
    <row r="676" spans="1:4" x14ac:dyDescent="0.35">
      <c r="A676" t="e">
        <f>'Lista de productos'!#REF!</f>
        <v>#REF!</v>
      </c>
      <c r="B676">
        <f>'Lista de productos'!B686</f>
        <v>0</v>
      </c>
      <c r="D676">
        <v>672</v>
      </c>
    </row>
    <row r="677" spans="1:4" x14ac:dyDescent="0.35">
      <c r="A677" t="e">
        <f>'Lista de productos'!#REF!</f>
        <v>#REF!</v>
      </c>
      <c r="B677">
        <f>'Lista de productos'!B687</f>
        <v>0</v>
      </c>
      <c r="D677">
        <v>673</v>
      </c>
    </row>
    <row r="678" spans="1:4" x14ac:dyDescent="0.35">
      <c r="A678" t="e">
        <f>'Lista de productos'!#REF!</f>
        <v>#REF!</v>
      </c>
      <c r="B678">
        <f>'Lista de productos'!B688</f>
        <v>0</v>
      </c>
      <c r="D678">
        <v>674</v>
      </c>
    </row>
    <row r="679" spans="1:4" x14ac:dyDescent="0.35">
      <c r="A679" t="e">
        <f>'Lista de productos'!#REF!</f>
        <v>#REF!</v>
      </c>
      <c r="B679">
        <f>'Lista de productos'!B689</f>
        <v>0</v>
      </c>
      <c r="D679">
        <v>675</v>
      </c>
    </row>
    <row r="680" spans="1:4" x14ac:dyDescent="0.35">
      <c r="A680" t="e">
        <f>'Lista de productos'!#REF!</f>
        <v>#REF!</v>
      </c>
      <c r="B680">
        <f>'Lista de productos'!B690</f>
        <v>0</v>
      </c>
      <c r="D680">
        <v>676</v>
      </c>
    </row>
    <row r="681" spans="1:4" x14ac:dyDescent="0.35">
      <c r="A681" t="e">
        <f>'Lista de productos'!#REF!</f>
        <v>#REF!</v>
      </c>
      <c r="B681">
        <f>'Lista de productos'!B691</f>
        <v>0</v>
      </c>
      <c r="D681">
        <v>677</v>
      </c>
    </row>
    <row r="682" spans="1:4" x14ac:dyDescent="0.35">
      <c r="A682" t="e">
        <f>'Lista de productos'!#REF!</f>
        <v>#REF!</v>
      </c>
      <c r="B682">
        <f>'Lista de productos'!B692</f>
        <v>0</v>
      </c>
      <c r="D682">
        <v>678</v>
      </c>
    </row>
    <row r="683" spans="1:4" x14ac:dyDescent="0.35">
      <c r="A683" t="e">
        <f>'Lista de productos'!#REF!</f>
        <v>#REF!</v>
      </c>
      <c r="B683">
        <f>'Lista de productos'!B693</f>
        <v>0</v>
      </c>
      <c r="D683">
        <v>679</v>
      </c>
    </row>
    <row r="684" spans="1:4" x14ac:dyDescent="0.35">
      <c r="A684" t="e">
        <f>'Lista de productos'!#REF!</f>
        <v>#REF!</v>
      </c>
      <c r="B684">
        <f>'Lista de productos'!B694</f>
        <v>0</v>
      </c>
      <c r="D684">
        <v>680</v>
      </c>
    </row>
    <row r="685" spans="1:4" x14ac:dyDescent="0.35">
      <c r="A685" t="e">
        <f>'Lista de productos'!#REF!</f>
        <v>#REF!</v>
      </c>
      <c r="B685">
        <f>'Lista de productos'!B695</f>
        <v>0</v>
      </c>
      <c r="D685">
        <v>681</v>
      </c>
    </row>
    <row r="686" spans="1:4" x14ac:dyDescent="0.35">
      <c r="A686" t="e">
        <f>'Lista de productos'!#REF!</f>
        <v>#REF!</v>
      </c>
      <c r="B686">
        <f>'Lista de productos'!B696</f>
        <v>0</v>
      </c>
      <c r="D686">
        <v>682</v>
      </c>
    </row>
    <row r="687" spans="1:4" x14ac:dyDescent="0.35">
      <c r="A687" t="e">
        <f>'Lista de productos'!#REF!</f>
        <v>#REF!</v>
      </c>
      <c r="B687">
        <f>'Lista de productos'!B697</f>
        <v>0</v>
      </c>
      <c r="D687">
        <v>683</v>
      </c>
    </row>
    <row r="688" spans="1:4" x14ac:dyDescent="0.35">
      <c r="A688" t="e">
        <f>'Lista de productos'!#REF!</f>
        <v>#REF!</v>
      </c>
      <c r="B688">
        <f>'Lista de productos'!B698</f>
        <v>0</v>
      </c>
      <c r="D688">
        <v>684</v>
      </c>
    </row>
    <row r="689" spans="1:4" x14ac:dyDescent="0.35">
      <c r="A689" t="e">
        <f>'Lista de productos'!#REF!</f>
        <v>#REF!</v>
      </c>
      <c r="B689">
        <f>'Lista de productos'!B699</f>
        <v>0</v>
      </c>
      <c r="D689">
        <v>685</v>
      </c>
    </row>
    <row r="690" spans="1:4" x14ac:dyDescent="0.35">
      <c r="A690" t="e">
        <f>'Lista de productos'!#REF!</f>
        <v>#REF!</v>
      </c>
      <c r="B690">
        <f>'Lista de productos'!B700</f>
        <v>0</v>
      </c>
      <c r="D690">
        <v>686</v>
      </c>
    </row>
    <row r="691" spans="1:4" x14ac:dyDescent="0.35">
      <c r="A691" t="e">
        <f>'Lista de productos'!#REF!</f>
        <v>#REF!</v>
      </c>
      <c r="B691">
        <f>'Lista de productos'!B701</f>
        <v>0</v>
      </c>
      <c r="D691">
        <v>687</v>
      </c>
    </row>
    <row r="692" spans="1:4" x14ac:dyDescent="0.35">
      <c r="A692" t="e">
        <f>'Lista de productos'!#REF!</f>
        <v>#REF!</v>
      </c>
      <c r="B692">
        <f>'Lista de productos'!B702</f>
        <v>0</v>
      </c>
      <c r="D692">
        <v>688</v>
      </c>
    </row>
    <row r="693" spans="1:4" x14ac:dyDescent="0.35">
      <c r="A693" t="e">
        <f>'Lista de productos'!#REF!</f>
        <v>#REF!</v>
      </c>
      <c r="B693">
        <f>'Lista de productos'!B703</f>
        <v>0</v>
      </c>
      <c r="D693">
        <v>689</v>
      </c>
    </row>
    <row r="694" spans="1:4" x14ac:dyDescent="0.35">
      <c r="A694" t="e">
        <f>'Lista de productos'!#REF!</f>
        <v>#REF!</v>
      </c>
      <c r="B694">
        <f>'Lista de productos'!B704</f>
        <v>0</v>
      </c>
      <c r="D694">
        <v>690</v>
      </c>
    </row>
    <row r="695" spans="1:4" x14ac:dyDescent="0.35">
      <c r="A695" t="e">
        <f>'Lista de productos'!#REF!</f>
        <v>#REF!</v>
      </c>
      <c r="B695">
        <f>'Lista de productos'!B705</f>
        <v>0</v>
      </c>
      <c r="D695">
        <v>691</v>
      </c>
    </row>
    <row r="696" spans="1:4" x14ac:dyDescent="0.35">
      <c r="A696" t="e">
        <f>'Lista de productos'!#REF!</f>
        <v>#REF!</v>
      </c>
      <c r="B696">
        <f>'Lista de productos'!B706</f>
        <v>0</v>
      </c>
      <c r="D696">
        <v>692</v>
      </c>
    </row>
    <row r="697" spans="1:4" x14ac:dyDescent="0.35">
      <c r="A697" t="e">
        <f>'Lista de productos'!#REF!</f>
        <v>#REF!</v>
      </c>
      <c r="B697">
        <f>'Lista de productos'!B707</f>
        <v>0</v>
      </c>
      <c r="D697">
        <v>693</v>
      </c>
    </row>
    <row r="698" spans="1:4" x14ac:dyDescent="0.35">
      <c r="A698" t="e">
        <f>'Lista de productos'!#REF!</f>
        <v>#REF!</v>
      </c>
      <c r="B698">
        <f>'Lista de productos'!B708</f>
        <v>0</v>
      </c>
      <c r="D698">
        <v>694</v>
      </c>
    </row>
    <row r="699" spans="1:4" x14ac:dyDescent="0.35">
      <c r="A699" t="e">
        <f>'Lista de productos'!#REF!</f>
        <v>#REF!</v>
      </c>
      <c r="B699">
        <f>'Lista de productos'!B709</f>
        <v>0</v>
      </c>
      <c r="D699">
        <v>695</v>
      </c>
    </row>
    <row r="700" spans="1:4" x14ac:dyDescent="0.35">
      <c r="A700" t="e">
        <f>'Lista de productos'!#REF!</f>
        <v>#REF!</v>
      </c>
      <c r="B700">
        <f>'Lista de productos'!B710</f>
        <v>0</v>
      </c>
      <c r="D700">
        <v>696</v>
      </c>
    </row>
    <row r="701" spans="1:4" x14ac:dyDescent="0.35">
      <c r="A701" t="e">
        <f>'Lista de productos'!#REF!</f>
        <v>#REF!</v>
      </c>
      <c r="B701">
        <f>'Lista de productos'!B711</f>
        <v>0</v>
      </c>
      <c r="D701">
        <v>697</v>
      </c>
    </row>
    <row r="702" spans="1:4" x14ac:dyDescent="0.35">
      <c r="A702" t="e">
        <f>'Lista de productos'!#REF!</f>
        <v>#REF!</v>
      </c>
      <c r="B702">
        <f>'Lista de productos'!B712</f>
        <v>0</v>
      </c>
      <c r="D702">
        <v>698</v>
      </c>
    </row>
    <row r="703" spans="1:4" x14ac:dyDescent="0.35">
      <c r="A703" t="e">
        <f>'Lista de productos'!#REF!</f>
        <v>#REF!</v>
      </c>
      <c r="B703">
        <f>'Lista de productos'!B713</f>
        <v>0</v>
      </c>
      <c r="D703">
        <v>699</v>
      </c>
    </row>
    <row r="704" spans="1:4" x14ac:dyDescent="0.35">
      <c r="A704" t="e">
        <f>'Lista de productos'!#REF!</f>
        <v>#REF!</v>
      </c>
      <c r="B704">
        <f>'Lista de productos'!B714</f>
        <v>0</v>
      </c>
      <c r="D704">
        <v>700</v>
      </c>
    </row>
    <row r="705" spans="1:4" x14ac:dyDescent="0.35">
      <c r="A705" t="e">
        <f>'Lista de productos'!#REF!</f>
        <v>#REF!</v>
      </c>
      <c r="B705">
        <f>'Lista de productos'!B715</f>
        <v>0</v>
      </c>
      <c r="D705">
        <v>701</v>
      </c>
    </row>
    <row r="706" spans="1:4" x14ac:dyDescent="0.35">
      <c r="A706" t="e">
        <f>'Lista de productos'!#REF!</f>
        <v>#REF!</v>
      </c>
      <c r="B706">
        <f>'Lista de productos'!B716</f>
        <v>0</v>
      </c>
      <c r="D706">
        <v>702</v>
      </c>
    </row>
    <row r="707" spans="1:4" x14ac:dyDescent="0.35">
      <c r="A707" t="e">
        <f>'Lista de productos'!#REF!</f>
        <v>#REF!</v>
      </c>
      <c r="B707">
        <f>'Lista de productos'!B717</f>
        <v>0</v>
      </c>
      <c r="D707">
        <v>703</v>
      </c>
    </row>
    <row r="708" spans="1:4" x14ac:dyDescent="0.35">
      <c r="A708" t="e">
        <f>'Lista de productos'!#REF!</f>
        <v>#REF!</v>
      </c>
      <c r="B708">
        <f>'Lista de productos'!B718</f>
        <v>0</v>
      </c>
      <c r="D708">
        <v>704</v>
      </c>
    </row>
    <row r="709" spans="1:4" x14ac:dyDescent="0.35">
      <c r="A709" t="e">
        <f>'Lista de productos'!#REF!</f>
        <v>#REF!</v>
      </c>
      <c r="B709">
        <f>'Lista de productos'!B719</f>
        <v>0</v>
      </c>
      <c r="D709">
        <v>705</v>
      </c>
    </row>
    <row r="710" spans="1:4" x14ac:dyDescent="0.35">
      <c r="A710" t="e">
        <f>'Lista de productos'!#REF!</f>
        <v>#REF!</v>
      </c>
      <c r="B710">
        <f>'Lista de productos'!B720</f>
        <v>0</v>
      </c>
      <c r="D710">
        <v>706</v>
      </c>
    </row>
    <row r="711" spans="1:4" x14ac:dyDescent="0.35">
      <c r="A711" t="e">
        <f>'Lista de productos'!#REF!</f>
        <v>#REF!</v>
      </c>
      <c r="B711">
        <f>'Lista de productos'!B721</f>
        <v>0</v>
      </c>
      <c r="D711">
        <v>707</v>
      </c>
    </row>
    <row r="712" spans="1:4" x14ac:dyDescent="0.35">
      <c r="A712" t="e">
        <f>'Lista de productos'!#REF!</f>
        <v>#REF!</v>
      </c>
      <c r="B712">
        <f>'Lista de productos'!B722</f>
        <v>0</v>
      </c>
      <c r="D712">
        <v>708</v>
      </c>
    </row>
    <row r="713" spans="1:4" x14ac:dyDescent="0.35">
      <c r="A713" t="e">
        <f>'Lista de productos'!#REF!</f>
        <v>#REF!</v>
      </c>
      <c r="B713">
        <f>'Lista de productos'!B723</f>
        <v>0</v>
      </c>
      <c r="D713">
        <v>709</v>
      </c>
    </row>
    <row r="714" spans="1:4" x14ac:dyDescent="0.35">
      <c r="A714" t="e">
        <f>'Lista de productos'!#REF!</f>
        <v>#REF!</v>
      </c>
      <c r="B714">
        <f>'Lista de productos'!B724</f>
        <v>0</v>
      </c>
      <c r="D714">
        <v>710</v>
      </c>
    </row>
    <row r="715" spans="1:4" x14ac:dyDescent="0.35">
      <c r="A715" t="e">
        <f>'Lista de productos'!#REF!</f>
        <v>#REF!</v>
      </c>
      <c r="B715">
        <f>'Lista de productos'!B725</f>
        <v>0</v>
      </c>
      <c r="D715">
        <v>711</v>
      </c>
    </row>
    <row r="716" spans="1:4" x14ac:dyDescent="0.35">
      <c r="A716" t="e">
        <f>'Lista de productos'!#REF!</f>
        <v>#REF!</v>
      </c>
      <c r="B716">
        <f>'Lista de productos'!B726</f>
        <v>0</v>
      </c>
      <c r="D716">
        <v>712</v>
      </c>
    </row>
    <row r="717" spans="1:4" x14ac:dyDescent="0.35">
      <c r="A717" t="e">
        <f>'Lista de productos'!#REF!</f>
        <v>#REF!</v>
      </c>
      <c r="B717">
        <f>'Lista de productos'!B727</f>
        <v>0</v>
      </c>
      <c r="D717">
        <v>713</v>
      </c>
    </row>
    <row r="718" spans="1:4" x14ac:dyDescent="0.35">
      <c r="A718" t="e">
        <f>'Lista de productos'!#REF!</f>
        <v>#REF!</v>
      </c>
      <c r="B718">
        <f>'Lista de productos'!B728</f>
        <v>0</v>
      </c>
      <c r="D718">
        <v>714</v>
      </c>
    </row>
    <row r="719" spans="1:4" x14ac:dyDescent="0.35">
      <c r="A719" t="e">
        <f>'Lista de productos'!#REF!</f>
        <v>#REF!</v>
      </c>
      <c r="B719">
        <f>'Lista de productos'!B729</f>
        <v>0</v>
      </c>
      <c r="D719">
        <v>715</v>
      </c>
    </row>
    <row r="720" spans="1:4" x14ac:dyDescent="0.35">
      <c r="A720" t="e">
        <f>'Lista de productos'!#REF!</f>
        <v>#REF!</v>
      </c>
      <c r="B720">
        <f>'Lista de productos'!B730</f>
        <v>0</v>
      </c>
      <c r="D720">
        <v>716</v>
      </c>
    </row>
    <row r="721" spans="1:4" x14ac:dyDescent="0.35">
      <c r="A721" t="e">
        <f>'Lista de productos'!#REF!</f>
        <v>#REF!</v>
      </c>
      <c r="B721">
        <f>'Lista de productos'!B731</f>
        <v>0</v>
      </c>
      <c r="D721">
        <v>717</v>
      </c>
    </row>
    <row r="722" spans="1:4" x14ac:dyDescent="0.35">
      <c r="A722" t="e">
        <f>'Lista de productos'!#REF!</f>
        <v>#REF!</v>
      </c>
      <c r="B722">
        <f>'Lista de productos'!B732</f>
        <v>0</v>
      </c>
      <c r="D722">
        <v>718</v>
      </c>
    </row>
    <row r="723" spans="1:4" x14ac:dyDescent="0.35">
      <c r="A723" t="e">
        <f>'Lista de productos'!#REF!</f>
        <v>#REF!</v>
      </c>
      <c r="B723">
        <f>'Lista de productos'!B733</f>
        <v>0</v>
      </c>
      <c r="D723">
        <v>719</v>
      </c>
    </row>
    <row r="724" spans="1:4" x14ac:dyDescent="0.35">
      <c r="A724" t="e">
        <f>'Lista de productos'!#REF!</f>
        <v>#REF!</v>
      </c>
      <c r="B724">
        <f>'Lista de productos'!B734</f>
        <v>0</v>
      </c>
      <c r="D724">
        <v>720</v>
      </c>
    </row>
    <row r="725" spans="1:4" x14ac:dyDescent="0.35">
      <c r="A725" t="e">
        <f>'Lista de productos'!#REF!</f>
        <v>#REF!</v>
      </c>
      <c r="B725">
        <f>'Lista de productos'!B735</f>
        <v>0</v>
      </c>
      <c r="D725">
        <v>721</v>
      </c>
    </row>
    <row r="726" spans="1:4" x14ac:dyDescent="0.35">
      <c r="A726" t="e">
        <f>'Lista de productos'!#REF!</f>
        <v>#REF!</v>
      </c>
      <c r="B726">
        <f>'Lista de productos'!B736</f>
        <v>0</v>
      </c>
      <c r="D726">
        <v>722</v>
      </c>
    </row>
    <row r="727" spans="1:4" x14ac:dyDescent="0.35">
      <c r="A727" t="e">
        <f>'Lista de productos'!#REF!</f>
        <v>#REF!</v>
      </c>
      <c r="B727">
        <f>'Lista de productos'!B737</f>
        <v>0</v>
      </c>
      <c r="D727">
        <v>723</v>
      </c>
    </row>
    <row r="728" spans="1:4" x14ac:dyDescent="0.35">
      <c r="A728" t="e">
        <f>'Lista de productos'!#REF!</f>
        <v>#REF!</v>
      </c>
      <c r="B728">
        <f>'Lista de productos'!B738</f>
        <v>0</v>
      </c>
      <c r="D728">
        <v>724</v>
      </c>
    </row>
    <row r="729" spans="1:4" x14ac:dyDescent="0.35">
      <c r="A729" t="e">
        <f>'Lista de productos'!#REF!</f>
        <v>#REF!</v>
      </c>
      <c r="B729">
        <f>'Lista de productos'!B739</f>
        <v>0</v>
      </c>
      <c r="D729">
        <v>725</v>
      </c>
    </row>
    <row r="730" spans="1:4" x14ac:dyDescent="0.35">
      <c r="A730" t="e">
        <f>'Lista de productos'!#REF!</f>
        <v>#REF!</v>
      </c>
      <c r="B730">
        <f>'Lista de productos'!B740</f>
        <v>0</v>
      </c>
      <c r="D730">
        <v>726</v>
      </c>
    </row>
    <row r="731" spans="1:4" x14ac:dyDescent="0.35">
      <c r="A731" t="e">
        <f>'Lista de productos'!#REF!</f>
        <v>#REF!</v>
      </c>
      <c r="B731">
        <f>'Lista de productos'!B741</f>
        <v>0</v>
      </c>
      <c r="D731">
        <v>727</v>
      </c>
    </row>
    <row r="732" spans="1:4" x14ac:dyDescent="0.35">
      <c r="A732" t="e">
        <f>'Lista de productos'!#REF!</f>
        <v>#REF!</v>
      </c>
      <c r="B732">
        <f>'Lista de productos'!B742</f>
        <v>0</v>
      </c>
      <c r="D732">
        <v>728</v>
      </c>
    </row>
    <row r="733" spans="1:4" x14ac:dyDescent="0.35">
      <c r="A733" t="e">
        <f>'Lista de productos'!#REF!</f>
        <v>#REF!</v>
      </c>
      <c r="B733">
        <f>'Lista de productos'!B743</f>
        <v>0</v>
      </c>
      <c r="D733">
        <v>729</v>
      </c>
    </row>
    <row r="734" spans="1:4" x14ac:dyDescent="0.35">
      <c r="A734" t="e">
        <f>'Lista de productos'!#REF!</f>
        <v>#REF!</v>
      </c>
      <c r="B734">
        <f>'Lista de productos'!B744</f>
        <v>0</v>
      </c>
      <c r="D734">
        <v>730</v>
      </c>
    </row>
    <row r="735" spans="1:4" x14ac:dyDescent="0.35">
      <c r="A735" t="e">
        <f>'Lista de productos'!#REF!</f>
        <v>#REF!</v>
      </c>
      <c r="B735">
        <f>'Lista de productos'!B745</f>
        <v>0</v>
      </c>
      <c r="D735">
        <v>731</v>
      </c>
    </row>
    <row r="736" spans="1:4" x14ac:dyDescent="0.35">
      <c r="A736" t="e">
        <f>'Lista de productos'!#REF!</f>
        <v>#REF!</v>
      </c>
      <c r="B736">
        <f>'Lista de productos'!B746</f>
        <v>0</v>
      </c>
      <c r="D736">
        <v>732</v>
      </c>
    </row>
    <row r="737" spans="1:4" x14ac:dyDescent="0.35">
      <c r="A737" t="e">
        <f>'Lista de productos'!#REF!</f>
        <v>#REF!</v>
      </c>
      <c r="B737">
        <f>'Lista de productos'!B747</f>
        <v>0</v>
      </c>
      <c r="D737">
        <v>733</v>
      </c>
    </row>
    <row r="738" spans="1:4" x14ac:dyDescent="0.35">
      <c r="A738" t="e">
        <f>'Lista de productos'!#REF!</f>
        <v>#REF!</v>
      </c>
      <c r="B738">
        <f>'Lista de productos'!B748</f>
        <v>0</v>
      </c>
      <c r="D738">
        <v>734</v>
      </c>
    </row>
    <row r="739" spans="1:4" x14ac:dyDescent="0.35">
      <c r="A739" t="e">
        <f>'Lista de productos'!#REF!</f>
        <v>#REF!</v>
      </c>
      <c r="B739">
        <f>'Lista de productos'!B749</f>
        <v>0</v>
      </c>
      <c r="D739">
        <v>735</v>
      </c>
    </row>
    <row r="740" spans="1:4" x14ac:dyDescent="0.35">
      <c r="A740" t="e">
        <f>'Lista de productos'!#REF!</f>
        <v>#REF!</v>
      </c>
      <c r="B740">
        <f>'Lista de productos'!B750</f>
        <v>0</v>
      </c>
      <c r="D740">
        <v>736</v>
      </c>
    </row>
    <row r="741" spans="1:4" x14ac:dyDescent="0.35">
      <c r="A741" t="e">
        <f>'Lista de productos'!#REF!</f>
        <v>#REF!</v>
      </c>
      <c r="B741">
        <f>'Lista de productos'!B751</f>
        <v>0</v>
      </c>
      <c r="D741">
        <v>737</v>
      </c>
    </row>
    <row r="742" spans="1:4" x14ac:dyDescent="0.35">
      <c r="A742" t="e">
        <f>'Lista de productos'!#REF!</f>
        <v>#REF!</v>
      </c>
      <c r="B742">
        <f>'Lista de productos'!B752</f>
        <v>0</v>
      </c>
      <c r="D742">
        <v>738</v>
      </c>
    </row>
    <row r="743" spans="1:4" x14ac:dyDescent="0.35">
      <c r="A743" t="e">
        <f>'Lista de productos'!#REF!</f>
        <v>#REF!</v>
      </c>
      <c r="B743">
        <f>'Lista de productos'!B753</f>
        <v>0</v>
      </c>
      <c r="D743">
        <v>739</v>
      </c>
    </row>
    <row r="744" spans="1:4" x14ac:dyDescent="0.35">
      <c r="A744" t="e">
        <f>'Lista de productos'!#REF!</f>
        <v>#REF!</v>
      </c>
      <c r="B744">
        <f>'Lista de productos'!B754</f>
        <v>0</v>
      </c>
      <c r="D744">
        <v>740</v>
      </c>
    </row>
    <row r="745" spans="1:4" x14ac:dyDescent="0.35">
      <c r="A745" t="e">
        <f>'Lista de productos'!#REF!</f>
        <v>#REF!</v>
      </c>
      <c r="B745">
        <f>'Lista de productos'!B755</f>
        <v>0</v>
      </c>
      <c r="D745">
        <v>741</v>
      </c>
    </row>
    <row r="746" spans="1:4" x14ac:dyDescent="0.35">
      <c r="A746" t="e">
        <f>'Lista de productos'!#REF!</f>
        <v>#REF!</v>
      </c>
      <c r="B746">
        <f>'Lista de productos'!B756</f>
        <v>0</v>
      </c>
      <c r="D746">
        <v>742</v>
      </c>
    </row>
    <row r="747" spans="1:4" x14ac:dyDescent="0.35">
      <c r="A747" t="e">
        <f>'Lista de productos'!#REF!</f>
        <v>#REF!</v>
      </c>
      <c r="B747">
        <f>'Lista de productos'!B757</f>
        <v>0</v>
      </c>
      <c r="D747">
        <v>743</v>
      </c>
    </row>
    <row r="748" spans="1:4" x14ac:dyDescent="0.35">
      <c r="A748" t="e">
        <f>'Lista de productos'!#REF!</f>
        <v>#REF!</v>
      </c>
      <c r="B748">
        <f>'Lista de productos'!B758</f>
        <v>0</v>
      </c>
      <c r="D748">
        <v>744</v>
      </c>
    </row>
    <row r="749" spans="1:4" x14ac:dyDescent="0.35">
      <c r="A749" t="e">
        <f>'Lista de productos'!#REF!</f>
        <v>#REF!</v>
      </c>
      <c r="B749">
        <f>'Lista de productos'!B759</f>
        <v>0</v>
      </c>
      <c r="D749">
        <v>745</v>
      </c>
    </row>
    <row r="750" spans="1:4" x14ac:dyDescent="0.35">
      <c r="A750" t="e">
        <f>'Lista de productos'!#REF!</f>
        <v>#REF!</v>
      </c>
      <c r="B750">
        <f>'Lista de productos'!B760</f>
        <v>0</v>
      </c>
      <c r="D750">
        <v>746</v>
      </c>
    </row>
    <row r="751" spans="1:4" x14ac:dyDescent="0.35">
      <c r="A751" t="e">
        <f>'Lista de productos'!#REF!</f>
        <v>#REF!</v>
      </c>
      <c r="B751">
        <f>'Lista de productos'!B761</f>
        <v>0</v>
      </c>
      <c r="D751">
        <v>747</v>
      </c>
    </row>
    <row r="752" spans="1:4" x14ac:dyDescent="0.35">
      <c r="A752" t="e">
        <f>'Lista de productos'!#REF!</f>
        <v>#REF!</v>
      </c>
      <c r="B752">
        <f>'Lista de productos'!B762</f>
        <v>0</v>
      </c>
      <c r="D752">
        <v>748</v>
      </c>
    </row>
    <row r="753" spans="1:4" x14ac:dyDescent="0.35">
      <c r="A753" t="e">
        <f>'Lista de productos'!#REF!</f>
        <v>#REF!</v>
      </c>
      <c r="B753">
        <f>'Lista de productos'!B763</f>
        <v>0</v>
      </c>
      <c r="D753">
        <v>749</v>
      </c>
    </row>
    <row r="754" spans="1:4" x14ac:dyDescent="0.35">
      <c r="A754" t="e">
        <f>'Lista de productos'!#REF!</f>
        <v>#REF!</v>
      </c>
      <c r="B754">
        <f>'Lista de productos'!B764</f>
        <v>0</v>
      </c>
      <c r="D754">
        <v>750</v>
      </c>
    </row>
    <row r="755" spans="1:4" x14ac:dyDescent="0.35">
      <c r="A755" t="e">
        <f>'Lista de productos'!#REF!</f>
        <v>#REF!</v>
      </c>
      <c r="B755">
        <f>'Lista de productos'!B765</f>
        <v>0</v>
      </c>
      <c r="D755">
        <v>751</v>
      </c>
    </row>
    <row r="756" spans="1:4" x14ac:dyDescent="0.35">
      <c r="A756" t="e">
        <f>'Lista de productos'!#REF!</f>
        <v>#REF!</v>
      </c>
      <c r="B756">
        <f>'Lista de productos'!B766</f>
        <v>0</v>
      </c>
      <c r="D756">
        <v>752</v>
      </c>
    </row>
    <row r="757" spans="1:4" x14ac:dyDescent="0.35">
      <c r="A757" t="e">
        <f>'Lista de productos'!#REF!</f>
        <v>#REF!</v>
      </c>
      <c r="B757">
        <f>'Lista de productos'!B767</f>
        <v>0</v>
      </c>
      <c r="D757">
        <v>753</v>
      </c>
    </row>
    <row r="758" spans="1:4" x14ac:dyDescent="0.35">
      <c r="A758" t="e">
        <f>'Lista de productos'!#REF!</f>
        <v>#REF!</v>
      </c>
      <c r="B758">
        <f>'Lista de productos'!B768</f>
        <v>0</v>
      </c>
      <c r="D758">
        <v>754</v>
      </c>
    </row>
    <row r="759" spans="1:4" x14ac:dyDescent="0.35">
      <c r="A759" t="e">
        <f>'Lista de productos'!#REF!</f>
        <v>#REF!</v>
      </c>
      <c r="B759">
        <f>'Lista de productos'!B769</f>
        <v>0</v>
      </c>
      <c r="D759">
        <v>755</v>
      </c>
    </row>
    <row r="760" spans="1:4" x14ac:dyDescent="0.35">
      <c r="A760" t="e">
        <f>'Lista de productos'!#REF!</f>
        <v>#REF!</v>
      </c>
      <c r="B760">
        <f>'Lista de productos'!B770</f>
        <v>0</v>
      </c>
      <c r="D760">
        <v>756</v>
      </c>
    </row>
    <row r="761" spans="1:4" x14ac:dyDescent="0.35">
      <c r="A761" t="e">
        <f>'Lista de productos'!#REF!</f>
        <v>#REF!</v>
      </c>
      <c r="B761">
        <f>'Lista de productos'!B771</f>
        <v>0</v>
      </c>
      <c r="D761">
        <v>757</v>
      </c>
    </row>
    <row r="762" spans="1:4" x14ac:dyDescent="0.35">
      <c r="A762" t="e">
        <f>'Lista de productos'!#REF!</f>
        <v>#REF!</v>
      </c>
      <c r="B762">
        <f>'Lista de productos'!B772</f>
        <v>0</v>
      </c>
      <c r="D762">
        <v>758</v>
      </c>
    </row>
    <row r="763" spans="1:4" x14ac:dyDescent="0.35">
      <c r="A763" t="e">
        <f>'Lista de productos'!#REF!</f>
        <v>#REF!</v>
      </c>
      <c r="B763">
        <f>'Lista de productos'!B773</f>
        <v>0</v>
      </c>
      <c r="D763">
        <v>759</v>
      </c>
    </row>
    <row r="764" spans="1:4" x14ac:dyDescent="0.35">
      <c r="A764" t="e">
        <f>'Lista de productos'!#REF!</f>
        <v>#REF!</v>
      </c>
      <c r="B764">
        <f>'Lista de productos'!B774</f>
        <v>0</v>
      </c>
      <c r="D764">
        <v>760</v>
      </c>
    </row>
    <row r="765" spans="1:4" x14ac:dyDescent="0.35">
      <c r="A765" t="e">
        <f>'Lista de productos'!#REF!</f>
        <v>#REF!</v>
      </c>
      <c r="B765">
        <f>'Lista de productos'!B775</f>
        <v>0</v>
      </c>
      <c r="D765">
        <v>761</v>
      </c>
    </row>
    <row r="766" spans="1:4" x14ac:dyDescent="0.35">
      <c r="A766" t="e">
        <f>'Lista de productos'!#REF!</f>
        <v>#REF!</v>
      </c>
      <c r="B766">
        <f>'Lista de productos'!B776</f>
        <v>0</v>
      </c>
      <c r="D766">
        <v>762</v>
      </c>
    </row>
    <row r="767" spans="1:4" x14ac:dyDescent="0.35">
      <c r="A767" t="e">
        <f>'Lista de productos'!#REF!</f>
        <v>#REF!</v>
      </c>
      <c r="B767">
        <f>'Lista de productos'!B777</f>
        <v>0</v>
      </c>
      <c r="D767">
        <v>763</v>
      </c>
    </row>
    <row r="768" spans="1:4" x14ac:dyDescent="0.35">
      <c r="A768" t="e">
        <f>'Lista de productos'!#REF!</f>
        <v>#REF!</v>
      </c>
      <c r="B768">
        <f>'Lista de productos'!B778</f>
        <v>0</v>
      </c>
      <c r="D768">
        <v>764</v>
      </c>
    </row>
    <row r="769" spans="1:4" x14ac:dyDescent="0.35">
      <c r="A769" t="e">
        <f>'Lista de productos'!#REF!</f>
        <v>#REF!</v>
      </c>
      <c r="B769">
        <f>'Lista de productos'!B779</f>
        <v>0</v>
      </c>
      <c r="D769">
        <v>765</v>
      </c>
    </row>
    <row r="770" spans="1:4" x14ac:dyDescent="0.35">
      <c r="A770" t="e">
        <f>'Lista de productos'!#REF!</f>
        <v>#REF!</v>
      </c>
      <c r="B770">
        <f>'Lista de productos'!B780</f>
        <v>0</v>
      </c>
      <c r="D770">
        <v>766</v>
      </c>
    </row>
    <row r="771" spans="1:4" x14ac:dyDescent="0.35">
      <c r="A771" t="e">
        <f>'Lista de productos'!#REF!</f>
        <v>#REF!</v>
      </c>
      <c r="B771">
        <f>'Lista de productos'!B781</f>
        <v>0</v>
      </c>
      <c r="D771">
        <v>767</v>
      </c>
    </row>
    <row r="772" spans="1:4" x14ac:dyDescent="0.35">
      <c r="A772" t="e">
        <f>'Lista de productos'!#REF!</f>
        <v>#REF!</v>
      </c>
      <c r="B772">
        <f>'Lista de productos'!B782</f>
        <v>0</v>
      </c>
      <c r="D772">
        <v>768</v>
      </c>
    </row>
    <row r="773" spans="1:4" x14ac:dyDescent="0.35">
      <c r="A773" t="e">
        <f>'Lista de productos'!#REF!</f>
        <v>#REF!</v>
      </c>
      <c r="B773">
        <f>'Lista de productos'!B783</f>
        <v>0</v>
      </c>
      <c r="D773">
        <v>769</v>
      </c>
    </row>
    <row r="774" spans="1:4" x14ac:dyDescent="0.35">
      <c r="A774" t="e">
        <f>'Lista de productos'!#REF!</f>
        <v>#REF!</v>
      </c>
      <c r="B774">
        <f>'Lista de productos'!B784</f>
        <v>0</v>
      </c>
      <c r="D774">
        <v>770</v>
      </c>
    </row>
    <row r="775" spans="1:4" x14ac:dyDescent="0.35">
      <c r="A775" t="e">
        <f>'Lista de productos'!#REF!</f>
        <v>#REF!</v>
      </c>
      <c r="B775">
        <f>'Lista de productos'!B785</f>
        <v>0</v>
      </c>
      <c r="D775">
        <v>771</v>
      </c>
    </row>
    <row r="776" spans="1:4" x14ac:dyDescent="0.35">
      <c r="A776" t="e">
        <f>'Lista de productos'!#REF!</f>
        <v>#REF!</v>
      </c>
      <c r="B776">
        <f>'Lista de productos'!B786</f>
        <v>0</v>
      </c>
      <c r="D776">
        <v>772</v>
      </c>
    </row>
    <row r="777" spans="1:4" x14ac:dyDescent="0.35">
      <c r="A777" t="e">
        <f>'Lista de productos'!#REF!</f>
        <v>#REF!</v>
      </c>
      <c r="B777">
        <f>'Lista de productos'!B787</f>
        <v>0</v>
      </c>
      <c r="D777">
        <v>773</v>
      </c>
    </row>
    <row r="778" spans="1:4" x14ac:dyDescent="0.35">
      <c r="A778" t="e">
        <f>'Lista de productos'!#REF!</f>
        <v>#REF!</v>
      </c>
      <c r="B778">
        <f>'Lista de productos'!B788</f>
        <v>0</v>
      </c>
      <c r="D778">
        <v>774</v>
      </c>
    </row>
    <row r="779" spans="1:4" x14ac:dyDescent="0.35">
      <c r="A779" t="e">
        <f>'Lista de productos'!#REF!</f>
        <v>#REF!</v>
      </c>
      <c r="B779">
        <f>'Lista de productos'!B789</f>
        <v>0</v>
      </c>
      <c r="D779">
        <v>775</v>
      </c>
    </row>
    <row r="780" spans="1:4" x14ac:dyDescent="0.35">
      <c r="A780" t="e">
        <f>'Lista de productos'!#REF!</f>
        <v>#REF!</v>
      </c>
      <c r="B780">
        <f>'Lista de productos'!B790</f>
        <v>0</v>
      </c>
      <c r="D780">
        <v>776</v>
      </c>
    </row>
    <row r="781" spans="1:4" x14ac:dyDescent="0.35">
      <c r="A781" t="e">
        <f>'Lista de productos'!#REF!</f>
        <v>#REF!</v>
      </c>
      <c r="B781">
        <f>'Lista de productos'!B791</f>
        <v>0</v>
      </c>
      <c r="D781">
        <v>777</v>
      </c>
    </row>
    <row r="782" spans="1:4" x14ac:dyDescent="0.35">
      <c r="A782" t="e">
        <f>'Lista de productos'!#REF!</f>
        <v>#REF!</v>
      </c>
      <c r="B782">
        <f>'Lista de productos'!B792</f>
        <v>0</v>
      </c>
      <c r="D782">
        <v>778</v>
      </c>
    </row>
    <row r="783" spans="1:4" x14ac:dyDescent="0.35">
      <c r="A783" t="e">
        <f>'Lista de productos'!#REF!</f>
        <v>#REF!</v>
      </c>
      <c r="B783">
        <f>'Lista de productos'!B793</f>
        <v>0</v>
      </c>
      <c r="D783">
        <v>779</v>
      </c>
    </row>
    <row r="784" spans="1:4" x14ac:dyDescent="0.35">
      <c r="A784" t="e">
        <f>'Lista de productos'!#REF!</f>
        <v>#REF!</v>
      </c>
      <c r="B784">
        <f>'Lista de productos'!B794</f>
        <v>0</v>
      </c>
      <c r="D784">
        <v>780</v>
      </c>
    </row>
    <row r="785" spans="1:4" x14ac:dyDescent="0.35">
      <c r="A785" t="e">
        <f>'Lista de productos'!#REF!</f>
        <v>#REF!</v>
      </c>
      <c r="B785">
        <f>'Lista de productos'!B795</f>
        <v>0</v>
      </c>
      <c r="D785">
        <v>781</v>
      </c>
    </row>
    <row r="786" spans="1:4" x14ac:dyDescent="0.35">
      <c r="A786" t="e">
        <f>'Lista de productos'!#REF!</f>
        <v>#REF!</v>
      </c>
      <c r="B786">
        <f>'Lista de productos'!B796</f>
        <v>0</v>
      </c>
      <c r="D786">
        <v>782</v>
      </c>
    </row>
    <row r="787" spans="1:4" x14ac:dyDescent="0.35">
      <c r="A787" t="e">
        <f>'Lista de productos'!#REF!</f>
        <v>#REF!</v>
      </c>
      <c r="B787">
        <f>'Lista de productos'!B797</f>
        <v>0</v>
      </c>
      <c r="D787">
        <v>783</v>
      </c>
    </row>
    <row r="788" spans="1:4" x14ac:dyDescent="0.35">
      <c r="A788" t="e">
        <f>'Lista de productos'!#REF!</f>
        <v>#REF!</v>
      </c>
      <c r="B788">
        <f>'Lista de productos'!B798</f>
        <v>0</v>
      </c>
      <c r="D788">
        <v>784</v>
      </c>
    </row>
    <row r="789" spans="1:4" x14ac:dyDescent="0.35">
      <c r="A789" t="e">
        <f>'Lista de productos'!#REF!</f>
        <v>#REF!</v>
      </c>
      <c r="B789">
        <f>'Lista de productos'!B799</f>
        <v>0</v>
      </c>
      <c r="D789">
        <v>785</v>
      </c>
    </row>
    <row r="790" spans="1:4" x14ac:dyDescent="0.35">
      <c r="A790" t="e">
        <f>'Lista de productos'!#REF!</f>
        <v>#REF!</v>
      </c>
      <c r="B790">
        <f>'Lista de productos'!B800</f>
        <v>0</v>
      </c>
      <c r="D790">
        <v>786</v>
      </c>
    </row>
    <row r="791" spans="1:4" x14ac:dyDescent="0.35">
      <c r="A791" t="e">
        <f>'Lista de productos'!#REF!</f>
        <v>#REF!</v>
      </c>
      <c r="B791">
        <f>'Lista de productos'!B801</f>
        <v>0</v>
      </c>
      <c r="D791">
        <v>787</v>
      </c>
    </row>
    <row r="792" spans="1:4" x14ac:dyDescent="0.35">
      <c r="A792" t="e">
        <f>'Lista de productos'!#REF!</f>
        <v>#REF!</v>
      </c>
      <c r="B792">
        <f>'Lista de productos'!B802</f>
        <v>0</v>
      </c>
      <c r="D792">
        <v>788</v>
      </c>
    </row>
    <row r="793" spans="1:4" x14ac:dyDescent="0.35">
      <c r="A793" t="e">
        <f>'Lista de productos'!#REF!</f>
        <v>#REF!</v>
      </c>
      <c r="B793">
        <f>'Lista de productos'!B803</f>
        <v>0</v>
      </c>
      <c r="D793">
        <v>789</v>
      </c>
    </row>
    <row r="794" spans="1:4" x14ac:dyDescent="0.35">
      <c r="A794" t="e">
        <f>'Lista de productos'!#REF!</f>
        <v>#REF!</v>
      </c>
      <c r="B794">
        <f>'Lista de productos'!B804</f>
        <v>0</v>
      </c>
      <c r="D794">
        <v>790</v>
      </c>
    </row>
    <row r="795" spans="1:4" x14ac:dyDescent="0.35">
      <c r="A795" t="e">
        <f>'Lista de productos'!#REF!</f>
        <v>#REF!</v>
      </c>
      <c r="B795">
        <f>'Lista de productos'!B805</f>
        <v>0</v>
      </c>
      <c r="D795">
        <v>791</v>
      </c>
    </row>
    <row r="796" spans="1:4" x14ac:dyDescent="0.35">
      <c r="A796" t="e">
        <f>'Lista de productos'!#REF!</f>
        <v>#REF!</v>
      </c>
      <c r="B796">
        <f>'Lista de productos'!B806</f>
        <v>0</v>
      </c>
      <c r="D796">
        <v>792</v>
      </c>
    </row>
    <row r="797" spans="1:4" x14ac:dyDescent="0.35">
      <c r="A797" t="e">
        <f>'Lista de productos'!#REF!</f>
        <v>#REF!</v>
      </c>
      <c r="B797">
        <f>'Lista de productos'!B807</f>
        <v>0</v>
      </c>
      <c r="D797">
        <v>793</v>
      </c>
    </row>
    <row r="798" spans="1:4" x14ac:dyDescent="0.35">
      <c r="A798" t="e">
        <f>'Lista de productos'!#REF!</f>
        <v>#REF!</v>
      </c>
      <c r="B798">
        <f>'Lista de productos'!B808</f>
        <v>0</v>
      </c>
      <c r="D798">
        <v>794</v>
      </c>
    </row>
    <row r="799" spans="1:4" x14ac:dyDescent="0.35">
      <c r="A799" t="e">
        <f>'Lista de productos'!#REF!</f>
        <v>#REF!</v>
      </c>
      <c r="B799">
        <f>'Lista de productos'!B809</f>
        <v>0</v>
      </c>
      <c r="D799">
        <v>795</v>
      </c>
    </row>
    <row r="800" spans="1:4" x14ac:dyDescent="0.35">
      <c r="A800" t="e">
        <f>'Lista de productos'!#REF!</f>
        <v>#REF!</v>
      </c>
      <c r="B800">
        <f>'Lista de productos'!B810</f>
        <v>0</v>
      </c>
      <c r="D800">
        <v>796</v>
      </c>
    </row>
    <row r="801" spans="1:4" x14ac:dyDescent="0.35">
      <c r="A801" t="e">
        <f>'Lista de productos'!#REF!</f>
        <v>#REF!</v>
      </c>
      <c r="B801">
        <f>'Lista de productos'!B811</f>
        <v>0</v>
      </c>
      <c r="D801">
        <v>797</v>
      </c>
    </row>
    <row r="802" spans="1:4" x14ac:dyDescent="0.35">
      <c r="A802" t="e">
        <f>'Lista de productos'!#REF!</f>
        <v>#REF!</v>
      </c>
      <c r="B802">
        <f>'Lista de productos'!B812</f>
        <v>0</v>
      </c>
      <c r="D802">
        <v>798</v>
      </c>
    </row>
    <row r="803" spans="1:4" x14ac:dyDescent="0.35">
      <c r="A803" t="e">
        <f>'Lista de productos'!#REF!</f>
        <v>#REF!</v>
      </c>
      <c r="B803">
        <f>'Lista de productos'!B813</f>
        <v>0</v>
      </c>
      <c r="D803">
        <v>799</v>
      </c>
    </row>
    <row r="804" spans="1:4" x14ac:dyDescent="0.35">
      <c r="A804" t="e">
        <f>'Lista de productos'!#REF!</f>
        <v>#REF!</v>
      </c>
      <c r="B804">
        <f>'Lista de productos'!B814</f>
        <v>0</v>
      </c>
      <c r="D804">
        <v>800</v>
      </c>
    </row>
    <row r="805" spans="1:4" x14ac:dyDescent="0.35">
      <c r="A805" t="e">
        <f>'Lista de productos'!#REF!</f>
        <v>#REF!</v>
      </c>
      <c r="B805">
        <f>'Lista de productos'!B815</f>
        <v>0</v>
      </c>
      <c r="D805">
        <v>801</v>
      </c>
    </row>
    <row r="806" spans="1:4" x14ac:dyDescent="0.35">
      <c r="A806" t="e">
        <f>'Lista de productos'!#REF!</f>
        <v>#REF!</v>
      </c>
      <c r="B806">
        <f>'Lista de productos'!B816</f>
        <v>0</v>
      </c>
      <c r="D806">
        <v>802</v>
      </c>
    </row>
    <row r="807" spans="1:4" x14ac:dyDescent="0.35">
      <c r="A807" t="e">
        <f>'Lista de productos'!#REF!</f>
        <v>#REF!</v>
      </c>
      <c r="B807">
        <f>'Lista de productos'!B817</f>
        <v>0</v>
      </c>
      <c r="D807">
        <v>803</v>
      </c>
    </row>
    <row r="808" spans="1:4" x14ac:dyDescent="0.35">
      <c r="A808" t="e">
        <f>'Lista de productos'!#REF!</f>
        <v>#REF!</v>
      </c>
      <c r="B808">
        <f>'Lista de productos'!B818</f>
        <v>0</v>
      </c>
      <c r="D808">
        <v>804</v>
      </c>
    </row>
    <row r="809" spans="1:4" x14ac:dyDescent="0.35">
      <c r="A809" t="e">
        <f>'Lista de productos'!#REF!</f>
        <v>#REF!</v>
      </c>
      <c r="B809">
        <f>'Lista de productos'!B819</f>
        <v>0</v>
      </c>
      <c r="D809">
        <v>805</v>
      </c>
    </row>
    <row r="810" spans="1:4" x14ac:dyDescent="0.35">
      <c r="A810" t="e">
        <f>'Lista de productos'!#REF!</f>
        <v>#REF!</v>
      </c>
      <c r="B810">
        <f>'Lista de productos'!B820</f>
        <v>0</v>
      </c>
      <c r="D810">
        <v>806</v>
      </c>
    </row>
    <row r="811" spans="1:4" x14ac:dyDescent="0.35">
      <c r="A811" t="e">
        <f>'Lista de productos'!#REF!</f>
        <v>#REF!</v>
      </c>
      <c r="B811">
        <f>'Lista de productos'!B821</f>
        <v>0</v>
      </c>
      <c r="D811">
        <v>807</v>
      </c>
    </row>
    <row r="812" spans="1:4" x14ac:dyDescent="0.35">
      <c r="A812" t="e">
        <f>'Lista de productos'!#REF!</f>
        <v>#REF!</v>
      </c>
      <c r="B812">
        <f>'Lista de productos'!B822</f>
        <v>0</v>
      </c>
      <c r="D812">
        <v>808</v>
      </c>
    </row>
    <row r="813" spans="1:4" x14ac:dyDescent="0.35">
      <c r="A813" t="e">
        <f>'Lista de productos'!#REF!</f>
        <v>#REF!</v>
      </c>
      <c r="B813">
        <f>'Lista de productos'!B823</f>
        <v>0</v>
      </c>
      <c r="D813">
        <v>809</v>
      </c>
    </row>
    <row r="814" spans="1:4" x14ac:dyDescent="0.35">
      <c r="A814" t="e">
        <f>'Lista de productos'!#REF!</f>
        <v>#REF!</v>
      </c>
      <c r="B814">
        <f>'Lista de productos'!B824</f>
        <v>0</v>
      </c>
      <c r="D814">
        <v>810</v>
      </c>
    </row>
    <row r="815" spans="1:4" x14ac:dyDescent="0.35">
      <c r="A815" t="e">
        <f>'Lista de productos'!#REF!</f>
        <v>#REF!</v>
      </c>
      <c r="B815">
        <f>'Lista de productos'!B825</f>
        <v>0</v>
      </c>
      <c r="D815">
        <v>811</v>
      </c>
    </row>
    <row r="816" spans="1:4" x14ac:dyDescent="0.35">
      <c r="A816" t="e">
        <f>'Lista de productos'!#REF!</f>
        <v>#REF!</v>
      </c>
      <c r="B816">
        <f>'Lista de productos'!B826</f>
        <v>0</v>
      </c>
      <c r="D816">
        <v>812</v>
      </c>
    </row>
    <row r="817" spans="1:4" x14ac:dyDescent="0.35">
      <c r="A817" t="e">
        <f>'Lista de productos'!#REF!</f>
        <v>#REF!</v>
      </c>
      <c r="B817">
        <f>'Lista de productos'!B827</f>
        <v>0</v>
      </c>
      <c r="D817">
        <v>813</v>
      </c>
    </row>
    <row r="818" spans="1:4" x14ac:dyDescent="0.35">
      <c r="A818" t="e">
        <f>'Lista de productos'!#REF!</f>
        <v>#REF!</v>
      </c>
      <c r="B818">
        <f>'Lista de productos'!B828</f>
        <v>0</v>
      </c>
      <c r="D818">
        <v>814</v>
      </c>
    </row>
    <row r="819" spans="1:4" x14ac:dyDescent="0.35">
      <c r="A819" t="e">
        <f>'Lista de productos'!#REF!</f>
        <v>#REF!</v>
      </c>
      <c r="B819">
        <f>'Lista de productos'!B829</f>
        <v>0</v>
      </c>
      <c r="D819">
        <v>815</v>
      </c>
    </row>
    <row r="820" spans="1:4" x14ac:dyDescent="0.35">
      <c r="A820" t="e">
        <f>'Lista de productos'!#REF!</f>
        <v>#REF!</v>
      </c>
      <c r="B820">
        <f>'Lista de productos'!B830</f>
        <v>0</v>
      </c>
      <c r="D820">
        <v>816</v>
      </c>
    </row>
    <row r="821" spans="1:4" x14ac:dyDescent="0.35">
      <c r="A821" t="e">
        <f>'Lista de productos'!#REF!</f>
        <v>#REF!</v>
      </c>
      <c r="B821">
        <f>'Lista de productos'!B831</f>
        <v>0</v>
      </c>
      <c r="D821">
        <v>817</v>
      </c>
    </row>
    <row r="822" spans="1:4" x14ac:dyDescent="0.35">
      <c r="A822" t="e">
        <f>'Lista de productos'!#REF!</f>
        <v>#REF!</v>
      </c>
      <c r="B822">
        <f>'Lista de productos'!B832</f>
        <v>0</v>
      </c>
      <c r="D822">
        <v>818</v>
      </c>
    </row>
    <row r="823" spans="1:4" x14ac:dyDescent="0.35">
      <c r="A823" t="e">
        <f>'Lista de productos'!#REF!</f>
        <v>#REF!</v>
      </c>
      <c r="B823">
        <f>'Lista de productos'!B833</f>
        <v>0</v>
      </c>
      <c r="D823">
        <v>819</v>
      </c>
    </row>
    <row r="824" spans="1:4" x14ac:dyDescent="0.35">
      <c r="A824" t="e">
        <f>'Lista de productos'!#REF!</f>
        <v>#REF!</v>
      </c>
      <c r="B824">
        <f>'Lista de productos'!B834</f>
        <v>0</v>
      </c>
      <c r="D824">
        <v>820</v>
      </c>
    </row>
    <row r="825" spans="1:4" x14ac:dyDescent="0.35">
      <c r="A825" t="e">
        <f>'Lista de productos'!#REF!</f>
        <v>#REF!</v>
      </c>
      <c r="B825">
        <f>'Lista de productos'!B835</f>
        <v>0</v>
      </c>
      <c r="D825">
        <v>821</v>
      </c>
    </row>
    <row r="826" spans="1:4" x14ac:dyDescent="0.35">
      <c r="A826" t="e">
        <f>'Lista de productos'!#REF!</f>
        <v>#REF!</v>
      </c>
      <c r="B826">
        <f>'Lista de productos'!B836</f>
        <v>0</v>
      </c>
      <c r="D826">
        <v>822</v>
      </c>
    </row>
    <row r="827" spans="1:4" x14ac:dyDescent="0.35">
      <c r="A827" t="e">
        <f>'Lista de productos'!#REF!</f>
        <v>#REF!</v>
      </c>
      <c r="B827">
        <f>'Lista de productos'!B837</f>
        <v>0</v>
      </c>
      <c r="D827">
        <v>823</v>
      </c>
    </row>
    <row r="828" spans="1:4" x14ac:dyDescent="0.35">
      <c r="A828" t="e">
        <f>'Lista de productos'!#REF!</f>
        <v>#REF!</v>
      </c>
      <c r="B828">
        <f>'Lista de productos'!B838</f>
        <v>0</v>
      </c>
      <c r="D828">
        <v>824</v>
      </c>
    </row>
    <row r="829" spans="1:4" x14ac:dyDescent="0.35">
      <c r="A829" t="e">
        <f>'Lista de productos'!#REF!</f>
        <v>#REF!</v>
      </c>
      <c r="B829">
        <f>'Lista de productos'!B839</f>
        <v>0</v>
      </c>
      <c r="D829">
        <v>825</v>
      </c>
    </row>
    <row r="830" spans="1:4" x14ac:dyDescent="0.35">
      <c r="A830" t="e">
        <f>'Lista de productos'!#REF!</f>
        <v>#REF!</v>
      </c>
      <c r="B830">
        <f>'Lista de productos'!B840</f>
        <v>0</v>
      </c>
      <c r="D830">
        <v>826</v>
      </c>
    </row>
    <row r="831" spans="1:4" x14ac:dyDescent="0.35">
      <c r="A831" t="e">
        <f>'Lista de productos'!#REF!</f>
        <v>#REF!</v>
      </c>
      <c r="B831">
        <f>'Lista de productos'!B841</f>
        <v>0</v>
      </c>
      <c r="D831">
        <v>827</v>
      </c>
    </row>
    <row r="832" spans="1:4" x14ac:dyDescent="0.35">
      <c r="A832" t="e">
        <f>'Lista de productos'!#REF!</f>
        <v>#REF!</v>
      </c>
      <c r="B832">
        <f>'Lista de productos'!B842</f>
        <v>0</v>
      </c>
      <c r="D832">
        <v>828</v>
      </c>
    </row>
    <row r="833" spans="1:4" x14ac:dyDescent="0.35">
      <c r="A833" t="e">
        <f>'Lista de productos'!#REF!</f>
        <v>#REF!</v>
      </c>
      <c r="B833">
        <f>'Lista de productos'!B843</f>
        <v>0</v>
      </c>
      <c r="D833">
        <v>829</v>
      </c>
    </row>
    <row r="834" spans="1:4" x14ac:dyDescent="0.35">
      <c r="A834" t="e">
        <f>'Lista de productos'!#REF!</f>
        <v>#REF!</v>
      </c>
      <c r="B834">
        <f>'Lista de productos'!B844</f>
        <v>0</v>
      </c>
      <c r="D834">
        <v>830</v>
      </c>
    </row>
    <row r="835" spans="1:4" x14ac:dyDescent="0.35">
      <c r="A835" t="e">
        <f>'Lista de productos'!#REF!</f>
        <v>#REF!</v>
      </c>
      <c r="B835">
        <f>'Lista de productos'!B845</f>
        <v>0</v>
      </c>
      <c r="D835">
        <v>831</v>
      </c>
    </row>
    <row r="836" spans="1:4" x14ac:dyDescent="0.35">
      <c r="A836" t="e">
        <f>'Lista de productos'!#REF!</f>
        <v>#REF!</v>
      </c>
      <c r="B836">
        <f>'Lista de productos'!B846</f>
        <v>0</v>
      </c>
      <c r="D836">
        <v>832</v>
      </c>
    </row>
    <row r="837" spans="1:4" x14ac:dyDescent="0.35">
      <c r="A837" t="e">
        <f>'Lista de productos'!#REF!</f>
        <v>#REF!</v>
      </c>
      <c r="B837">
        <f>'Lista de productos'!B847</f>
        <v>0</v>
      </c>
      <c r="D837">
        <v>833</v>
      </c>
    </row>
    <row r="838" spans="1:4" x14ac:dyDescent="0.35">
      <c r="A838" t="e">
        <f>'Lista de productos'!#REF!</f>
        <v>#REF!</v>
      </c>
      <c r="B838">
        <f>'Lista de productos'!B848</f>
        <v>0</v>
      </c>
      <c r="D838">
        <v>834</v>
      </c>
    </row>
    <row r="839" spans="1:4" x14ac:dyDescent="0.35">
      <c r="A839" t="e">
        <f>'Lista de productos'!#REF!</f>
        <v>#REF!</v>
      </c>
      <c r="B839">
        <f>'Lista de productos'!B849</f>
        <v>0</v>
      </c>
      <c r="D839">
        <v>835</v>
      </c>
    </row>
    <row r="840" spans="1:4" x14ac:dyDescent="0.35">
      <c r="A840" t="e">
        <f>'Lista de productos'!#REF!</f>
        <v>#REF!</v>
      </c>
      <c r="B840">
        <f>'Lista de productos'!B850</f>
        <v>0</v>
      </c>
      <c r="D840">
        <v>836</v>
      </c>
    </row>
    <row r="841" spans="1:4" x14ac:dyDescent="0.35">
      <c r="A841" t="e">
        <f>'Lista de productos'!#REF!</f>
        <v>#REF!</v>
      </c>
      <c r="B841">
        <f>'Lista de productos'!B851</f>
        <v>0</v>
      </c>
      <c r="D841">
        <v>837</v>
      </c>
    </row>
    <row r="842" spans="1:4" x14ac:dyDescent="0.35">
      <c r="A842" t="e">
        <f>'Lista de productos'!#REF!</f>
        <v>#REF!</v>
      </c>
      <c r="B842">
        <f>'Lista de productos'!B852</f>
        <v>0</v>
      </c>
      <c r="D842">
        <v>838</v>
      </c>
    </row>
    <row r="843" spans="1:4" x14ac:dyDescent="0.35">
      <c r="A843" t="e">
        <f>'Lista de productos'!#REF!</f>
        <v>#REF!</v>
      </c>
      <c r="B843">
        <f>'Lista de productos'!B853</f>
        <v>0</v>
      </c>
      <c r="D843">
        <v>839</v>
      </c>
    </row>
    <row r="844" spans="1:4" x14ac:dyDescent="0.35">
      <c r="A844" t="e">
        <f>'Lista de productos'!#REF!</f>
        <v>#REF!</v>
      </c>
      <c r="B844">
        <f>'Lista de productos'!B854</f>
        <v>0</v>
      </c>
      <c r="D844">
        <v>840</v>
      </c>
    </row>
    <row r="845" spans="1:4" x14ac:dyDescent="0.35">
      <c r="A845" t="e">
        <f>'Lista de productos'!#REF!</f>
        <v>#REF!</v>
      </c>
      <c r="B845">
        <f>'Lista de productos'!B855</f>
        <v>0</v>
      </c>
      <c r="D845">
        <v>841</v>
      </c>
    </row>
    <row r="846" spans="1:4" x14ac:dyDescent="0.35">
      <c r="A846" t="e">
        <f>'Lista de productos'!#REF!</f>
        <v>#REF!</v>
      </c>
      <c r="B846">
        <f>'Lista de productos'!B856</f>
        <v>0</v>
      </c>
      <c r="D846">
        <v>842</v>
      </c>
    </row>
    <row r="847" spans="1:4" x14ac:dyDescent="0.35">
      <c r="A847" t="e">
        <f>'Lista de productos'!#REF!</f>
        <v>#REF!</v>
      </c>
      <c r="B847">
        <f>'Lista de productos'!B857</f>
        <v>0</v>
      </c>
      <c r="D847">
        <v>843</v>
      </c>
    </row>
    <row r="848" spans="1:4" x14ac:dyDescent="0.35">
      <c r="A848" t="e">
        <f>'Lista de productos'!#REF!</f>
        <v>#REF!</v>
      </c>
      <c r="B848">
        <f>'Lista de productos'!B858</f>
        <v>0</v>
      </c>
      <c r="D848">
        <v>844</v>
      </c>
    </row>
    <row r="849" spans="1:4" x14ac:dyDescent="0.35">
      <c r="A849" t="e">
        <f>'Lista de productos'!#REF!</f>
        <v>#REF!</v>
      </c>
      <c r="B849">
        <f>'Lista de productos'!B859</f>
        <v>0</v>
      </c>
      <c r="D849">
        <v>845</v>
      </c>
    </row>
    <row r="850" spans="1:4" x14ac:dyDescent="0.35">
      <c r="A850" t="e">
        <f>'Lista de productos'!#REF!</f>
        <v>#REF!</v>
      </c>
      <c r="B850">
        <f>'Lista de productos'!B860</f>
        <v>0</v>
      </c>
      <c r="D850">
        <v>846</v>
      </c>
    </row>
    <row r="851" spans="1:4" x14ac:dyDescent="0.35">
      <c r="A851" t="e">
        <f>'Lista de productos'!#REF!</f>
        <v>#REF!</v>
      </c>
      <c r="B851">
        <f>'Lista de productos'!B861</f>
        <v>0</v>
      </c>
      <c r="D851">
        <v>847</v>
      </c>
    </row>
    <row r="852" spans="1:4" x14ac:dyDescent="0.35">
      <c r="A852" t="e">
        <f>'Lista de productos'!#REF!</f>
        <v>#REF!</v>
      </c>
      <c r="B852">
        <f>'Lista de productos'!B862</f>
        <v>0</v>
      </c>
      <c r="D852">
        <v>848</v>
      </c>
    </row>
    <row r="853" spans="1:4" x14ac:dyDescent="0.35">
      <c r="A853" t="e">
        <f>'Lista de productos'!#REF!</f>
        <v>#REF!</v>
      </c>
      <c r="B853">
        <f>'Lista de productos'!B863</f>
        <v>0</v>
      </c>
      <c r="D853">
        <v>849</v>
      </c>
    </row>
    <row r="854" spans="1:4" x14ac:dyDescent="0.35">
      <c r="A854" t="e">
        <f>'Lista de productos'!#REF!</f>
        <v>#REF!</v>
      </c>
      <c r="B854">
        <f>'Lista de productos'!B864</f>
        <v>0</v>
      </c>
      <c r="D854">
        <v>850</v>
      </c>
    </row>
    <row r="855" spans="1:4" x14ac:dyDescent="0.35">
      <c r="A855" t="e">
        <f>'Lista de productos'!#REF!</f>
        <v>#REF!</v>
      </c>
      <c r="B855">
        <f>'Lista de productos'!B865</f>
        <v>0</v>
      </c>
      <c r="D855">
        <v>851</v>
      </c>
    </row>
    <row r="856" spans="1:4" x14ac:dyDescent="0.35">
      <c r="A856" t="e">
        <f>'Lista de productos'!#REF!</f>
        <v>#REF!</v>
      </c>
      <c r="B856">
        <f>'Lista de productos'!B866</f>
        <v>0</v>
      </c>
      <c r="D856">
        <v>852</v>
      </c>
    </row>
    <row r="857" spans="1:4" x14ac:dyDescent="0.35">
      <c r="A857" t="e">
        <f>'Lista de productos'!#REF!</f>
        <v>#REF!</v>
      </c>
      <c r="B857">
        <f>'Lista de productos'!B867</f>
        <v>0</v>
      </c>
      <c r="D857">
        <v>853</v>
      </c>
    </row>
    <row r="858" spans="1:4" x14ac:dyDescent="0.35">
      <c r="A858" t="e">
        <f>'Lista de productos'!#REF!</f>
        <v>#REF!</v>
      </c>
      <c r="B858">
        <f>'Lista de productos'!B868</f>
        <v>0</v>
      </c>
      <c r="D858">
        <v>854</v>
      </c>
    </row>
    <row r="859" spans="1:4" x14ac:dyDescent="0.35">
      <c r="A859" t="e">
        <f>'Lista de productos'!#REF!</f>
        <v>#REF!</v>
      </c>
      <c r="B859">
        <f>'Lista de productos'!B869</f>
        <v>0</v>
      </c>
      <c r="D859">
        <v>855</v>
      </c>
    </row>
    <row r="860" spans="1:4" x14ac:dyDescent="0.35">
      <c r="A860" t="e">
        <f>'Lista de productos'!#REF!</f>
        <v>#REF!</v>
      </c>
      <c r="B860">
        <f>'Lista de productos'!B870</f>
        <v>0</v>
      </c>
      <c r="D860">
        <v>856</v>
      </c>
    </row>
    <row r="861" spans="1:4" x14ac:dyDescent="0.35">
      <c r="A861" t="e">
        <f>'Lista de productos'!#REF!</f>
        <v>#REF!</v>
      </c>
      <c r="B861">
        <f>'Lista de productos'!B871</f>
        <v>0</v>
      </c>
      <c r="D861">
        <v>857</v>
      </c>
    </row>
    <row r="862" spans="1:4" x14ac:dyDescent="0.35">
      <c r="A862" t="e">
        <f>'Lista de productos'!#REF!</f>
        <v>#REF!</v>
      </c>
      <c r="B862">
        <f>'Lista de productos'!B872</f>
        <v>0</v>
      </c>
      <c r="D862">
        <v>858</v>
      </c>
    </row>
    <row r="863" spans="1:4" x14ac:dyDescent="0.35">
      <c r="A863" t="e">
        <f>'Lista de productos'!#REF!</f>
        <v>#REF!</v>
      </c>
      <c r="B863">
        <f>'Lista de productos'!B873</f>
        <v>0</v>
      </c>
      <c r="D863">
        <v>859</v>
      </c>
    </row>
    <row r="864" spans="1:4" x14ac:dyDescent="0.35">
      <c r="A864" t="e">
        <f>'Lista de productos'!#REF!</f>
        <v>#REF!</v>
      </c>
      <c r="B864">
        <f>'Lista de productos'!B874</f>
        <v>0</v>
      </c>
      <c r="D864">
        <v>860</v>
      </c>
    </row>
    <row r="865" spans="1:4" x14ac:dyDescent="0.35">
      <c r="A865" t="e">
        <f>'Lista de productos'!#REF!</f>
        <v>#REF!</v>
      </c>
      <c r="B865">
        <f>'Lista de productos'!B875</f>
        <v>0</v>
      </c>
      <c r="D865">
        <v>861</v>
      </c>
    </row>
    <row r="866" spans="1:4" x14ac:dyDescent="0.35">
      <c r="A866" t="e">
        <f>'Lista de productos'!#REF!</f>
        <v>#REF!</v>
      </c>
      <c r="B866">
        <f>'Lista de productos'!B876</f>
        <v>0</v>
      </c>
      <c r="D866">
        <v>862</v>
      </c>
    </row>
    <row r="867" spans="1:4" x14ac:dyDescent="0.35">
      <c r="A867" t="e">
        <f>'Lista de productos'!#REF!</f>
        <v>#REF!</v>
      </c>
      <c r="B867">
        <f>'Lista de productos'!B877</f>
        <v>0</v>
      </c>
      <c r="D867">
        <v>863</v>
      </c>
    </row>
    <row r="868" spans="1:4" x14ac:dyDescent="0.35">
      <c r="A868" t="e">
        <f>'Lista de productos'!#REF!</f>
        <v>#REF!</v>
      </c>
      <c r="B868">
        <f>'Lista de productos'!B878</f>
        <v>0</v>
      </c>
      <c r="D868">
        <v>864</v>
      </c>
    </row>
    <row r="869" spans="1:4" x14ac:dyDescent="0.35">
      <c r="A869" t="e">
        <f>'Lista de productos'!#REF!</f>
        <v>#REF!</v>
      </c>
      <c r="B869">
        <f>'Lista de productos'!B879</f>
        <v>0</v>
      </c>
      <c r="D869">
        <v>865</v>
      </c>
    </row>
    <row r="870" spans="1:4" x14ac:dyDescent="0.35">
      <c r="A870" t="e">
        <f>'Lista de productos'!#REF!</f>
        <v>#REF!</v>
      </c>
      <c r="B870">
        <f>'Lista de productos'!B880</f>
        <v>0</v>
      </c>
      <c r="D870">
        <v>866</v>
      </c>
    </row>
    <row r="871" spans="1:4" x14ac:dyDescent="0.35">
      <c r="A871" t="e">
        <f>'Lista de productos'!#REF!</f>
        <v>#REF!</v>
      </c>
      <c r="B871">
        <f>'Lista de productos'!B881</f>
        <v>0</v>
      </c>
      <c r="D871">
        <v>867</v>
      </c>
    </row>
    <row r="872" spans="1:4" x14ac:dyDescent="0.35">
      <c r="A872" t="e">
        <f>'Lista de productos'!#REF!</f>
        <v>#REF!</v>
      </c>
      <c r="B872">
        <f>'Lista de productos'!B882</f>
        <v>0</v>
      </c>
      <c r="D872">
        <v>868</v>
      </c>
    </row>
    <row r="873" spans="1:4" x14ac:dyDescent="0.35">
      <c r="A873" t="e">
        <f>'Lista de productos'!#REF!</f>
        <v>#REF!</v>
      </c>
      <c r="B873">
        <f>'Lista de productos'!B883</f>
        <v>0</v>
      </c>
      <c r="D873">
        <v>869</v>
      </c>
    </row>
    <row r="874" spans="1:4" x14ac:dyDescent="0.35">
      <c r="A874" t="e">
        <f>'Lista de productos'!#REF!</f>
        <v>#REF!</v>
      </c>
      <c r="B874">
        <f>'Lista de productos'!B884</f>
        <v>0</v>
      </c>
      <c r="D874">
        <v>870</v>
      </c>
    </row>
    <row r="875" spans="1:4" x14ac:dyDescent="0.35">
      <c r="A875" t="e">
        <f>'Lista de productos'!#REF!</f>
        <v>#REF!</v>
      </c>
      <c r="B875">
        <f>'Lista de productos'!B885</f>
        <v>0</v>
      </c>
      <c r="D875">
        <v>871</v>
      </c>
    </row>
    <row r="876" spans="1:4" x14ac:dyDescent="0.35">
      <c r="A876" t="e">
        <f>'Lista de productos'!#REF!</f>
        <v>#REF!</v>
      </c>
      <c r="B876">
        <f>'Lista de productos'!B886</f>
        <v>0</v>
      </c>
      <c r="D876">
        <v>872</v>
      </c>
    </row>
    <row r="877" spans="1:4" x14ac:dyDescent="0.35">
      <c r="A877" t="e">
        <f>'Lista de productos'!#REF!</f>
        <v>#REF!</v>
      </c>
      <c r="B877">
        <f>'Lista de productos'!B887</f>
        <v>0</v>
      </c>
      <c r="D877">
        <v>873</v>
      </c>
    </row>
    <row r="878" spans="1:4" x14ac:dyDescent="0.35">
      <c r="A878" t="e">
        <f>'Lista de productos'!#REF!</f>
        <v>#REF!</v>
      </c>
      <c r="B878">
        <f>'Lista de productos'!B888</f>
        <v>0</v>
      </c>
      <c r="D878">
        <v>874</v>
      </c>
    </row>
    <row r="879" spans="1:4" x14ac:dyDescent="0.35">
      <c r="A879" t="e">
        <f>'Lista de productos'!#REF!</f>
        <v>#REF!</v>
      </c>
      <c r="B879">
        <f>'Lista de productos'!B889</f>
        <v>0</v>
      </c>
      <c r="D879">
        <v>875</v>
      </c>
    </row>
    <row r="880" spans="1:4" x14ac:dyDescent="0.35">
      <c r="A880" t="e">
        <f>'Lista de productos'!#REF!</f>
        <v>#REF!</v>
      </c>
      <c r="B880">
        <f>'Lista de productos'!B890</f>
        <v>0</v>
      </c>
      <c r="D880">
        <v>876</v>
      </c>
    </row>
    <row r="881" spans="1:4" x14ac:dyDescent="0.35">
      <c r="A881" t="e">
        <f>'Lista de productos'!#REF!</f>
        <v>#REF!</v>
      </c>
      <c r="B881">
        <f>'Lista de productos'!B891</f>
        <v>0</v>
      </c>
      <c r="D881">
        <v>877</v>
      </c>
    </row>
    <row r="882" spans="1:4" x14ac:dyDescent="0.35">
      <c r="A882" t="e">
        <f>'Lista de productos'!#REF!</f>
        <v>#REF!</v>
      </c>
      <c r="B882">
        <f>'Lista de productos'!B892</f>
        <v>0</v>
      </c>
      <c r="D882">
        <v>878</v>
      </c>
    </row>
    <row r="883" spans="1:4" x14ac:dyDescent="0.35">
      <c r="A883" t="e">
        <f>'Lista de productos'!#REF!</f>
        <v>#REF!</v>
      </c>
      <c r="B883">
        <f>'Lista de productos'!B893</f>
        <v>0</v>
      </c>
      <c r="D883">
        <v>879</v>
      </c>
    </row>
    <row r="884" spans="1:4" x14ac:dyDescent="0.35">
      <c r="A884" t="e">
        <f>'Lista de productos'!#REF!</f>
        <v>#REF!</v>
      </c>
      <c r="B884">
        <f>'Lista de productos'!B894</f>
        <v>0</v>
      </c>
      <c r="D884">
        <v>880</v>
      </c>
    </row>
    <row r="885" spans="1:4" x14ac:dyDescent="0.35">
      <c r="A885" t="e">
        <f>'Lista de productos'!#REF!</f>
        <v>#REF!</v>
      </c>
      <c r="B885">
        <f>'Lista de productos'!B895</f>
        <v>0</v>
      </c>
      <c r="D885">
        <v>881</v>
      </c>
    </row>
    <row r="886" spans="1:4" x14ac:dyDescent="0.35">
      <c r="A886" t="e">
        <f>'Lista de productos'!#REF!</f>
        <v>#REF!</v>
      </c>
      <c r="B886">
        <f>'Lista de productos'!B896</f>
        <v>0</v>
      </c>
      <c r="D886">
        <v>882</v>
      </c>
    </row>
    <row r="887" spans="1:4" x14ac:dyDescent="0.35">
      <c r="A887" t="e">
        <f>'Lista de productos'!#REF!</f>
        <v>#REF!</v>
      </c>
      <c r="B887">
        <f>'Lista de productos'!B897</f>
        <v>0</v>
      </c>
      <c r="D887">
        <v>883</v>
      </c>
    </row>
    <row r="888" spans="1:4" x14ac:dyDescent="0.35">
      <c r="A888" t="e">
        <f>'Lista de productos'!#REF!</f>
        <v>#REF!</v>
      </c>
      <c r="B888">
        <f>'Lista de productos'!B898</f>
        <v>0</v>
      </c>
      <c r="D888">
        <v>884</v>
      </c>
    </row>
    <row r="889" spans="1:4" x14ac:dyDescent="0.35">
      <c r="A889" t="e">
        <f>'Lista de productos'!#REF!</f>
        <v>#REF!</v>
      </c>
      <c r="B889">
        <f>'Lista de productos'!B899</f>
        <v>0</v>
      </c>
      <c r="D889">
        <v>885</v>
      </c>
    </row>
    <row r="890" spans="1:4" x14ac:dyDescent="0.35">
      <c r="A890" t="e">
        <f>'Lista de productos'!#REF!</f>
        <v>#REF!</v>
      </c>
      <c r="B890">
        <f>'Lista de productos'!B900</f>
        <v>0</v>
      </c>
      <c r="D890">
        <v>886</v>
      </c>
    </row>
    <row r="891" spans="1:4" x14ac:dyDescent="0.35">
      <c r="A891" t="e">
        <f>'Lista de productos'!#REF!</f>
        <v>#REF!</v>
      </c>
      <c r="B891">
        <f>'Lista de productos'!B901</f>
        <v>0</v>
      </c>
      <c r="D891">
        <v>887</v>
      </c>
    </row>
    <row r="892" spans="1:4" x14ac:dyDescent="0.35">
      <c r="A892" t="e">
        <f>'Lista de productos'!#REF!</f>
        <v>#REF!</v>
      </c>
      <c r="B892">
        <f>'Lista de productos'!B902</f>
        <v>0</v>
      </c>
      <c r="D892">
        <v>888</v>
      </c>
    </row>
    <row r="893" spans="1:4" x14ac:dyDescent="0.35">
      <c r="A893" t="e">
        <f>'Lista de productos'!#REF!</f>
        <v>#REF!</v>
      </c>
      <c r="B893">
        <f>'Lista de productos'!B903</f>
        <v>0</v>
      </c>
      <c r="D893">
        <v>889</v>
      </c>
    </row>
    <row r="894" spans="1:4" x14ac:dyDescent="0.35">
      <c r="A894" t="e">
        <f>'Lista de productos'!#REF!</f>
        <v>#REF!</v>
      </c>
      <c r="B894">
        <f>'Lista de productos'!B904</f>
        <v>0</v>
      </c>
      <c r="D894">
        <v>890</v>
      </c>
    </row>
    <row r="895" spans="1:4" x14ac:dyDescent="0.35">
      <c r="A895" t="e">
        <f>'Lista de productos'!#REF!</f>
        <v>#REF!</v>
      </c>
      <c r="B895">
        <f>'Lista de productos'!B905</f>
        <v>0</v>
      </c>
      <c r="D895">
        <v>891</v>
      </c>
    </row>
    <row r="896" spans="1:4" x14ac:dyDescent="0.35">
      <c r="A896" t="e">
        <f>'Lista de productos'!#REF!</f>
        <v>#REF!</v>
      </c>
      <c r="B896">
        <f>'Lista de productos'!B906</f>
        <v>0</v>
      </c>
      <c r="D896">
        <v>892</v>
      </c>
    </row>
    <row r="897" spans="1:4" x14ac:dyDescent="0.35">
      <c r="A897" t="e">
        <f>'Lista de productos'!#REF!</f>
        <v>#REF!</v>
      </c>
      <c r="B897">
        <f>'Lista de productos'!B907</f>
        <v>0</v>
      </c>
      <c r="D897">
        <v>893</v>
      </c>
    </row>
    <row r="898" spans="1:4" x14ac:dyDescent="0.35">
      <c r="A898" t="e">
        <f>'Lista de productos'!#REF!</f>
        <v>#REF!</v>
      </c>
      <c r="B898">
        <f>'Lista de productos'!B908</f>
        <v>0</v>
      </c>
      <c r="D898">
        <v>894</v>
      </c>
    </row>
    <row r="899" spans="1:4" x14ac:dyDescent="0.35">
      <c r="A899" t="e">
        <f>'Lista de productos'!#REF!</f>
        <v>#REF!</v>
      </c>
      <c r="B899">
        <f>'Lista de productos'!B909</f>
        <v>0</v>
      </c>
      <c r="D899">
        <v>895</v>
      </c>
    </row>
    <row r="900" spans="1:4" x14ac:dyDescent="0.35">
      <c r="A900" t="e">
        <f>'Lista de productos'!#REF!</f>
        <v>#REF!</v>
      </c>
      <c r="B900">
        <f>'Lista de productos'!B910</f>
        <v>0</v>
      </c>
      <c r="D900">
        <v>896</v>
      </c>
    </row>
    <row r="901" spans="1:4" x14ac:dyDescent="0.35">
      <c r="A901" t="e">
        <f>'Lista de productos'!#REF!</f>
        <v>#REF!</v>
      </c>
      <c r="B901">
        <f>'Lista de productos'!B911</f>
        <v>0</v>
      </c>
      <c r="D901">
        <v>897</v>
      </c>
    </row>
    <row r="902" spans="1:4" x14ac:dyDescent="0.35">
      <c r="A902" t="e">
        <f>'Lista de productos'!#REF!</f>
        <v>#REF!</v>
      </c>
      <c r="B902">
        <f>'Lista de productos'!B912</f>
        <v>0</v>
      </c>
      <c r="D902">
        <v>898</v>
      </c>
    </row>
    <row r="903" spans="1:4" x14ac:dyDescent="0.35">
      <c r="A903" t="e">
        <f>'Lista de productos'!#REF!</f>
        <v>#REF!</v>
      </c>
      <c r="B903">
        <f>'Lista de productos'!B913</f>
        <v>0</v>
      </c>
      <c r="D903">
        <v>899</v>
      </c>
    </row>
    <row r="904" spans="1:4" x14ac:dyDescent="0.35">
      <c r="A904" t="e">
        <f>'Lista de productos'!#REF!</f>
        <v>#REF!</v>
      </c>
      <c r="B904">
        <f>'Lista de productos'!B914</f>
        <v>0</v>
      </c>
      <c r="D904">
        <v>900</v>
      </c>
    </row>
    <row r="905" spans="1:4" x14ac:dyDescent="0.35">
      <c r="A905" t="e">
        <f>'Lista de productos'!#REF!</f>
        <v>#REF!</v>
      </c>
      <c r="B905">
        <f>'Lista de productos'!B915</f>
        <v>0</v>
      </c>
      <c r="D905">
        <v>901</v>
      </c>
    </row>
    <row r="906" spans="1:4" x14ac:dyDescent="0.35">
      <c r="A906" t="e">
        <f>'Lista de productos'!#REF!</f>
        <v>#REF!</v>
      </c>
      <c r="B906">
        <f>'Lista de productos'!B916</f>
        <v>0</v>
      </c>
      <c r="D906">
        <v>902</v>
      </c>
    </row>
    <row r="907" spans="1:4" x14ac:dyDescent="0.35">
      <c r="A907" t="e">
        <f>'Lista de productos'!#REF!</f>
        <v>#REF!</v>
      </c>
      <c r="B907">
        <f>'Lista de productos'!B917</f>
        <v>0</v>
      </c>
      <c r="D907">
        <v>903</v>
      </c>
    </row>
    <row r="908" spans="1:4" x14ac:dyDescent="0.35">
      <c r="A908" t="e">
        <f>'Lista de productos'!#REF!</f>
        <v>#REF!</v>
      </c>
      <c r="B908">
        <f>'Lista de productos'!B918</f>
        <v>0</v>
      </c>
      <c r="D908">
        <v>904</v>
      </c>
    </row>
    <row r="909" spans="1:4" x14ac:dyDescent="0.35">
      <c r="A909" t="e">
        <f>'Lista de productos'!#REF!</f>
        <v>#REF!</v>
      </c>
      <c r="B909">
        <f>'Lista de productos'!B919</f>
        <v>0</v>
      </c>
      <c r="D909">
        <v>905</v>
      </c>
    </row>
    <row r="910" spans="1:4" x14ac:dyDescent="0.35">
      <c r="A910" t="e">
        <f>'Lista de productos'!#REF!</f>
        <v>#REF!</v>
      </c>
      <c r="B910">
        <f>'Lista de productos'!B920</f>
        <v>0</v>
      </c>
      <c r="D910">
        <v>906</v>
      </c>
    </row>
    <row r="911" spans="1:4" x14ac:dyDescent="0.35">
      <c r="A911" t="e">
        <f>'Lista de productos'!#REF!</f>
        <v>#REF!</v>
      </c>
      <c r="B911">
        <f>'Lista de productos'!B921</f>
        <v>0</v>
      </c>
      <c r="D911">
        <v>907</v>
      </c>
    </row>
    <row r="912" spans="1:4" x14ac:dyDescent="0.35">
      <c r="A912" t="e">
        <f>'Lista de productos'!#REF!</f>
        <v>#REF!</v>
      </c>
      <c r="B912">
        <f>'Lista de productos'!B922</f>
        <v>0</v>
      </c>
      <c r="D912">
        <v>908</v>
      </c>
    </row>
    <row r="913" spans="1:4" x14ac:dyDescent="0.35">
      <c r="A913" t="e">
        <f>'Lista de productos'!#REF!</f>
        <v>#REF!</v>
      </c>
      <c r="B913">
        <f>'Lista de productos'!B923</f>
        <v>0</v>
      </c>
      <c r="D913">
        <v>909</v>
      </c>
    </row>
    <row r="914" spans="1:4" x14ac:dyDescent="0.35">
      <c r="A914" t="e">
        <f>'Lista de productos'!#REF!</f>
        <v>#REF!</v>
      </c>
      <c r="B914">
        <f>'Lista de productos'!B924</f>
        <v>0</v>
      </c>
      <c r="D914">
        <v>910</v>
      </c>
    </row>
    <row r="915" spans="1:4" x14ac:dyDescent="0.35">
      <c r="A915" t="e">
        <f>'Lista de productos'!#REF!</f>
        <v>#REF!</v>
      </c>
      <c r="B915">
        <f>'Lista de productos'!B925</f>
        <v>0</v>
      </c>
      <c r="D915">
        <v>911</v>
      </c>
    </row>
    <row r="916" spans="1:4" x14ac:dyDescent="0.35">
      <c r="A916" t="e">
        <f>'Lista de productos'!#REF!</f>
        <v>#REF!</v>
      </c>
      <c r="B916">
        <f>'Lista de productos'!B926</f>
        <v>0</v>
      </c>
      <c r="D916">
        <v>912</v>
      </c>
    </row>
    <row r="917" spans="1:4" x14ac:dyDescent="0.35">
      <c r="A917" t="e">
        <f>'Lista de productos'!#REF!</f>
        <v>#REF!</v>
      </c>
      <c r="B917">
        <f>'Lista de productos'!B927</f>
        <v>0</v>
      </c>
      <c r="D917">
        <v>913</v>
      </c>
    </row>
    <row r="918" spans="1:4" x14ac:dyDescent="0.35">
      <c r="A918" t="e">
        <f>'Lista de productos'!#REF!</f>
        <v>#REF!</v>
      </c>
      <c r="B918">
        <f>'Lista de productos'!B928</f>
        <v>0</v>
      </c>
      <c r="D918">
        <v>914</v>
      </c>
    </row>
    <row r="919" spans="1:4" x14ac:dyDescent="0.35">
      <c r="A919" t="e">
        <f>'Lista de productos'!#REF!</f>
        <v>#REF!</v>
      </c>
      <c r="B919">
        <f>'Lista de productos'!B929</f>
        <v>0</v>
      </c>
      <c r="D919">
        <v>915</v>
      </c>
    </row>
    <row r="920" spans="1:4" x14ac:dyDescent="0.35">
      <c r="A920" t="e">
        <f>'Lista de productos'!#REF!</f>
        <v>#REF!</v>
      </c>
      <c r="B920">
        <f>'Lista de productos'!B930</f>
        <v>0</v>
      </c>
      <c r="D920">
        <v>916</v>
      </c>
    </row>
    <row r="921" spans="1:4" x14ac:dyDescent="0.35">
      <c r="A921" t="e">
        <f>'Lista de productos'!#REF!</f>
        <v>#REF!</v>
      </c>
      <c r="B921">
        <f>'Lista de productos'!B931</f>
        <v>0</v>
      </c>
      <c r="D921">
        <v>917</v>
      </c>
    </row>
    <row r="922" spans="1:4" x14ac:dyDescent="0.35">
      <c r="A922" t="e">
        <f>'Lista de productos'!#REF!</f>
        <v>#REF!</v>
      </c>
      <c r="B922">
        <f>'Lista de productos'!B932</f>
        <v>0</v>
      </c>
      <c r="D922">
        <v>918</v>
      </c>
    </row>
    <row r="923" spans="1:4" x14ac:dyDescent="0.35">
      <c r="A923" t="e">
        <f>'Lista de productos'!#REF!</f>
        <v>#REF!</v>
      </c>
      <c r="B923">
        <f>'Lista de productos'!B933</f>
        <v>0</v>
      </c>
      <c r="D923">
        <v>919</v>
      </c>
    </row>
    <row r="924" spans="1:4" x14ac:dyDescent="0.35">
      <c r="A924" t="e">
        <f>'Lista de productos'!#REF!</f>
        <v>#REF!</v>
      </c>
      <c r="B924">
        <f>'Lista de productos'!B934</f>
        <v>0</v>
      </c>
      <c r="D924">
        <v>920</v>
      </c>
    </row>
    <row r="925" spans="1:4" x14ac:dyDescent="0.35">
      <c r="A925" t="e">
        <f>'Lista de productos'!#REF!</f>
        <v>#REF!</v>
      </c>
      <c r="B925">
        <f>'Lista de productos'!B935</f>
        <v>0</v>
      </c>
      <c r="D925">
        <v>921</v>
      </c>
    </row>
    <row r="926" spans="1:4" x14ac:dyDescent="0.35">
      <c r="A926" t="e">
        <f>'Lista de productos'!#REF!</f>
        <v>#REF!</v>
      </c>
      <c r="B926">
        <f>'Lista de productos'!B936</f>
        <v>0</v>
      </c>
      <c r="D926">
        <v>922</v>
      </c>
    </row>
    <row r="927" spans="1:4" x14ac:dyDescent="0.35">
      <c r="A927" t="e">
        <f>'Lista de productos'!#REF!</f>
        <v>#REF!</v>
      </c>
      <c r="B927">
        <f>'Lista de productos'!B937</f>
        <v>0</v>
      </c>
      <c r="D927">
        <v>923</v>
      </c>
    </row>
    <row r="928" spans="1:4" x14ac:dyDescent="0.35">
      <c r="A928" t="e">
        <f>'Lista de productos'!#REF!</f>
        <v>#REF!</v>
      </c>
      <c r="B928">
        <f>'Lista de productos'!B938</f>
        <v>0</v>
      </c>
      <c r="D928">
        <v>924</v>
      </c>
    </row>
    <row r="929" spans="1:4" x14ac:dyDescent="0.35">
      <c r="A929" t="e">
        <f>'Lista de productos'!#REF!</f>
        <v>#REF!</v>
      </c>
      <c r="B929">
        <f>'Lista de productos'!B939</f>
        <v>0</v>
      </c>
      <c r="D929">
        <v>925</v>
      </c>
    </row>
    <row r="930" spans="1:4" x14ac:dyDescent="0.35">
      <c r="A930" t="e">
        <f>'Lista de productos'!#REF!</f>
        <v>#REF!</v>
      </c>
      <c r="B930">
        <f>'Lista de productos'!B940</f>
        <v>0</v>
      </c>
      <c r="D930">
        <v>926</v>
      </c>
    </row>
    <row r="931" spans="1:4" x14ac:dyDescent="0.35">
      <c r="A931" t="e">
        <f>'Lista de productos'!#REF!</f>
        <v>#REF!</v>
      </c>
      <c r="B931">
        <f>'Lista de productos'!B941</f>
        <v>0</v>
      </c>
      <c r="D931">
        <v>927</v>
      </c>
    </row>
    <row r="932" spans="1:4" x14ac:dyDescent="0.35">
      <c r="A932" t="e">
        <f>'Lista de productos'!#REF!</f>
        <v>#REF!</v>
      </c>
      <c r="B932">
        <f>'Lista de productos'!B942</f>
        <v>0</v>
      </c>
      <c r="D932">
        <v>928</v>
      </c>
    </row>
    <row r="933" spans="1:4" x14ac:dyDescent="0.35">
      <c r="A933" t="e">
        <f>'Lista de productos'!#REF!</f>
        <v>#REF!</v>
      </c>
      <c r="B933">
        <f>'Lista de productos'!B943</f>
        <v>0</v>
      </c>
      <c r="D933">
        <v>929</v>
      </c>
    </row>
    <row r="934" spans="1:4" x14ac:dyDescent="0.35">
      <c r="A934" t="e">
        <f>'Lista de productos'!#REF!</f>
        <v>#REF!</v>
      </c>
      <c r="B934">
        <f>'Lista de productos'!B944</f>
        <v>0</v>
      </c>
      <c r="D934">
        <v>930</v>
      </c>
    </row>
    <row r="935" spans="1:4" x14ac:dyDescent="0.35">
      <c r="A935" t="e">
        <f>'Lista de productos'!#REF!</f>
        <v>#REF!</v>
      </c>
      <c r="B935">
        <f>'Lista de productos'!B945</f>
        <v>0</v>
      </c>
      <c r="D935">
        <v>931</v>
      </c>
    </row>
    <row r="936" spans="1:4" x14ac:dyDescent="0.35">
      <c r="A936" t="e">
        <f>'Lista de productos'!#REF!</f>
        <v>#REF!</v>
      </c>
      <c r="B936">
        <f>'Lista de productos'!B946</f>
        <v>0</v>
      </c>
      <c r="D936">
        <v>932</v>
      </c>
    </row>
    <row r="937" spans="1:4" x14ac:dyDescent="0.35">
      <c r="A937" t="e">
        <f>'Lista de productos'!#REF!</f>
        <v>#REF!</v>
      </c>
      <c r="B937">
        <f>'Lista de productos'!B947</f>
        <v>0</v>
      </c>
      <c r="D937">
        <v>933</v>
      </c>
    </row>
    <row r="938" spans="1:4" x14ac:dyDescent="0.35">
      <c r="A938" t="e">
        <f>'Lista de productos'!#REF!</f>
        <v>#REF!</v>
      </c>
      <c r="B938">
        <f>'Lista de productos'!B948</f>
        <v>0</v>
      </c>
      <c r="D938">
        <v>934</v>
      </c>
    </row>
    <row r="939" spans="1:4" x14ac:dyDescent="0.35">
      <c r="A939" t="e">
        <f>'Lista de productos'!#REF!</f>
        <v>#REF!</v>
      </c>
      <c r="B939">
        <f>'Lista de productos'!B949</f>
        <v>0</v>
      </c>
      <c r="D939">
        <v>935</v>
      </c>
    </row>
    <row r="940" spans="1:4" x14ac:dyDescent="0.35">
      <c r="A940" t="e">
        <f>'Lista de productos'!#REF!</f>
        <v>#REF!</v>
      </c>
      <c r="B940">
        <f>'Lista de productos'!B950</f>
        <v>0</v>
      </c>
      <c r="D940">
        <v>936</v>
      </c>
    </row>
    <row r="941" spans="1:4" x14ac:dyDescent="0.35">
      <c r="A941" t="e">
        <f>'Lista de productos'!#REF!</f>
        <v>#REF!</v>
      </c>
      <c r="B941">
        <f>'Lista de productos'!B951</f>
        <v>0</v>
      </c>
      <c r="D941">
        <v>937</v>
      </c>
    </row>
    <row r="942" spans="1:4" x14ac:dyDescent="0.35">
      <c r="A942" t="e">
        <f>'Lista de productos'!#REF!</f>
        <v>#REF!</v>
      </c>
      <c r="B942">
        <f>'Lista de productos'!B952</f>
        <v>0</v>
      </c>
      <c r="D942">
        <v>938</v>
      </c>
    </row>
    <row r="943" spans="1:4" x14ac:dyDescent="0.35">
      <c r="A943" t="e">
        <f>'Lista de productos'!#REF!</f>
        <v>#REF!</v>
      </c>
      <c r="B943">
        <f>'Lista de productos'!B953</f>
        <v>0</v>
      </c>
      <c r="D943">
        <v>939</v>
      </c>
    </row>
    <row r="944" spans="1:4" x14ac:dyDescent="0.35">
      <c r="A944" t="e">
        <f>'Lista de productos'!#REF!</f>
        <v>#REF!</v>
      </c>
      <c r="B944">
        <f>'Lista de productos'!B954</f>
        <v>0</v>
      </c>
      <c r="D944">
        <v>940</v>
      </c>
    </row>
    <row r="945" spans="1:4" x14ac:dyDescent="0.35">
      <c r="A945" t="e">
        <f>'Lista de productos'!#REF!</f>
        <v>#REF!</v>
      </c>
      <c r="B945">
        <f>'Lista de productos'!B955</f>
        <v>0</v>
      </c>
      <c r="D945">
        <v>941</v>
      </c>
    </row>
    <row r="946" spans="1:4" x14ac:dyDescent="0.35">
      <c r="A946" t="e">
        <f>'Lista de productos'!#REF!</f>
        <v>#REF!</v>
      </c>
      <c r="B946">
        <f>'Lista de productos'!B956</f>
        <v>0</v>
      </c>
      <c r="D946">
        <v>942</v>
      </c>
    </row>
    <row r="947" spans="1:4" x14ac:dyDescent="0.35">
      <c r="A947" t="e">
        <f>'Lista de productos'!#REF!</f>
        <v>#REF!</v>
      </c>
      <c r="B947">
        <f>'Lista de productos'!B957</f>
        <v>0</v>
      </c>
      <c r="D947">
        <v>943</v>
      </c>
    </row>
    <row r="948" spans="1:4" x14ac:dyDescent="0.35">
      <c r="A948" t="e">
        <f>'Lista de productos'!#REF!</f>
        <v>#REF!</v>
      </c>
      <c r="B948">
        <f>'Lista de productos'!B958</f>
        <v>0</v>
      </c>
      <c r="D948">
        <v>944</v>
      </c>
    </row>
    <row r="949" spans="1:4" x14ac:dyDescent="0.35">
      <c r="A949" t="e">
        <f>'Lista de productos'!#REF!</f>
        <v>#REF!</v>
      </c>
      <c r="B949">
        <f>'Lista de productos'!B959</f>
        <v>0</v>
      </c>
      <c r="D949">
        <v>945</v>
      </c>
    </row>
    <row r="950" spans="1:4" x14ac:dyDescent="0.35">
      <c r="A950" t="e">
        <f>'Lista de productos'!#REF!</f>
        <v>#REF!</v>
      </c>
      <c r="B950">
        <f>'Lista de productos'!B960</f>
        <v>0</v>
      </c>
      <c r="D950">
        <v>946</v>
      </c>
    </row>
    <row r="951" spans="1:4" x14ac:dyDescent="0.35">
      <c r="A951" t="e">
        <f>'Lista de productos'!#REF!</f>
        <v>#REF!</v>
      </c>
      <c r="B951">
        <f>'Lista de productos'!B961</f>
        <v>0</v>
      </c>
      <c r="D951">
        <v>947</v>
      </c>
    </row>
    <row r="952" spans="1:4" x14ac:dyDescent="0.35">
      <c r="A952" t="e">
        <f>'Lista de productos'!#REF!</f>
        <v>#REF!</v>
      </c>
      <c r="B952">
        <f>'Lista de productos'!B962</f>
        <v>0</v>
      </c>
      <c r="D952">
        <v>948</v>
      </c>
    </row>
    <row r="953" spans="1:4" x14ac:dyDescent="0.35">
      <c r="A953" t="e">
        <f>'Lista de productos'!#REF!</f>
        <v>#REF!</v>
      </c>
      <c r="B953">
        <f>'Lista de productos'!B963</f>
        <v>0</v>
      </c>
      <c r="D953">
        <v>949</v>
      </c>
    </row>
    <row r="954" spans="1:4" x14ac:dyDescent="0.35">
      <c r="A954" t="e">
        <f>'Lista de productos'!#REF!</f>
        <v>#REF!</v>
      </c>
      <c r="B954">
        <f>'Lista de productos'!B964</f>
        <v>0</v>
      </c>
      <c r="D954">
        <v>950</v>
      </c>
    </row>
    <row r="955" spans="1:4" x14ac:dyDescent="0.35">
      <c r="A955" t="e">
        <f>'Lista de productos'!#REF!</f>
        <v>#REF!</v>
      </c>
      <c r="B955">
        <f>'Lista de productos'!B965</f>
        <v>0</v>
      </c>
      <c r="D955">
        <v>951</v>
      </c>
    </row>
    <row r="956" spans="1:4" x14ac:dyDescent="0.35">
      <c r="A956" t="e">
        <f>'Lista de productos'!#REF!</f>
        <v>#REF!</v>
      </c>
      <c r="B956">
        <f>'Lista de productos'!B966</f>
        <v>0</v>
      </c>
      <c r="D956">
        <v>952</v>
      </c>
    </row>
    <row r="957" spans="1:4" x14ac:dyDescent="0.35">
      <c r="A957" t="e">
        <f>'Lista de productos'!#REF!</f>
        <v>#REF!</v>
      </c>
      <c r="B957">
        <f>'Lista de productos'!B967</f>
        <v>0</v>
      </c>
      <c r="D957">
        <v>953</v>
      </c>
    </row>
    <row r="958" spans="1:4" x14ac:dyDescent="0.35">
      <c r="A958" t="e">
        <f>'Lista de productos'!#REF!</f>
        <v>#REF!</v>
      </c>
      <c r="B958">
        <f>'Lista de productos'!B968</f>
        <v>0</v>
      </c>
      <c r="D958">
        <v>954</v>
      </c>
    </row>
    <row r="959" spans="1:4" x14ac:dyDescent="0.35">
      <c r="A959" t="e">
        <f>'Lista de productos'!#REF!</f>
        <v>#REF!</v>
      </c>
      <c r="B959">
        <f>'Lista de productos'!B969</f>
        <v>0</v>
      </c>
      <c r="D959">
        <v>955</v>
      </c>
    </row>
    <row r="960" spans="1:4" x14ac:dyDescent="0.35">
      <c r="A960" t="e">
        <f>'Lista de productos'!#REF!</f>
        <v>#REF!</v>
      </c>
      <c r="B960">
        <f>'Lista de productos'!B970</f>
        <v>0</v>
      </c>
      <c r="D960">
        <v>956</v>
      </c>
    </row>
    <row r="961" spans="1:4" x14ac:dyDescent="0.35">
      <c r="A961" t="e">
        <f>'Lista de productos'!#REF!</f>
        <v>#REF!</v>
      </c>
      <c r="B961">
        <f>'Lista de productos'!B971</f>
        <v>0</v>
      </c>
      <c r="D961">
        <v>957</v>
      </c>
    </row>
    <row r="962" spans="1:4" x14ac:dyDescent="0.35">
      <c r="A962" t="e">
        <f>'Lista de productos'!#REF!</f>
        <v>#REF!</v>
      </c>
      <c r="B962">
        <f>'Lista de productos'!B972</f>
        <v>0</v>
      </c>
      <c r="D962">
        <v>958</v>
      </c>
    </row>
    <row r="963" spans="1:4" x14ac:dyDescent="0.35">
      <c r="A963" t="e">
        <f>'Lista de productos'!#REF!</f>
        <v>#REF!</v>
      </c>
      <c r="B963">
        <f>'Lista de productos'!B973</f>
        <v>0</v>
      </c>
      <c r="D963">
        <v>959</v>
      </c>
    </row>
    <row r="964" spans="1:4" x14ac:dyDescent="0.35">
      <c r="A964" t="e">
        <f>'Lista de productos'!#REF!</f>
        <v>#REF!</v>
      </c>
      <c r="B964">
        <f>'Lista de productos'!B974</f>
        <v>0</v>
      </c>
      <c r="D964">
        <v>960</v>
      </c>
    </row>
    <row r="965" spans="1:4" x14ac:dyDescent="0.35">
      <c r="A965" t="e">
        <f>'Lista de productos'!#REF!</f>
        <v>#REF!</v>
      </c>
      <c r="B965">
        <f>'Lista de productos'!B975</f>
        <v>0</v>
      </c>
      <c r="D965">
        <v>961</v>
      </c>
    </row>
    <row r="966" spans="1:4" x14ac:dyDescent="0.35">
      <c r="A966" t="e">
        <f>'Lista de productos'!#REF!</f>
        <v>#REF!</v>
      </c>
      <c r="B966">
        <f>'Lista de productos'!B976</f>
        <v>0</v>
      </c>
      <c r="D966">
        <v>962</v>
      </c>
    </row>
    <row r="967" spans="1:4" x14ac:dyDescent="0.35">
      <c r="A967" t="e">
        <f>'Lista de productos'!#REF!</f>
        <v>#REF!</v>
      </c>
      <c r="B967">
        <f>'Lista de productos'!B977</f>
        <v>0</v>
      </c>
      <c r="D967">
        <v>963</v>
      </c>
    </row>
    <row r="968" spans="1:4" x14ac:dyDescent="0.35">
      <c r="A968" t="e">
        <f>'Lista de productos'!#REF!</f>
        <v>#REF!</v>
      </c>
      <c r="B968">
        <f>'Lista de productos'!B978</f>
        <v>0</v>
      </c>
      <c r="D968">
        <v>964</v>
      </c>
    </row>
    <row r="969" spans="1:4" x14ac:dyDescent="0.35">
      <c r="A969" t="e">
        <f>'Lista de productos'!#REF!</f>
        <v>#REF!</v>
      </c>
      <c r="B969">
        <f>'Lista de productos'!B979</f>
        <v>0</v>
      </c>
      <c r="D969">
        <v>965</v>
      </c>
    </row>
    <row r="970" spans="1:4" x14ac:dyDescent="0.35">
      <c r="A970" t="e">
        <f>'Lista de productos'!#REF!</f>
        <v>#REF!</v>
      </c>
      <c r="B970">
        <f>'Lista de productos'!B980</f>
        <v>0</v>
      </c>
      <c r="D970">
        <v>966</v>
      </c>
    </row>
    <row r="971" spans="1:4" x14ac:dyDescent="0.35">
      <c r="A971" t="e">
        <f>'Lista de productos'!#REF!</f>
        <v>#REF!</v>
      </c>
      <c r="B971">
        <f>'Lista de productos'!B981</f>
        <v>0</v>
      </c>
      <c r="D971">
        <v>967</v>
      </c>
    </row>
    <row r="972" spans="1:4" x14ac:dyDescent="0.35">
      <c r="A972" t="e">
        <f>'Lista de productos'!#REF!</f>
        <v>#REF!</v>
      </c>
      <c r="B972">
        <f>'Lista de productos'!B982</f>
        <v>0</v>
      </c>
      <c r="D972">
        <v>968</v>
      </c>
    </row>
    <row r="973" spans="1:4" x14ac:dyDescent="0.35">
      <c r="A973" t="e">
        <f>'Lista de productos'!#REF!</f>
        <v>#REF!</v>
      </c>
      <c r="B973">
        <f>'Lista de productos'!B983</f>
        <v>0</v>
      </c>
      <c r="D973">
        <v>969</v>
      </c>
    </row>
    <row r="974" spans="1:4" x14ac:dyDescent="0.35">
      <c r="A974" t="e">
        <f>'Lista de productos'!#REF!</f>
        <v>#REF!</v>
      </c>
      <c r="B974">
        <f>'Lista de productos'!B984</f>
        <v>0</v>
      </c>
      <c r="D974">
        <v>970</v>
      </c>
    </row>
    <row r="975" spans="1:4" x14ac:dyDescent="0.35">
      <c r="A975" t="e">
        <f>'Lista de productos'!#REF!</f>
        <v>#REF!</v>
      </c>
      <c r="B975">
        <f>'Lista de productos'!B985</f>
        <v>0</v>
      </c>
      <c r="D975">
        <v>971</v>
      </c>
    </row>
    <row r="976" spans="1:4" x14ac:dyDescent="0.35">
      <c r="A976" t="e">
        <f>'Lista de productos'!#REF!</f>
        <v>#REF!</v>
      </c>
      <c r="B976">
        <f>'Lista de productos'!B986</f>
        <v>0</v>
      </c>
      <c r="D976">
        <v>972</v>
      </c>
    </row>
    <row r="977" spans="1:4" x14ac:dyDescent="0.35">
      <c r="A977" t="e">
        <f>'Lista de productos'!#REF!</f>
        <v>#REF!</v>
      </c>
      <c r="B977">
        <f>'Lista de productos'!B987</f>
        <v>0</v>
      </c>
      <c r="D977">
        <v>973</v>
      </c>
    </row>
    <row r="978" spans="1:4" x14ac:dyDescent="0.35">
      <c r="A978" t="e">
        <f>'Lista de productos'!#REF!</f>
        <v>#REF!</v>
      </c>
      <c r="B978">
        <f>'Lista de productos'!B988</f>
        <v>0</v>
      </c>
      <c r="D978">
        <v>974</v>
      </c>
    </row>
    <row r="979" spans="1:4" x14ac:dyDescent="0.35">
      <c r="A979" t="e">
        <f>'Lista de productos'!#REF!</f>
        <v>#REF!</v>
      </c>
      <c r="B979">
        <f>'Lista de productos'!B989</f>
        <v>0</v>
      </c>
      <c r="D979">
        <v>975</v>
      </c>
    </row>
    <row r="980" spans="1:4" x14ac:dyDescent="0.35">
      <c r="A980" t="e">
        <f>'Lista de productos'!#REF!</f>
        <v>#REF!</v>
      </c>
      <c r="B980">
        <f>'Lista de productos'!B990</f>
        <v>0</v>
      </c>
      <c r="D980">
        <v>976</v>
      </c>
    </row>
    <row r="981" spans="1:4" x14ac:dyDescent="0.35">
      <c r="A981" t="e">
        <f>'Lista de productos'!#REF!</f>
        <v>#REF!</v>
      </c>
      <c r="B981">
        <f>'Lista de productos'!B991</f>
        <v>0</v>
      </c>
      <c r="D981">
        <v>977</v>
      </c>
    </row>
    <row r="982" spans="1:4" x14ac:dyDescent="0.35">
      <c r="A982" t="e">
        <f>'Lista de productos'!#REF!</f>
        <v>#REF!</v>
      </c>
      <c r="B982">
        <f>'Lista de productos'!B992</f>
        <v>0</v>
      </c>
      <c r="D982">
        <v>978</v>
      </c>
    </row>
    <row r="983" spans="1:4" x14ac:dyDescent="0.35">
      <c r="A983" t="e">
        <f>'Lista de productos'!#REF!</f>
        <v>#REF!</v>
      </c>
      <c r="B983">
        <f>'Lista de productos'!B993</f>
        <v>0</v>
      </c>
      <c r="D983">
        <v>979</v>
      </c>
    </row>
    <row r="984" spans="1:4" x14ac:dyDescent="0.35">
      <c r="A984" t="e">
        <f>'Lista de productos'!#REF!</f>
        <v>#REF!</v>
      </c>
      <c r="B984">
        <f>'Lista de productos'!B994</f>
        <v>0</v>
      </c>
      <c r="D984">
        <v>980</v>
      </c>
    </row>
    <row r="985" spans="1:4" x14ac:dyDescent="0.35">
      <c r="A985" t="e">
        <f>'Lista de productos'!#REF!</f>
        <v>#REF!</v>
      </c>
      <c r="B985">
        <f>'Lista de productos'!B995</f>
        <v>0</v>
      </c>
      <c r="D985">
        <v>981</v>
      </c>
    </row>
    <row r="986" spans="1:4" x14ac:dyDescent="0.35">
      <c r="A986" t="e">
        <f>'Lista de productos'!#REF!</f>
        <v>#REF!</v>
      </c>
      <c r="B986">
        <f>'Lista de productos'!B996</f>
        <v>0</v>
      </c>
      <c r="D986">
        <v>982</v>
      </c>
    </row>
    <row r="987" spans="1:4" x14ac:dyDescent="0.35">
      <c r="A987" t="e">
        <f>'Lista de productos'!#REF!</f>
        <v>#REF!</v>
      </c>
      <c r="B987">
        <f>'Lista de productos'!B997</f>
        <v>0</v>
      </c>
      <c r="D987">
        <v>983</v>
      </c>
    </row>
    <row r="988" spans="1:4" x14ac:dyDescent="0.35">
      <c r="A988" t="e">
        <f>'Lista de productos'!#REF!</f>
        <v>#REF!</v>
      </c>
      <c r="B988">
        <f>'Lista de productos'!B998</f>
        <v>0</v>
      </c>
      <c r="D988">
        <v>984</v>
      </c>
    </row>
    <row r="989" spans="1:4" x14ac:dyDescent="0.35">
      <c r="A989" t="e">
        <f>'Lista de productos'!#REF!</f>
        <v>#REF!</v>
      </c>
      <c r="B989">
        <f>'Lista de productos'!B999</f>
        <v>0</v>
      </c>
      <c r="D989">
        <v>985</v>
      </c>
    </row>
    <row r="990" spans="1:4" x14ac:dyDescent="0.35">
      <c r="A990" t="e">
        <f>'Lista de productos'!#REF!</f>
        <v>#REF!</v>
      </c>
      <c r="B990">
        <f>'Lista de productos'!B1000</f>
        <v>0</v>
      </c>
      <c r="D990">
        <v>986</v>
      </c>
    </row>
    <row r="991" spans="1:4" x14ac:dyDescent="0.35">
      <c r="A991" t="e">
        <f>'Lista de productos'!#REF!</f>
        <v>#REF!</v>
      </c>
      <c r="B991">
        <f>'Lista de productos'!B1001</f>
        <v>0</v>
      </c>
      <c r="D991">
        <v>987</v>
      </c>
    </row>
    <row r="992" spans="1:4" x14ac:dyDescent="0.35">
      <c r="A992" t="e">
        <f>'Lista de productos'!#REF!</f>
        <v>#REF!</v>
      </c>
      <c r="B992">
        <f>'Lista de productos'!B1002</f>
        <v>0</v>
      </c>
      <c r="D992">
        <v>988</v>
      </c>
    </row>
    <row r="993" spans="1:4" x14ac:dyDescent="0.35">
      <c r="A993" t="e">
        <f>'Lista de productos'!#REF!</f>
        <v>#REF!</v>
      </c>
      <c r="B993">
        <f>'Lista de productos'!B1003</f>
        <v>0</v>
      </c>
      <c r="D993">
        <v>989</v>
      </c>
    </row>
    <row r="994" spans="1:4" x14ac:dyDescent="0.35">
      <c r="A994" t="e">
        <f>'Lista de productos'!#REF!</f>
        <v>#REF!</v>
      </c>
      <c r="B994">
        <f>'Lista de productos'!B1004</f>
        <v>0</v>
      </c>
      <c r="D994">
        <v>990</v>
      </c>
    </row>
    <row r="995" spans="1:4" x14ac:dyDescent="0.35">
      <c r="A995" t="e">
        <f>'Lista de productos'!#REF!</f>
        <v>#REF!</v>
      </c>
      <c r="B995">
        <f>'Lista de productos'!B1005</f>
        <v>0</v>
      </c>
      <c r="D995">
        <v>991</v>
      </c>
    </row>
    <row r="996" spans="1:4" x14ac:dyDescent="0.35">
      <c r="A996" t="e">
        <f>'Lista de productos'!#REF!</f>
        <v>#REF!</v>
      </c>
      <c r="B996">
        <f>'Lista de productos'!B1006</f>
        <v>0</v>
      </c>
      <c r="D996">
        <v>992</v>
      </c>
    </row>
    <row r="997" spans="1:4" x14ac:dyDescent="0.35">
      <c r="A997" t="e">
        <f>'Lista de productos'!#REF!</f>
        <v>#REF!</v>
      </c>
      <c r="B997">
        <f>'Lista de productos'!B1007</f>
        <v>0</v>
      </c>
      <c r="D997">
        <v>993</v>
      </c>
    </row>
    <row r="998" spans="1:4" x14ac:dyDescent="0.35">
      <c r="A998" t="e">
        <f>'Lista de productos'!#REF!</f>
        <v>#REF!</v>
      </c>
      <c r="B998">
        <f>'Lista de productos'!B1008</f>
        <v>0</v>
      </c>
      <c r="D998">
        <v>994</v>
      </c>
    </row>
    <row r="999" spans="1:4" x14ac:dyDescent="0.35">
      <c r="A999" t="e">
        <f>'Lista de productos'!#REF!</f>
        <v>#REF!</v>
      </c>
      <c r="B999">
        <f>'Lista de productos'!B1009</f>
        <v>0</v>
      </c>
      <c r="D999">
        <v>995</v>
      </c>
    </row>
    <row r="1000" spans="1:4" x14ac:dyDescent="0.35">
      <c r="A1000" t="e">
        <f>'Lista de productos'!#REF!</f>
        <v>#REF!</v>
      </c>
      <c r="B1000">
        <f>'Lista de productos'!B1010</f>
        <v>0</v>
      </c>
      <c r="D1000">
        <v>996</v>
      </c>
    </row>
    <row r="1001" spans="1:4" x14ac:dyDescent="0.35">
      <c r="A1001" t="e">
        <f>'Lista de productos'!#REF!</f>
        <v>#REF!</v>
      </c>
      <c r="B1001">
        <f>'Lista de productos'!B1011</f>
        <v>0</v>
      </c>
      <c r="D1001">
        <v>997</v>
      </c>
    </row>
    <row r="1002" spans="1:4" x14ac:dyDescent="0.35">
      <c r="A1002" t="e">
        <f>'Lista de productos'!#REF!</f>
        <v>#REF!</v>
      </c>
      <c r="B1002">
        <f>'Lista de productos'!B1012</f>
        <v>0</v>
      </c>
      <c r="D1002">
        <v>998</v>
      </c>
    </row>
    <row r="1003" spans="1:4" x14ac:dyDescent="0.35">
      <c r="A1003" t="e">
        <f>'Lista de productos'!#REF!</f>
        <v>#REF!</v>
      </c>
      <c r="B1003">
        <f>'Lista de productos'!B1013</f>
        <v>0</v>
      </c>
      <c r="D1003">
        <v>999</v>
      </c>
    </row>
    <row r="1004" spans="1:4" x14ac:dyDescent="0.35">
      <c r="A1004" t="e">
        <f>'Lista de productos'!#REF!</f>
        <v>#REF!</v>
      </c>
      <c r="B1004">
        <f>'Lista de productos'!B1014</f>
        <v>0</v>
      </c>
      <c r="D1004">
        <v>1000</v>
      </c>
    </row>
    <row r="1005" spans="1:4" x14ac:dyDescent="0.35">
      <c r="A1005" t="e">
        <f>'Lista de productos'!#REF!</f>
        <v>#REF!</v>
      </c>
      <c r="B1005">
        <f>'Lista de productos'!B1015</f>
        <v>0</v>
      </c>
      <c r="D1005">
        <v>1001</v>
      </c>
    </row>
    <row r="1006" spans="1:4" x14ac:dyDescent="0.35">
      <c r="A1006" t="e">
        <f>'Lista de productos'!#REF!</f>
        <v>#REF!</v>
      </c>
      <c r="B1006">
        <f>'Lista de productos'!B1016</f>
        <v>0</v>
      </c>
      <c r="D1006">
        <v>1002</v>
      </c>
    </row>
    <row r="1007" spans="1:4" x14ac:dyDescent="0.35">
      <c r="A1007" t="e">
        <f>'Lista de productos'!#REF!</f>
        <v>#REF!</v>
      </c>
      <c r="B1007">
        <f>'Lista de productos'!B1017</f>
        <v>0</v>
      </c>
      <c r="D1007">
        <v>1003</v>
      </c>
    </row>
    <row r="1008" spans="1:4" x14ac:dyDescent="0.35">
      <c r="A1008" t="e">
        <f>'Lista de productos'!#REF!</f>
        <v>#REF!</v>
      </c>
      <c r="B1008">
        <f>'Lista de productos'!B1018</f>
        <v>0</v>
      </c>
      <c r="D1008">
        <v>1004</v>
      </c>
    </row>
    <row r="1009" spans="1:4" x14ac:dyDescent="0.35">
      <c r="A1009" t="e">
        <f>'Lista de productos'!#REF!</f>
        <v>#REF!</v>
      </c>
      <c r="B1009">
        <f>'Lista de productos'!B1019</f>
        <v>0</v>
      </c>
      <c r="D1009">
        <v>1005</v>
      </c>
    </row>
    <row r="1010" spans="1:4" x14ac:dyDescent="0.35">
      <c r="A1010" t="e">
        <f>'Lista de productos'!#REF!</f>
        <v>#REF!</v>
      </c>
      <c r="B1010">
        <f>'Lista de productos'!B1020</f>
        <v>0</v>
      </c>
      <c r="D1010">
        <v>1006</v>
      </c>
    </row>
    <row r="1011" spans="1:4" x14ac:dyDescent="0.35">
      <c r="A1011" t="e">
        <f>'Lista de productos'!#REF!</f>
        <v>#REF!</v>
      </c>
      <c r="B1011">
        <f>'Lista de productos'!B1021</f>
        <v>0</v>
      </c>
      <c r="D1011">
        <v>1007</v>
      </c>
    </row>
    <row r="1012" spans="1:4" x14ac:dyDescent="0.35">
      <c r="A1012" t="e">
        <f>'Lista de productos'!#REF!</f>
        <v>#REF!</v>
      </c>
      <c r="B1012">
        <f>'Lista de productos'!B1022</f>
        <v>0</v>
      </c>
      <c r="D1012">
        <v>1008</v>
      </c>
    </row>
    <row r="1013" spans="1:4" x14ac:dyDescent="0.35">
      <c r="A1013" t="e">
        <f>'Lista de productos'!#REF!</f>
        <v>#REF!</v>
      </c>
      <c r="B1013">
        <f>'Lista de productos'!B1023</f>
        <v>0</v>
      </c>
      <c r="D1013">
        <v>1009</v>
      </c>
    </row>
    <row r="1014" spans="1:4" x14ac:dyDescent="0.35">
      <c r="A1014" t="e">
        <f>'Lista de productos'!#REF!</f>
        <v>#REF!</v>
      </c>
      <c r="B1014">
        <f>'Lista de productos'!B1024</f>
        <v>0</v>
      </c>
      <c r="D1014">
        <v>1010</v>
      </c>
    </row>
    <row r="1015" spans="1:4" x14ac:dyDescent="0.35">
      <c r="A1015" t="e">
        <f>'Lista de productos'!#REF!</f>
        <v>#REF!</v>
      </c>
      <c r="B1015">
        <f>'Lista de productos'!B1025</f>
        <v>0</v>
      </c>
      <c r="D1015">
        <v>1011</v>
      </c>
    </row>
    <row r="1016" spans="1:4" x14ac:dyDescent="0.35">
      <c r="A1016" t="e">
        <f>'Lista de productos'!#REF!</f>
        <v>#REF!</v>
      </c>
      <c r="B1016">
        <f>'Lista de productos'!B1026</f>
        <v>0</v>
      </c>
      <c r="D1016">
        <v>1012</v>
      </c>
    </row>
    <row r="1017" spans="1:4" x14ac:dyDescent="0.35">
      <c r="A1017" t="e">
        <f>'Lista de productos'!#REF!</f>
        <v>#REF!</v>
      </c>
      <c r="B1017">
        <f>'Lista de productos'!B1027</f>
        <v>0</v>
      </c>
      <c r="D1017">
        <v>1013</v>
      </c>
    </row>
    <row r="1018" spans="1:4" x14ac:dyDescent="0.35">
      <c r="A1018" t="e">
        <f>'Lista de productos'!#REF!</f>
        <v>#REF!</v>
      </c>
      <c r="B1018">
        <f>'Lista de productos'!B1028</f>
        <v>0</v>
      </c>
      <c r="D1018">
        <v>1014</v>
      </c>
    </row>
    <row r="1019" spans="1:4" x14ac:dyDescent="0.35">
      <c r="A1019" t="e">
        <f>'Lista de productos'!#REF!</f>
        <v>#REF!</v>
      </c>
      <c r="B1019">
        <f>'Lista de productos'!B1029</f>
        <v>0</v>
      </c>
      <c r="D1019">
        <v>1015</v>
      </c>
    </row>
    <row r="1020" spans="1:4" x14ac:dyDescent="0.35">
      <c r="A1020" t="e">
        <f>'Lista de productos'!#REF!</f>
        <v>#REF!</v>
      </c>
      <c r="B1020">
        <f>'Lista de productos'!B1030</f>
        <v>0</v>
      </c>
      <c r="D1020">
        <v>1016</v>
      </c>
    </row>
    <row r="1021" spans="1:4" x14ac:dyDescent="0.35">
      <c r="A1021" t="e">
        <f>'Lista de productos'!#REF!</f>
        <v>#REF!</v>
      </c>
      <c r="B1021">
        <f>'Lista de productos'!B1031</f>
        <v>0</v>
      </c>
      <c r="D1021">
        <v>1017</v>
      </c>
    </row>
    <row r="1022" spans="1:4" x14ac:dyDescent="0.35">
      <c r="A1022" t="e">
        <f>'Lista de productos'!#REF!</f>
        <v>#REF!</v>
      </c>
      <c r="B1022">
        <f>'Lista de productos'!B1032</f>
        <v>0</v>
      </c>
      <c r="D1022">
        <v>1018</v>
      </c>
    </row>
    <row r="1023" spans="1:4" x14ac:dyDescent="0.35">
      <c r="A1023" t="e">
        <f>'Lista de productos'!#REF!</f>
        <v>#REF!</v>
      </c>
      <c r="B1023">
        <f>'Lista de productos'!B1033</f>
        <v>0</v>
      </c>
      <c r="D1023">
        <v>1019</v>
      </c>
    </row>
    <row r="1024" spans="1:4" x14ac:dyDescent="0.35">
      <c r="A1024" t="e">
        <f>'Lista de productos'!#REF!</f>
        <v>#REF!</v>
      </c>
      <c r="B1024">
        <f>'Lista de productos'!B1034</f>
        <v>0</v>
      </c>
      <c r="D1024">
        <v>1020</v>
      </c>
    </row>
    <row r="1025" spans="1:4" x14ac:dyDescent="0.35">
      <c r="A1025" t="e">
        <f>'Lista de productos'!#REF!</f>
        <v>#REF!</v>
      </c>
      <c r="B1025">
        <f>'Lista de productos'!B1035</f>
        <v>0</v>
      </c>
      <c r="D1025">
        <v>1021</v>
      </c>
    </row>
    <row r="1026" spans="1:4" x14ac:dyDescent="0.35">
      <c r="A1026" t="e">
        <f>'Lista de productos'!#REF!</f>
        <v>#REF!</v>
      </c>
      <c r="B1026">
        <f>'Lista de productos'!B1036</f>
        <v>0</v>
      </c>
      <c r="D1026">
        <v>1022</v>
      </c>
    </row>
    <row r="1027" spans="1:4" x14ac:dyDescent="0.35">
      <c r="A1027" t="e">
        <f>'Lista de productos'!#REF!</f>
        <v>#REF!</v>
      </c>
      <c r="B1027">
        <f>'Lista de productos'!B1037</f>
        <v>0</v>
      </c>
      <c r="D1027">
        <v>1023</v>
      </c>
    </row>
    <row r="1028" spans="1:4" x14ac:dyDescent="0.35">
      <c r="A1028" t="e">
        <f>'Lista de productos'!#REF!</f>
        <v>#REF!</v>
      </c>
      <c r="B1028">
        <f>'Lista de productos'!B1038</f>
        <v>0</v>
      </c>
      <c r="D1028">
        <v>1024</v>
      </c>
    </row>
    <row r="1029" spans="1:4" x14ac:dyDescent="0.35">
      <c r="A1029" t="e">
        <f>'Lista de productos'!#REF!</f>
        <v>#REF!</v>
      </c>
      <c r="B1029">
        <f>'Lista de productos'!B1039</f>
        <v>0</v>
      </c>
      <c r="D1029">
        <v>1025</v>
      </c>
    </row>
    <row r="1030" spans="1:4" x14ac:dyDescent="0.35">
      <c r="A1030" t="e">
        <f>'Lista de productos'!#REF!</f>
        <v>#REF!</v>
      </c>
      <c r="B1030">
        <f>'Lista de productos'!B1040</f>
        <v>0</v>
      </c>
      <c r="D1030">
        <v>1026</v>
      </c>
    </row>
    <row r="1031" spans="1:4" x14ac:dyDescent="0.35">
      <c r="A1031" t="e">
        <f>'Lista de productos'!#REF!</f>
        <v>#REF!</v>
      </c>
      <c r="B1031">
        <f>'Lista de productos'!B1041</f>
        <v>0</v>
      </c>
      <c r="D1031">
        <v>1027</v>
      </c>
    </row>
    <row r="1032" spans="1:4" x14ac:dyDescent="0.35">
      <c r="A1032" t="e">
        <f>'Lista de productos'!#REF!</f>
        <v>#REF!</v>
      </c>
      <c r="B1032">
        <f>'Lista de productos'!B1042</f>
        <v>0</v>
      </c>
      <c r="D1032">
        <v>1028</v>
      </c>
    </row>
    <row r="1033" spans="1:4" x14ac:dyDescent="0.35">
      <c r="A1033" t="e">
        <f>'Lista de productos'!#REF!</f>
        <v>#REF!</v>
      </c>
      <c r="B1033">
        <f>'Lista de productos'!B1043</f>
        <v>0</v>
      </c>
      <c r="D1033">
        <v>1029</v>
      </c>
    </row>
    <row r="1034" spans="1:4" x14ac:dyDescent="0.35">
      <c r="A1034" t="e">
        <f>'Lista de productos'!#REF!</f>
        <v>#REF!</v>
      </c>
      <c r="B1034">
        <f>'Lista de productos'!B1044</f>
        <v>0</v>
      </c>
      <c r="D1034">
        <v>1030</v>
      </c>
    </row>
    <row r="1035" spans="1:4" x14ac:dyDescent="0.35">
      <c r="A1035" t="e">
        <f>'Lista de productos'!#REF!</f>
        <v>#REF!</v>
      </c>
      <c r="B1035">
        <f>'Lista de productos'!B1045</f>
        <v>0</v>
      </c>
      <c r="D1035">
        <v>1031</v>
      </c>
    </row>
    <row r="1036" spans="1:4" x14ac:dyDescent="0.35">
      <c r="A1036" t="e">
        <f>'Lista de productos'!#REF!</f>
        <v>#REF!</v>
      </c>
      <c r="B1036">
        <f>'Lista de productos'!B1046</f>
        <v>0</v>
      </c>
      <c r="D1036">
        <v>1032</v>
      </c>
    </row>
    <row r="1037" spans="1:4" x14ac:dyDescent="0.35">
      <c r="A1037" t="e">
        <f>'Lista de productos'!#REF!</f>
        <v>#REF!</v>
      </c>
      <c r="B1037">
        <f>'Lista de productos'!B1047</f>
        <v>0</v>
      </c>
      <c r="D1037">
        <v>1033</v>
      </c>
    </row>
    <row r="1038" spans="1:4" x14ac:dyDescent="0.35">
      <c r="A1038" t="e">
        <f>'Lista de productos'!#REF!</f>
        <v>#REF!</v>
      </c>
      <c r="B1038">
        <f>'Lista de productos'!B1048</f>
        <v>0</v>
      </c>
      <c r="D1038">
        <v>1034</v>
      </c>
    </row>
    <row r="1039" spans="1:4" x14ac:dyDescent="0.35">
      <c r="A1039" t="e">
        <f>'Lista de productos'!#REF!</f>
        <v>#REF!</v>
      </c>
      <c r="B1039">
        <f>'Lista de productos'!B1049</f>
        <v>0</v>
      </c>
      <c r="D1039">
        <v>1035</v>
      </c>
    </row>
    <row r="1040" spans="1:4" x14ac:dyDescent="0.35">
      <c r="A1040" t="e">
        <f>'Lista de productos'!#REF!</f>
        <v>#REF!</v>
      </c>
      <c r="B1040">
        <f>'Lista de productos'!B1050</f>
        <v>0</v>
      </c>
      <c r="D1040">
        <v>1036</v>
      </c>
    </row>
    <row r="1041" spans="1:4" x14ac:dyDescent="0.35">
      <c r="A1041" t="e">
        <f>'Lista de productos'!#REF!</f>
        <v>#REF!</v>
      </c>
      <c r="B1041">
        <f>'Lista de productos'!B1051</f>
        <v>0</v>
      </c>
      <c r="D1041">
        <v>1037</v>
      </c>
    </row>
    <row r="1042" spans="1:4" x14ac:dyDescent="0.35">
      <c r="A1042" t="e">
        <f>'Lista de productos'!#REF!</f>
        <v>#REF!</v>
      </c>
      <c r="B1042">
        <f>'Lista de productos'!B1052</f>
        <v>0</v>
      </c>
      <c r="D1042">
        <v>1038</v>
      </c>
    </row>
    <row r="1043" spans="1:4" x14ac:dyDescent="0.35">
      <c r="A1043" t="e">
        <f>'Lista de productos'!#REF!</f>
        <v>#REF!</v>
      </c>
      <c r="B1043">
        <f>'Lista de productos'!B1053</f>
        <v>0</v>
      </c>
      <c r="D1043">
        <v>1039</v>
      </c>
    </row>
    <row r="1044" spans="1:4" x14ac:dyDescent="0.35">
      <c r="A1044" t="e">
        <f>'Lista de productos'!#REF!</f>
        <v>#REF!</v>
      </c>
      <c r="B1044">
        <f>'Lista de productos'!B1054</f>
        <v>0</v>
      </c>
      <c r="D1044">
        <v>1040</v>
      </c>
    </row>
    <row r="1045" spans="1:4" x14ac:dyDescent="0.35">
      <c r="A1045" t="e">
        <f>'Lista de productos'!#REF!</f>
        <v>#REF!</v>
      </c>
      <c r="B1045">
        <f>'Lista de productos'!B1055</f>
        <v>0</v>
      </c>
      <c r="D1045">
        <v>1041</v>
      </c>
    </row>
    <row r="1046" spans="1:4" x14ac:dyDescent="0.35">
      <c r="A1046" t="e">
        <f>'Lista de productos'!#REF!</f>
        <v>#REF!</v>
      </c>
      <c r="B1046">
        <f>'Lista de productos'!B1056</f>
        <v>0</v>
      </c>
      <c r="D1046">
        <v>1042</v>
      </c>
    </row>
    <row r="1047" spans="1:4" x14ac:dyDescent="0.35">
      <c r="A1047" t="e">
        <f>'Lista de productos'!#REF!</f>
        <v>#REF!</v>
      </c>
      <c r="B1047">
        <f>'Lista de productos'!B1057</f>
        <v>0</v>
      </c>
      <c r="D1047">
        <v>1043</v>
      </c>
    </row>
    <row r="1048" spans="1:4" x14ac:dyDescent="0.35">
      <c r="A1048" t="e">
        <f>'Lista de productos'!#REF!</f>
        <v>#REF!</v>
      </c>
      <c r="B1048">
        <f>'Lista de productos'!B1058</f>
        <v>0</v>
      </c>
      <c r="D1048">
        <v>1044</v>
      </c>
    </row>
    <row r="1049" spans="1:4" x14ac:dyDescent="0.35">
      <c r="A1049" t="e">
        <f>'Lista de productos'!#REF!</f>
        <v>#REF!</v>
      </c>
      <c r="B1049">
        <f>'Lista de productos'!B1059</f>
        <v>0</v>
      </c>
      <c r="D1049">
        <v>1045</v>
      </c>
    </row>
    <row r="1050" spans="1:4" x14ac:dyDescent="0.35">
      <c r="A1050" t="e">
        <f>'Lista de productos'!#REF!</f>
        <v>#REF!</v>
      </c>
      <c r="B1050">
        <f>'Lista de productos'!B1060</f>
        <v>0</v>
      </c>
      <c r="D1050">
        <v>1046</v>
      </c>
    </row>
    <row r="1051" spans="1:4" x14ac:dyDescent="0.35">
      <c r="A1051" t="e">
        <f>'Lista de productos'!#REF!</f>
        <v>#REF!</v>
      </c>
      <c r="B1051">
        <f>'Lista de productos'!B1061</f>
        <v>0</v>
      </c>
      <c r="D1051">
        <v>1047</v>
      </c>
    </row>
    <row r="1052" spans="1:4" x14ac:dyDescent="0.35">
      <c r="A1052" t="e">
        <f>'Lista de productos'!#REF!</f>
        <v>#REF!</v>
      </c>
      <c r="B1052">
        <f>'Lista de productos'!B1062</f>
        <v>0</v>
      </c>
      <c r="D1052">
        <v>1048</v>
      </c>
    </row>
    <row r="1053" spans="1:4" x14ac:dyDescent="0.35">
      <c r="A1053" t="e">
        <f>'Lista de productos'!#REF!</f>
        <v>#REF!</v>
      </c>
      <c r="B1053">
        <f>'Lista de productos'!B1063</f>
        <v>0</v>
      </c>
      <c r="D1053">
        <v>1049</v>
      </c>
    </row>
    <row r="1054" spans="1:4" x14ac:dyDescent="0.35">
      <c r="A1054" t="e">
        <f>'Lista de productos'!#REF!</f>
        <v>#REF!</v>
      </c>
      <c r="B1054">
        <f>'Lista de productos'!B1064</f>
        <v>0</v>
      </c>
      <c r="D1054">
        <v>1050</v>
      </c>
    </row>
    <row r="1055" spans="1:4" x14ac:dyDescent="0.35">
      <c r="A1055" t="e">
        <f>'Lista de productos'!#REF!</f>
        <v>#REF!</v>
      </c>
      <c r="B1055">
        <f>'Lista de productos'!B1065</f>
        <v>0</v>
      </c>
      <c r="D1055">
        <v>1051</v>
      </c>
    </row>
    <row r="1056" spans="1:4" x14ac:dyDescent="0.35">
      <c r="A1056" t="e">
        <f>'Lista de productos'!#REF!</f>
        <v>#REF!</v>
      </c>
      <c r="B1056">
        <f>'Lista de productos'!B1066</f>
        <v>0</v>
      </c>
      <c r="D1056">
        <v>1052</v>
      </c>
    </row>
    <row r="1057" spans="1:4" x14ac:dyDescent="0.35">
      <c r="A1057" t="e">
        <f>'Lista de productos'!#REF!</f>
        <v>#REF!</v>
      </c>
      <c r="B1057">
        <f>'Lista de productos'!B1067</f>
        <v>0</v>
      </c>
      <c r="D1057">
        <v>1053</v>
      </c>
    </row>
    <row r="1058" spans="1:4" x14ac:dyDescent="0.35">
      <c r="A1058" t="e">
        <f>'Lista de productos'!#REF!</f>
        <v>#REF!</v>
      </c>
      <c r="B1058">
        <f>'Lista de productos'!B1068</f>
        <v>0</v>
      </c>
      <c r="D1058">
        <v>1054</v>
      </c>
    </row>
    <row r="1059" spans="1:4" x14ac:dyDescent="0.35">
      <c r="A1059" t="e">
        <f>'Lista de productos'!#REF!</f>
        <v>#REF!</v>
      </c>
      <c r="B1059">
        <f>'Lista de productos'!B1069</f>
        <v>0</v>
      </c>
      <c r="D1059">
        <v>1055</v>
      </c>
    </row>
    <row r="1060" spans="1:4" x14ac:dyDescent="0.35">
      <c r="A1060" t="e">
        <f>'Lista de productos'!#REF!</f>
        <v>#REF!</v>
      </c>
      <c r="B1060">
        <f>'Lista de productos'!B1070</f>
        <v>0</v>
      </c>
      <c r="D1060">
        <v>1056</v>
      </c>
    </row>
    <row r="1061" spans="1:4" x14ac:dyDescent="0.35">
      <c r="A1061" t="e">
        <f>'Lista de productos'!#REF!</f>
        <v>#REF!</v>
      </c>
      <c r="B1061">
        <f>'Lista de productos'!B1071</f>
        <v>0</v>
      </c>
      <c r="D1061">
        <v>1057</v>
      </c>
    </row>
    <row r="1062" spans="1:4" x14ac:dyDescent="0.35">
      <c r="A1062" t="e">
        <f>'Lista de productos'!#REF!</f>
        <v>#REF!</v>
      </c>
      <c r="B1062">
        <f>'Lista de productos'!B1072</f>
        <v>0</v>
      </c>
      <c r="D1062">
        <v>1058</v>
      </c>
    </row>
    <row r="1063" spans="1:4" x14ac:dyDescent="0.35">
      <c r="A1063" t="e">
        <f>'Lista de productos'!#REF!</f>
        <v>#REF!</v>
      </c>
      <c r="B1063">
        <f>'Lista de productos'!B1073</f>
        <v>0</v>
      </c>
      <c r="D1063">
        <v>1059</v>
      </c>
    </row>
    <row r="1064" spans="1:4" x14ac:dyDescent="0.35">
      <c r="A1064" t="e">
        <f>'Lista de productos'!#REF!</f>
        <v>#REF!</v>
      </c>
      <c r="B1064">
        <f>'Lista de productos'!B1074</f>
        <v>0</v>
      </c>
      <c r="D1064">
        <v>1060</v>
      </c>
    </row>
    <row r="1065" spans="1:4" x14ac:dyDescent="0.35">
      <c r="A1065" t="e">
        <f>'Lista de productos'!#REF!</f>
        <v>#REF!</v>
      </c>
      <c r="B1065">
        <f>'Lista de productos'!B1075</f>
        <v>0</v>
      </c>
      <c r="D1065">
        <v>1061</v>
      </c>
    </row>
    <row r="1066" spans="1:4" x14ac:dyDescent="0.35">
      <c r="A1066" t="e">
        <f>'Lista de productos'!#REF!</f>
        <v>#REF!</v>
      </c>
      <c r="B1066">
        <f>'Lista de productos'!B1076</f>
        <v>0</v>
      </c>
      <c r="D1066">
        <v>1062</v>
      </c>
    </row>
    <row r="1067" spans="1:4" x14ac:dyDescent="0.35">
      <c r="A1067" t="e">
        <f>'Lista de productos'!#REF!</f>
        <v>#REF!</v>
      </c>
      <c r="B1067">
        <f>'Lista de productos'!B1077</f>
        <v>0</v>
      </c>
      <c r="D1067">
        <v>1063</v>
      </c>
    </row>
    <row r="1068" spans="1:4" x14ac:dyDescent="0.35">
      <c r="A1068" t="e">
        <f>'Lista de productos'!#REF!</f>
        <v>#REF!</v>
      </c>
      <c r="B1068">
        <f>'Lista de productos'!B1078</f>
        <v>0</v>
      </c>
      <c r="D1068">
        <v>1064</v>
      </c>
    </row>
    <row r="1069" spans="1:4" x14ac:dyDescent="0.35">
      <c r="A1069" t="e">
        <f>'Lista de productos'!#REF!</f>
        <v>#REF!</v>
      </c>
      <c r="B1069">
        <f>'Lista de productos'!B1079</f>
        <v>0</v>
      </c>
      <c r="D1069">
        <v>1065</v>
      </c>
    </row>
    <row r="1070" spans="1:4" x14ac:dyDescent="0.35">
      <c r="A1070" t="e">
        <f>'Lista de productos'!#REF!</f>
        <v>#REF!</v>
      </c>
      <c r="B1070">
        <f>'Lista de productos'!B1080</f>
        <v>0</v>
      </c>
      <c r="D1070">
        <v>1066</v>
      </c>
    </row>
    <row r="1071" spans="1:4" x14ac:dyDescent="0.35">
      <c r="A1071" t="e">
        <f>'Lista de productos'!#REF!</f>
        <v>#REF!</v>
      </c>
      <c r="B1071">
        <f>'Lista de productos'!B1081</f>
        <v>0</v>
      </c>
      <c r="D1071">
        <v>1067</v>
      </c>
    </row>
    <row r="1072" spans="1:4" x14ac:dyDescent="0.35">
      <c r="A1072" t="e">
        <f>'Lista de productos'!#REF!</f>
        <v>#REF!</v>
      </c>
      <c r="B1072">
        <f>'Lista de productos'!B1082</f>
        <v>0</v>
      </c>
      <c r="D1072">
        <v>1068</v>
      </c>
    </row>
    <row r="1073" spans="1:4" x14ac:dyDescent="0.35">
      <c r="A1073" t="e">
        <f>'Lista de productos'!#REF!</f>
        <v>#REF!</v>
      </c>
      <c r="B1073">
        <f>'Lista de productos'!B1083</f>
        <v>0</v>
      </c>
      <c r="D1073">
        <v>1069</v>
      </c>
    </row>
    <row r="1074" spans="1:4" x14ac:dyDescent="0.35">
      <c r="A1074" t="e">
        <f>'Lista de productos'!#REF!</f>
        <v>#REF!</v>
      </c>
      <c r="B1074">
        <f>'Lista de productos'!B1084</f>
        <v>0</v>
      </c>
      <c r="D1074">
        <v>1070</v>
      </c>
    </row>
    <row r="1075" spans="1:4" x14ac:dyDescent="0.35">
      <c r="A1075" t="e">
        <f>'Lista de productos'!#REF!</f>
        <v>#REF!</v>
      </c>
      <c r="B1075">
        <f>'Lista de productos'!B1085</f>
        <v>0</v>
      </c>
      <c r="D1075">
        <v>1071</v>
      </c>
    </row>
    <row r="1076" spans="1:4" x14ac:dyDescent="0.35">
      <c r="A1076" t="e">
        <f>'Lista de productos'!#REF!</f>
        <v>#REF!</v>
      </c>
      <c r="B1076">
        <f>'Lista de productos'!B1086</f>
        <v>0</v>
      </c>
      <c r="D1076">
        <v>1072</v>
      </c>
    </row>
    <row r="1077" spans="1:4" x14ac:dyDescent="0.35">
      <c r="A1077" t="e">
        <f>'Lista de productos'!#REF!</f>
        <v>#REF!</v>
      </c>
      <c r="B1077">
        <f>'Lista de productos'!B1087</f>
        <v>0</v>
      </c>
      <c r="D1077">
        <v>1073</v>
      </c>
    </row>
    <row r="1078" spans="1:4" x14ac:dyDescent="0.35">
      <c r="A1078" t="e">
        <f>'Lista de productos'!#REF!</f>
        <v>#REF!</v>
      </c>
      <c r="B1078">
        <f>'Lista de productos'!B1088</f>
        <v>0</v>
      </c>
      <c r="D1078">
        <v>1074</v>
      </c>
    </row>
    <row r="1079" spans="1:4" x14ac:dyDescent="0.35">
      <c r="A1079" t="e">
        <f>'Lista de productos'!#REF!</f>
        <v>#REF!</v>
      </c>
      <c r="B1079">
        <f>'Lista de productos'!B1089</f>
        <v>0</v>
      </c>
      <c r="D1079">
        <v>1075</v>
      </c>
    </row>
    <row r="1080" spans="1:4" x14ac:dyDescent="0.35">
      <c r="A1080" t="e">
        <f>'Lista de productos'!#REF!</f>
        <v>#REF!</v>
      </c>
      <c r="B1080">
        <f>'Lista de productos'!B1090</f>
        <v>0</v>
      </c>
      <c r="D1080">
        <v>1076</v>
      </c>
    </row>
    <row r="1081" spans="1:4" x14ac:dyDescent="0.35">
      <c r="A1081" t="e">
        <f>'Lista de productos'!#REF!</f>
        <v>#REF!</v>
      </c>
      <c r="B1081">
        <f>'Lista de productos'!B1091</f>
        <v>0</v>
      </c>
      <c r="D1081">
        <v>1077</v>
      </c>
    </row>
    <row r="1082" spans="1:4" x14ac:dyDescent="0.35">
      <c r="A1082" t="e">
        <f>'Lista de productos'!#REF!</f>
        <v>#REF!</v>
      </c>
      <c r="B1082">
        <f>'Lista de productos'!B1092</f>
        <v>0</v>
      </c>
      <c r="D1082">
        <v>1078</v>
      </c>
    </row>
    <row r="1083" spans="1:4" x14ac:dyDescent="0.35">
      <c r="A1083" t="e">
        <f>'Lista de productos'!#REF!</f>
        <v>#REF!</v>
      </c>
      <c r="B1083">
        <f>'Lista de productos'!B1093</f>
        <v>0</v>
      </c>
      <c r="D1083">
        <v>1079</v>
      </c>
    </row>
    <row r="1084" spans="1:4" x14ac:dyDescent="0.35">
      <c r="A1084" t="e">
        <f>'Lista de productos'!#REF!</f>
        <v>#REF!</v>
      </c>
      <c r="B1084">
        <f>'Lista de productos'!B1094</f>
        <v>0</v>
      </c>
      <c r="D1084">
        <v>1080</v>
      </c>
    </row>
    <row r="1085" spans="1:4" x14ac:dyDescent="0.35">
      <c r="A1085" t="e">
        <f>'Lista de productos'!#REF!</f>
        <v>#REF!</v>
      </c>
      <c r="B1085">
        <f>'Lista de productos'!B1095</f>
        <v>0</v>
      </c>
      <c r="D1085">
        <v>1081</v>
      </c>
    </row>
    <row r="1086" spans="1:4" x14ac:dyDescent="0.35">
      <c r="A1086" t="e">
        <f>'Lista de productos'!#REF!</f>
        <v>#REF!</v>
      </c>
      <c r="B1086">
        <f>'Lista de productos'!B1096</f>
        <v>0</v>
      </c>
      <c r="D1086">
        <v>1082</v>
      </c>
    </row>
    <row r="1087" spans="1:4" x14ac:dyDescent="0.35">
      <c r="A1087" t="e">
        <f>'Lista de productos'!#REF!</f>
        <v>#REF!</v>
      </c>
      <c r="B1087">
        <f>'Lista de productos'!B1097</f>
        <v>0</v>
      </c>
      <c r="D1087">
        <v>1083</v>
      </c>
    </row>
    <row r="1088" spans="1:4" x14ac:dyDescent="0.35">
      <c r="A1088" t="e">
        <f>'Lista de productos'!#REF!</f>
        <v>#REF!</v>
      </c>
      <c r="B1088">
        <f>'Lista de productos'!B1098</f>
        <v>0</v>
      </c>
      <c r="D1088">
        <v>1084</v>
      </c>
    </row>
    <row r="1089" spans="1:4" x14ac:dyDescent="0.35">
      <c r="A1089" t="e">
        <f>'Lista de productos'!#REF!</f>
        <v>#REF!</v>
      </c>
      <c r="B1089">
        <f>'Lista de productos'!B1099</f>
        <v>0</v>
      </c>
      <c r="D1089">
        <v>1085</v>
      </c>
    </row>
    <row r="1090" spans="1:4" x14ac:dyDescent="0.35">
      <c r="A1090" t="e">
        <f>'Lista de productos'!#REF!</f>
        <v>#REF!</v>
      </c>
      <c r="B1090">
        <f>'Lista de productos'!B1100</f>
        <v>0</v>
      </c>
      <c r="D1090">
        <v>1086</v>
      </c>
    </row>
    <row r="1091" spans="1:4" x14ac:dyDescent="0.35">
      <c r="A1091" t="e">
        <f>'Lista de productos'!#REF!</f>
        <v>#REF!</v>
      </c>
      <c r="B1091">
        <f>'Lista de productos'!B1101</f>
        <v>0</v>
      </c>
      <c r="D1091">
        <v>1087</v>
      </c>
    </row>
    <row r="1092" spans="1:4" x14ac:dyDescent="0.35">
      <c r="A1092" t="e">
        <f>'Lista de productos'!#REF!</f>
        <v>#REF!</v>
      </c>
      <c r="B1092">
        <f>'Lista de productos'!B1102</f>
        <v>0</v>
      </c>
      <c r="D1092">
        <v>1088</v>
      </c>
    </row>
    <row r="1093" spans="1:4" x14ac:dyDescent="0.35">
      <c r="A1093" t="e">
        <f>'Lista de productos'!#REF!</f>
        <v>#REF!</v>
      </c>
      <c r="B1093">
        <f>'Lista de productos'!B1103</f>
        <v>0</v>
      </c>
      <c r="D1093">
        <v>1089</v>
      </c>
    </row>
    <row r="1094" spans="1:4" x14ac:dyDescent="0.35">
      <c r="A1094" t="e">
        <f>'Lista de productos'!#REF!</f>
        <v>#REF!</v>
      </c>
      <c r="B1094">
        <f>'Lista de productos'!B1104</f>
        <v>0</v>
      </c>
      <c r="D1094">
        <v>1090</v>
      </c>
    </row>
    <row r="1095" spans="1:4" x14ac:dyDescent="0.35">
      <c r="A1095" t="e">
        <f>'Lista de productos'!#REF!</f>
        <v>#REF!</v>
      </c>
      <c r="B1095">
        <f>'Lista de productos'!B1105</f>
        <v>0</v>
      </c>
      <c r="D1095">
        <v>1091</v>
      </c>
    </row>
    <row r="1096" spans="1:4" x14ac:dyDescent="0.35">
      <c r="A1096" t="e">
        <f>'Lista de productos'!#REF!</f>
        <v>#REF!</v>
      </c>
      <c r="B1096">
        <f>'Lista de productos'!B1106</f>
        <v>0</v>
      </c>
      <c r="D1096">
        <v>1092</v>
      </c>
    </row>
    <row r="1097" spans="1:4" x14ac:dyDescent="0.35">
      <c r="A1097" t="e">
        <f>'Lista de productos'!#REF!</f>
        <v>#REF!</v>
      </c>
      <c r="B1097">
        <f>'Lista de productos'!B1107</f>
        <v>0</v>
      </c>
      <c r="D1097">
        <v>1093</v>
      </c>
    </row>
    <row r="1098" spans="1:4" x14ac:dyDescent="0.35">
      <c r="A1098" t="e">
        <f>'Lista de productos'!#REF!</f>
        <v>#REF!</v>
      </c>
      <c r="B1098">
        <f>'Lista de productos'!B1108</f>
        <v>0</v>
      </c>
      <c r="D1098">
        <v>1094</v>
      </c>
    </row>
    <row r="1099" spans="1:4" x14ac:dyDescent="0.35">
      <c r="A1099" t="e">
        <f>'Lista de productos'!#REF!</f>
        <v>#REF!</v>
      </c>
      <c r="B1099">
        <f>'Lista de productos'!B1109</f>
        <v>0</v>
      </c>
      <c r="D1099">
        <v>1095</v>
      </c>
    </row>
    <row r="1100" spans="1:4" x14ac:dyDescent="0.35">
      <c r="A1100" t="e">
        <f>'Lista de productos'!#REF!</f>
        <v>#REF!</v>
      </c>
      <c r="B1100">
        <f>'Lista de productos'!B1110</f>
        <v>0</v>
      </c>
      <c r="D1100">
        <v>1096</v>
      </c>
    </row>
    <row r="1101" spans="1:4" x14ac:dyDescent="0.35">
      <c r="A1101" t="e">
        <f>'Lista de productos'!#REF!</f>
        <v>#REF!</v>
      </c>
      <c r="B1101">
        <f>'Lista de productos'!B1111</f>
        <v>0</v>
      </c>
      <c r="D1101">
        <v>1097</v>
      </c>
    </row>
    <row r="1102" spans="1:4" x14ac:dyDescent="0.35">
      <c r="A1102" t="e">
        <f>'Lista de productos'!#REF!</f>
        <v>#REF!</v>
      </c>
      <c r="B1102">
        <f>'Lista de productos'!B1112</f>
        <v>0</v>
      </c>
      <c r="D1102">
        <v>1098</v>
      </c>
    </row>
    <row r="1103" spans="1:4" x14ac:dyDescent="0.35">
      <c r="A1103" t="e">
        <f>'Lista de productos'!#REF!</f>
        <v>#REF!</v>
      </c>
      <c r="B1103">
        <f>'Lista de productos'!B1113</f>
        <v>0</v>
      </c>
      <c r="D1103">
        <v>1099</v>
      </c>
    </row>
    <row r="1104" spans="1:4" x14ac:dyDescent="0.35">
      <c r="A1104" t="e">
        <f>'Lista de productos'!#REF!</f>
        <v>#REF!</v>
      </c>
      <c r="B1104">
        <f>'Lista de productos'!B1114</f>
        <v>0</v>
      </c>
      <c r="D1104">
        <v>1100</v>
      </c>
    </row>
    <row r="1105" spans="1:4" x14ac:dyDescent="0.35">
      <c r="A1105" t="e">
        <f>'Lista de productos'!#REF!</f>
        <v>#REF!</v>
      </c>
      <c r="B1105">
        <f>'Lista de productos'!B1115</f>
        <v>0</v>
      </c>
      <c r="D1105">
        <v>1101</v>
      </c>
    </row>
    <row r="1106" spans="1:4" x14ac:dyDescent="0.35">
      <c r="A1106" t="e">
        <f>'Lista de productos'!#REF!</f>
        <v>#REF!</v>
      </c>
      <c r="B1106">
        <f>'Lista de productos'!B1116</f>
        <v>0</v>
      </c>
      <c r="D1106">
        <v>1102</v>
      </c>
    </row>
    <row r="1107" spans="1:4" x14ac:dyDescent="0.35">
      <c r="A1107" t="e">
        <f>'Lista de productos'!#REF!</f>
        <v>#REF!</v>
      </c>
      <c r="B1107">
        <f>'Lista de productos'!B1117</f>
        <v>0</v>
      </c>
      <c r="D1107">
        <v>1103</v>
      </c>
    </row>
    <row r="1108" spans="1:4" x14ac:dyDescent="0.35">
      <c r="A1108" t="e">
        <f>'Lista de productos'!#REF!</f>
        <v>#REF!</v>
      </c>
      <c r="B1108">
        <f>'Lista de productos'!B1118</f>
        <v>0</v>
      </c>
      <c r="D1108">
        <v>1104</v>
      </c>
    </row>
    <row r="1109" spans="1:4" x14ac:dyDescent="0.35">
      <c r="A1109" t="e">
        <f>'Lista de productos'!#REF!</f>
        <v>#REF!</v>
      </c>
      <c r="B1109">
        <f>'Lista de productos'!B1119</f>
        <v>0</v>
      </c>
      <c r="D1109">
        <v>1105</v>
      </c>
    </row>
    <row r="1110" spans="1:4" x14ac:dyDescent="0.35">
      <c r="A1110" t="e">
        <f>'Lista de productos'!#REF!</f>
        <v>#REF!</v>
      </c>
      <c r="B1110">
        <f>'Lista de productos'!B1120</f>
        <v>0</v>
      </c>
      <c r="D1110">
        <v>1106</v>
      </c>
    </row>
    <row r="1111" spans="1:4" x14ac:dyDescent="0.35">
      <c r="A1111" t="e">
        <f>'Lista de productos'!#REF!</f>
        <v>#REF!</v>
      </c>
      <c r="B1111">
        <f>'Lista de productos'!B1121</f>
        <v>0</v>
      </c>
      <c r="D1111">
        <v>1107</v>
      </c>
    </row>
    <row r="1112" spans="1:4" x14ac:dyDescent="0.35">
      <c r="A1112" t="e">
        <f>'Lista de productos'!#REF!</f>
        <v>#REF!</v>
      </c>
      <c r="B1112">
        <f>'Lista de productos'!B1122</f>
        <v>0</v>
      </c>
      <c r="D1112">
        <v>1108</v>
      </c>
    </row>
    <row r="1113" spans="1:4" x14ac:dyDescent="0.35">
      <c r="A1113" t="e">
        <f>'Lista de productos'!#REF!</f>
        <v>#REF!</v>
      </c>
      <c r="B1113">
        <f>'Lista de productos'!B1123</f>
        <v>0</v>
      </c>
      <c r="D1113">
        <v>1109</v>
      </c>
    </row>
    <row r="1114" spans="1:4" x14ac:dyDescent="0.35">
      <c r="A1114" t="e">
        <f>'Lista de productos'!#REF!</f>
        <v>#REF!</v>
      </c>
      <c r="B1114">
        <f>'Lista de productos'!B1124</f>
        <v>0</v>
      </c>
      <c r="D1114">
        <v>1110</v>
      </c>
    </row>
    <row r="1115" spans="1:4" x14ac:dyDescent="0.35">
      <c r="A1115" t="e">
        <f>'Lista de productos'!#REF!</f>
        <v>#REF!</v>
      </c>
      <c r="B1115">
        <f>'Lista de productos'!B1125</f>
        <v>0</v>
      </c>
      <c r="D1115">
        <v>1111</v>
      </c>
    </row>
    <row r="1116" spans="1:4" x14ac:dyDescent="0.35">
      <c r="A1116" t="e">
        <f>'Lista de productos'!#REF!</f>
        <v>#REF!</v>
      </c>
      <c r="B1116">
        <f>'Lista de productos'!B1126</f>
        <v>0</v>
      </c>
      <c r="D1116">
        <v>1112</v>
      </c>
    </row>
    <row r="1117" spans="1:4" x14ac:dyDescent="0.35">
      <c r="A1117" t="e">
        <f>'Lista de productos'!#REF!</f>
        <v>#REF!</v>
      </c>
      <c r="B1117">
        <f>'Lista de productos'!B1127</f>
        <v>0</v>
      </c>
      <c r="D1117">
        <v>1113</v>
      </c>
    </row>
    <row r="1118" spans="1:4" x14ac:dyDescent="0.35">
      <c r="A1118" t="e">
        <f>'Lista de productos'!#REF!</f>
        <v>#REF!</v>
      </c>
      <c r="B1118">
        <f>'Lista de productos'!B1128</f>
        <v>0</v>
      </c>
      <c r="D1118">
        <v>1114</v>
      </c>
    </row>
    <row r="1119" spans="1:4" x14ac:dyDescent="0.35">
      <c r="A1119" t="e">
        <f>'Lista de productos'!#REF!</f>
        <v>#REF!</v>
      </c>
      <c r="B1119">
        <f>'Lista de productos'!B1129</f>
        <v>0</v>
      </c>
      <c r="D1119">
        <v>1115</v>
      </c>
    </row>
    <row r="1120" spans="1:4" x14ac:dyDescent="0.35">
      <c r="A1120" t="e">
        <f>'Lista de productos'!#REF!</f>
        <v>#REF!</v>
      </c>
      <c r="B1120">
        <f>'Lista de productos'!B1130</f>
        <v>0</v>
      </c>
      <c r="D1120">
        <v>1116</v>
      </c>
    </row>
    <row r="1121" spans="1:4" x14ac:dyDescent="0.35">
      <c r="A1121" t="e">
        <f>'Lista de productos'!#REF!</f>
        <v>#REF!</v>
      </c>
      <c r="B1121">
        <f>'Lista de productos'!B1131</f>
        <v>0</v>
      </c>
      <c r="D1121">
        <v>1117</v>
      </c>
    </row>
    <row r="1122" spans="1:4" x14ac:dyDescent="0.35">
      <c r="A1122" t="e">
        <f>'Lista de productos'!#REF!</f>
        <v>#REF!</v>
      </c>
      <c r="B1122">
        <f>'Lista de productos'!B1132</f>
        <v>0</v>
      </c>
      <c r="D1122">
        <v>1118</v>
      </c>
    </row>
    <row r="1123" spans="1:4" x14ac:dyDescent="0.35">
      <c r="A1123" t="e">
        <f>'Lista de productos'!#REF!</f>
        <v>#REF!</v>
      </c>
      <c r="B1123">
        <f>'Lista de productos'!B1133</f>
        <v>0</v>
      </c>
      <c r="D1123">
        <v>1119</v>
      </c>
    </row>
    <row r="1124" spans="1:4" x14ac:dyDescent="0.35">
      <c r="A1124" t="e">
        <f>'Lista de productos'!#REF!</f>
        <v>#REF!</v>
      </c>
      <c r="B1124">
        <f>'Lista de productos'!B1134</f>
        <v>0</v>
      </c>
      <c r="D1124">
        <v>1120</v>
      </c>
    </row>
    <row r="1125" spans="1:4" x14ac:dyDescent="0.35">
      <c r="A1125" t="e">
        <f>'Lista de productos'!#REF!</f>
        <v>#REF!</v>
      </c>
      <c r="B1125">
        <f>'Lista de productos'!B1135</f>
        <v>0</v>
      </c>
      <c r="D1125">
        <v>1121</v>
      </c>
    </row>
    <row r="1126" spans="1:4" x14ac:dyDescent="0.35">
      <c r="A1126" t="e">
        <f>'Lista de productos'!#REF!</f>
        <v>#REF!</v>
      </c>
      <c r="B1126">
        <f>'Lista de productos'!B1136</f>
        <v>0</v>
      </c>
      <c r="D1126">
        <v>1122</v>
      </c>
    </row>
    <row r="1127" spans="1:4" x14ac:dyDescent="0.35">
      <c r="A1127" t="e">
        <f>'Lista de productos'!#REF!</f>
        <v>#REF!</v>
      </c>
      <c r="B1127">
        <f>'Lista de productos'!B1137</f>
        <v>0</v>
      </c>
      <c r="D1127">
        <v>1123</v>
      </c>
    </row>
    <row r="1128" spans="1:4" x14ac:dyDescent="0.35">
      <c r="A1128" t="e">
        <f>'Lista de productos'!#REF!</f>
        <v>#REF!</v>
      </c>
      <c r="B1128">
        <f>'Lista de productos'!B1138</f>
        <v>0</v>
      </c>
      <c r="D1128">
        <v>1124</v>
      </c>
    </row>
    <row r="1129" spans="1:4" x14ac:dyDescent="0.35">
      <c r="A1129" t="e">
        <f>'Lista de productos'!#REF!</f>
        <v>#REF!</v>
      </c>
      <c r="B1129">
        <f>'Lista de productos'!B1139</f>
        <v>0</v>
      </c>
      <c r="D1129">
        <v>1125</v>
      </c>
    </row>
    <row r="1130" spans="1:4" x14ac:dyDescent="0.35">
      <c r="A1130" t="e">
        <f>'Lista de productos'!#REF!</f>
        <v>#REF!</v>
      </c>
      <c r="B1130">
        <f>'Lista de productos'!B1140</f>
        <v>0</v>
      </c>
      <c r="D1130">
        <v>1126</v>
      </c>
    </row>
    <row r="1131" spans="1:4" x14ac:dyDescent="0.35">
      <c r="A1131" t="e">
        <f>'Lista de productos'!#REF!</f>
        <v>#REF!</v>
      </c>
      <c r="B1131">
        <f>'Lista de productos'!B1141</f>
        <v>0</v>
      </c>
      <c r="D1131">
        <v>1127</v>
      </c>
    </row>
    <row r="1132" spans="1:4" x14ac:dyDescent="0.35">
      <c r="A1132" t="e">
        <f>'Lista de productos'!#REF!</f>
        <v>#REF!</v>
      </c>
      <c r="B1132">
        <f>'Lista de productos'!B1142</f>
        <v>0</v>
      </c>
      <c r="D1132">
        <v>1128</v>
      </c>
    </row>
    <row r="1133" spans="1:4" x14ac:dyDescent="0.35">
      <c r="A1133" t="e">
        <f>'Lista de productos'!#REF!</f>
        <v>#REF!</v>
      </c>
      <c r="B1133">
        <f>'Lista de productos'!B1143</f>
        <v>0</v>
      </c>
      <c r="D1133">
        <v>1129</v>
      </c>
    </row>
    <row r="1134" spans="1:4" x14ac:dyDescent="0.35">
      <c r="A1134" t="e">
        <f>'Lista de productos'!#REF!</f>
        <v>#REF!</v>
      </c>
      <c r="B1134">
        <f>'Lista de productos'!B1144</f>
        <v>0</v>
      </c>
      <c r="D1134">
        <v>1130</v>
      </c>
    </row>
    <row r="1135" spans="1:4" x14ac:dyDescent="0.35">
      <c r="A1135" t="e">
        <f>'Lista de productos'!#REF!</f>
        <v>#REF!</v>
      </c>
      <c r="B1135">
        <f>'Lista de productos'!B1145</f>
        <v>0</v>
      </c>
      <c r="D1135">
        <v>1131</v>
      </c>
    </row>
    <row r="1136" spans="1:4" x14ac:dyDescent="0.35">
      <c r="A1136" t="e">
        <f>'Lista de productos'!#REF!</f>
        <v>#REF!</v>
      </c>
      <c r="B1136">
        <f>'Lista de productos'!B1146</f>
        <v>0</v>
      </c>
      <c r="D1136">
        <v>1132</v>
      </c>
    </row>
    <row r="1137" spans="1:4" x14ac:dyDescent="0.35">
      <c r="A1137" t="e">
        <f>'Lista de productos'!#REF!</f>
        <v>#REF!</v>
      </c>
      <c r="B1137">
        <f>'Lista de productos'!B1147</f>
        <v>0</v>
      </c>
      <c r="D1137">
        <v>1133</v>
      </c>
    </row>
    <row r="1138" spans="1:4" x14ac:dyDescent="0.35">
      <c r="A1138" t="e">
        <f>'Lista de productos'!#REF!</f>
        <v>#REF!</v>
      </c>
      <c r="B1138">
        <f>'Lista de productos'!B1148</f>
        <v>0</v>
      </c>
      <c r="D1138">
        <v>1134</v>
      </c>
    </row>
    <row r="1139" spans="1:4" x14ac:dyDescent="0.35">
      <c r="A1139" t="e">
        <f>'Lista de productos'!#REF!</f>
        <v>#REF!</v>
      </c>
      <c r="B1139">
        <f>'Lista de productos'!B1149</f>
        <v>0</v>
      </c>
      <c r="D1139">
        <v>1135</v>
      </c>
    </row>
    <row r="1140" spans="1:4" x14ac:dyDescent="0.35">
      <c r="A1140" t="e">
        <f>'Lista de productos'!#REF!</f>
        <v>#REF!</v>
      </c>
      <c r="B1140">
        <f>'Lista de productos'!B1150</f>
        <v>0</v>
      </c>
      <c r="D1140">
        <v>1136</v>
      </c>
    </row>
    <row r="1141" spans="1:4" x14ac:dyDescent="0.35">
      <c r="A1141" t="e">
        <f>'Lista de productos'!#REF!</f>
        <v>#REF!</v>
      </c>
      <c r="B1141">
        <f>'Lista de productos'!B1151</f>
        <v>0</v>
      </c>
      <c r="D1141">
        <v>1137</v>
      </c>
    </row>
    <row r="1142" spans="1:4" x14ac:dyDescent="0.35">
      <c r="A1142" t="e">
        <f>'Lista de productos'!#REF!</f>
        <v>#REF!</v>
      </c>
      <c r="B1142">
        <f>'Lista de productos'!B1152</f>
        <v>0</v>
      </c>
      <c r="D1142">
        <v>1138</v>
      </c>
    </row>
    <row r="1143" spans="1:4" x14ac:dyDescent="0.35">
      <c r="A1143" t="e">
        <f>'Lista de productos'!#REF!</f>
        <v>#REF!</v>
      </c>
      <c r="B1143">
        <f>'Lista de productos'!B1153</f>
        <v>0</v>
      </c>
      <c r="D1143">
        <v>1139</v>
      </c>
    </row>
    <row r="1144" spans="1:4" x14ac:dyDescent="0.35">
      <c r="A1144" t="e">
        <f>'Lista de productos'!#REF!</f>
        <v>#REF!</v>
      </c>
      <c r="B1144">
        <f>'Lista de productos'!B1154</f>
        <v>0</v>
      </c>
      <c r="D1144">
        <v>1140</v>
      </c>
    </row>
    <row r="1145" spans="1:4" x14ac:dyDescent="0.35">
      <c r="A1145" t="e">
        <f>'Lista de productos'!#REF!</f>
        <v>#REF!</v>
      </c>
      <c r="B1145">
        <f>'Lista de productos'!B1155</f>
        <v>0</v>
      </c>
      <c r="D1145">
        <v>1141</v>
      </c>
    </row>
    <row r="1146" spans="1:4" x14ac:dyDescent="0.35">
      <c r="A1146" t="e">
        <f>'Lista de productos'!#REF!</f>
        <v>#REF!</v>
      </c>
      <c r="B1146">
        <f>'Lista de productos'!B1156</f>
        <v>0</v>
      </c>
      <c r="D1146">
        <v>1142</v>
      </c>
    </row>
    <row r="1147" spans="1:4" x14ac:dyDescent="0.35">
      <c r="A1147" t="e">
        <f>'Lista de productos'!#REF!</f>
        <v>#REF!</v>
      </c>
      <c r="B1147">
        <f>'Lista de productos'!B1157</f>
        <v>0</v>
      </c>
      <c r="D1147">
        <v>1143</v>
      </c>
    </row>
    <row r="1148" spans="1:4" x14ac:dyDescent="0.35">
      <c r="A1148" t="e">
        <f>'Lista de productos'!#REF!</f>
        <v>#REF!</v>
      </c>
      <c r="B1148">
        <f>'Lista de productos'!B1158</f>
        <v>0</v>
      </c>
      <c r="D1148">
        <v>1144</v>
      </c>
    </row>
    <row r="1149" spans="1:4" x14ac:dyDescent="0.35">
      <c r="A1149" t="e">
        <f>'Lista de productos'!#REF!</f>
        <v>#REF!</v>
      </c>
      <c r="B1149">
        <f>'Lista de productos'!B1159</f>
        <v>0</v>
      </c>
      <c r="D1149">
        <v>1145</v>
      </c>
    </row>
    <row r="1150" spans="1:4" x14ac:dyDescent="0.35">
      <c r="A1150" t="e">
        <f>'Lista de productos'!#REF!</f>
        <v>#REF!</v>
      </c>
      <c r="B1150">
        <f>'Lista de productos'!B1160</f>
        <v>0</v>
      </c>
      <c r="D1150">
        <v>1146</v>
      </c>
    </row>
    <row r="1151" spans="1:4" x14ac:dyDescent="0.35">
      <c r="A1151" t="e">
        <f>'Lista de productos'!#REF!</f>
        <v>#REF!</v>
      </c>
      <c r="B1151">
        <f>'Lista de productos'!B1161</f>
        <v>0</v>
      </c>
      <c r="D1151">
        <v>1147</v>
      </c>
    </row>
    <row r="1152" spans="1:4" x14ac:dyDescent="0.35">
      <c r="A1152" t="e">
        <f>'Lista de productos'!#REF!</f>
        <v>#REF!</v>
      </c>
      <c r="B1152">
        <f>'Lista de productos'!B1162</f>
        <v>0</v>
      </c>
      <c r="D1152">
        <v>1148</v>
      </c>
    </row>
    <row r="1153" spans="1:4" x14ac:dyDescent="0.35">
      <c r="A1153" t="e">
        <f>'Lista de productos'!#REF!</f>
        <v>#REF!</v>
      </c>
      <c r="B1153">
        <f>'Lista de productos'!B1163</f>
        <v>0</v>
      </c>
      <c r="D1153">
        <v>1149</v>
      </c>
    </row>
    <row r="1154" spans="1:4" x14ac:dyDescent="0.35">
      <c r="A1154" t="e">
        <f>'Lista de productos'!#REF!</f>
        <v>#REF!</v>
      </c>
      <c r="B1154">
        <f>'Lista de productos'!B1164</f>
        <v>0</v>
      </c>
      <c r="D1154">
        <v>1150</v>
      </c>
    </row>
    <row r="1155" spans="1:4" x14ac:dyDescent="0.35">
      <c r="A1155" t="e">
        <f>'Lista de productos'!#REF!</f>
        <v>#REF!</v>
      </c>
      <c r="B1155">
        <f>'Lista de productos'!B1165</f>
        <v>0</v>
      </c>
      <c r="D1155">
        <v>1151</v>
      </c>
    </row>
    <row r="1156" spans="1:4" x14ac:dyDescent="0.35">
      <c r="A1156" t="e">
        <f>'Lista de productos'!#REF!</f>
        <v>#REF!</v>
      </c>
      <c r="B1156">
        <f>'Lista de productos'!B1166</f>
        <v>0</v>
      </c>
      <c r="D1156">
        <v>1152</v>
      </c>
    </row>
    <row r="1157" spans="1:4" x14ac:dyDescent="0.35">
      <c r="A1157" t="e">
        <f>'Lista de productos'!#REF!</f>
        <v>#REF!</v>
      </c>
      <c r="B1157">
        <f>'Lista de productos'!B1167</f>
        <v>0</v>
      </c>
      <c r="D1157">
        <v>1153</v>
      </c>
    </row>
    <row r="1158" spans="1:4" x14ac:dyDescent="0.35">
      <c r="A1158" t="e">
        <f>'Lista de productos'!#REF!</f>
        <v>#REF!</v>
      </c>
      <c r="B1158">
        <f>'Lista de productos'!B1168</f>
        <v>0</v>
      </c>
      <c r="D1158">
        <v>1154</v>
      </c>
    </row>
    <row r="1159" spans="1:4" x14ac:dyDescent="0.35">
      <c r="A1159" t="e">
        <f>'Lista de productos'!#REF!</f>
        <v>#REF!</v>
      </c>
      <c r="B1159">
        <f>'Lista de productos'!B1169</f>
        <v>0</v>
      </c>
      <c r="D1159">
        <v>1155</v>
      </c>
    </row>
    <row r="1160" spans="1:4" x14ac:dyDescent="0.35">
      <c r="A1160" t="e">
        <f>'Lista de productos'!#REF!</f>
        <v>#REF!</v>
      </c>
      <c r="B1160">
        <f>'Lista de productos'!B1170</f>
        <v>0</v>
      </c>
      <c r="D1160">
        <v>1156</v>
      </c>
    </row>
    <row r="1161" spans="1:4" x14ac:dyDescent="0.35">
      <c r="A1161" t="e">
        <f>'Lista de productos'!#REF!</f>
        <v>#REF!</v>
      </c>
      <c r="B1161">
        <f>'Lista de productos'!B1171</f>
        <v>0</v>
      </c>
      <c r="D1161">
        <v>1157</v>
      </c>
    </row>
    <row r="1162" spans="1:4" x14ac:dyDescent="0.35">
      <c r="A1162" t="e">
        <f>'Lista de productos'!#REF!</f>
        <v>#REF!</v>
      </c>
      <c r="B1162">
        <f>'Lista de productos'!B1172</f>
        <v>0</v>
      </c>
      <c r="D1162">
        <v>1158</v>
      </c>
    </row>
    <row r="1163" spans="1:4" x14ac:dyDescent="0.35">
      <c r="A1163" t="e">
        <f>'Lista de productos'!#REF!</f>
        <v>#REF!</v>
      </c>
      <c r="B1163">
        <f>'Lista de productos'!B1173</f>
        <v>0</v>
      </c>
      <c r="D1163">
        <v>1159</v>
      </c>
    </row>
    <row r="1164" spans="1:4" x14ac:dyDescent="0.35">
      <c r="A1164" t="e">
        <f>'Lista de productos'!#REF!</f>
        <v>#REF!</v>
      </c>
      <c r="B1164">
        <f>'Lista de productos'!B1174</f>
        <v>0</v>
      </c>
      <c r="D1164">
        <v>1160</v>
      </c>
    </row>
    <row r="1165" spans="1:4" x14ac:dyDescent="0.35">
      <c r="A1165" t="e">
        <f>'Lista de productos'!#REF!</f>
        <v>#REF!</v>
      </c>
      <c r="B1165">
        <f>'Lista de productos'!B1175</f>
        <v>0</v>
      </c>
      <c r="D1165">
        <v>1161</v>
      </c>
    </row>
    <row r="1166" spans="1:4" x14ac:dyDescent="0.35">
      <c r="A1166" t="e">
        <f>'Lista de productos'!#REF!</f>
        <v>#REF!</v>
      </c>
      <c r="B1166">
        <f>'Lista de productos'!B1176</f>
        <v>0</v>
      </c>
      <c r="D1166">
        <v>1162</v>
      </c>
    </row>
    <row r="1167" spans="1:4" x14ac:dyDescent="0.35">
      <c r="A1167" t="e">
        <f>'Lista de productos'!#REF!</f>
        <v>#REF!</v>
      </c>
      <c r="B1167">
        <f>'Lista de productos'!B1177</f>
        <v>0</v>
      </c>
      <c r="D1167">
        <v>1163</v>
      </c>
    </row>
    <row r="1168" spans="1:4" x14ac:dyDescent="0.35">
      <c r="A1168" t="e">
        <f>'Lista de productos'!#REF!</f>
        <v>#REF!</v>
      </c>
      <c r="B1168">
        <f>'Lista de productos'!B1178</f>
        <v>0</v>
      </c>
      <c r="D1168">
        <v>1164</v>
      </c>
    </row>
    <row r="1169" spans="1:4" x14ac:dyDescent="0.35">
      <c r="A1169" t="e">
        <f>'Lista de productos'!#REF!</f>
        <v>#REF!</v>
      </c>
      <c r="B1169">
        <f>'Lista de productos'!B1179</f>
        <v>0</v>
      </c>
      <c r="D1169">
        <v>1165</v>
      </c>
    </row>
    <row r="1170" spans="1:4" x14ac:dyDescent="0.35">
      <c r="A1170" t="e">
        <f>'Lista de productos'!#REF!</f>
        <v>#REF!</v>
      </c>
      <c r="B1170">
        <f>'Lista de productos'!B1180</f>
        <v>0</v>
      </c>
      <c r="D1170">
        <v>1166</v>
      </c>
    </row>
    <row r="1171" spans="1:4" x14ac:dyDescent="0.35">
      <c r="A1171" t="e">
        <f>'Lista de productos'!#REF!</f>
        <v>#REF!</v>
      </c>
      <c r="B1171">
        <f>'Lista de productos'!B1181</f>
        <v>0</v>
      </c>
      <c r="D1171">
        <v>1167</v>
      </c>
    </row>
    <row r="1172" spans="1:4" x14ac:dyDescent="0.35">
      <c r="A1172" t="e">
        <f>'Lista de productos'!#REF!</f>
        <v>#REF!</v>
      </c>
      <c r="B1172">
        <f>'Lista de productos'!B1182</f>
        <v>0</v>
      </c>
      <c r="D1172">
        <v>1168</v>
      </c>
    </row>
    <row r="1173" spans="1:4" x14ac:dyDescent="0.35">
      <c r="A1173" t="e">
        <f>'Lista de productos'!#REF!</f>
        <v>#REF!</v>
      </c>
      <c r="B1173">
        <f>'Lista de productos'!B1183</f>
        <v>0</v>
      </c>
      <c r="D1173">
        <v>1169</v>
      </c>
    </row>
    <row r="1174" spans="1:4" x14ac:dyDescent="0.35">
      <c r="A1174" t="e">
        <f>'Lista de productos'!#REF!</f>
        <v>#REF!</v>
      </c>
      <c r="B1174">
        <f>'Lista de productos'!B1184</f>
        <v>0</v>
      </c>
      <c r="D1174">
        <v>1170</v>
      </c>
    </row>
    <row r="1175" spans="1:4" x14ac:dyDescent="0.35">
      <c r="A1175" t="e">
        <f>'Lista de productos'!#REF!</f>
        <v>#REF!</v>
      </c>
      <c r="B1175">
        <f>'Lista de productos'!B1185</f>
        <v>0</v>
      </c>
      <c r="D1175">
        <v>1171</v>
      </c>
    </row>
    <row r="1176" spans="1:4" x14ac:dyDescent="0.35">
      <c r="A1176" t="e">
        <f>'Lista de productos'!#REF!</f>
        <v>#REF!</v>
      </c>
      <c r="B1176">
        <f>'Lista de productos'!B1186</f>
        <v>0</v>
      </c>
      <c r="D1176">
        <v>1172</v>
      </c>
    </row>
    <row r="1177" spans="1:4" x14ac:dyDescent="0.35">
      <c r="A1177" t="e">
        <f>'Lista de productos'!#REF!</f>
        <v>#REF!</v>
      </c>
      <c r="B1177">
        <f>'Lista de productos'!B1187</f>
        <v>0</v>
      </c>
      <c r="D1177">
        <v>1173</v>
      </c>
    </row>
    <row r="1178" spans="1:4" x14ac:dyDescent="0.35">
      <c r="A1178" t="e">
        <f>'Lista de productos'!#REF!</f>
        <v>#REF!</v>
      </c>
      <c r="B1178">
        <f>'Lista de productos'!B1188</f>
        <v>0</v>
      </c>
      <c r="D1178">
        <v>1174</v>
      </c>
    </row>
    <row r="1179" spans="1:4" x14ac:dyDescent="0.35">
      <c r="A1179" t="e">
        <f>'Lista de productos'!#REF!</f>
        <v>#REF!</v>
      </c>
      <c r="B1179">
        <f>'Lista de productos'!B1189</f>
        <v>0</v>
      </c>
      <c r="D1179">
        <v>1175</v>
      </c>
    </row>
    <row r="1180" spans="1:4" x14ac:dyDescent="0.35">
      <c r="A1180" t="e">
        <f>'Lista de productos'!#REF!</f>
        <v>#REF!</v>
      </c>
      <c r="B1180">
        <f>'Lista de productos'!B1190</f>
        <v>0</v>
      </c>
      <c r="D1180">
        <v>1176</v>
      </c>
    </row>
    <row r="1181" spans="1:4" x14ac:dyDescent="0.35">
      <c r="A1181" t="e">
        <f>'Lista de productos'!#REF!</f>
        <v>#REF!</v>
      </c>
      <c r="B1181">
        <f>'Lista de productos'!B1191</f>
        <v>0</v>
      </c>
      <c r="D1181">
        <v>1177</v>
      </c>
    </row>
    <row r="1182" spans="1:4" x14ac:dyDescent="0.35">
      <c r="A1182" t="e">
        <f>'Lista de productos'!#REF!</f>
        <v>#REF!</v>
      </c>
      <c r="B1182">
        <f>'Lista de productos'!B1192</f>
        <v>0</v>
      </c>
      <c r="D1182">
        <v>1178</v>
      </c>
    </row>
    <row r="1183" spans="1:4" x14ac:dyDescent="0.35">
      <c r="A1183" t="e">
        <f>'Lista de productos'!#REF!</f>
        <v>#REF!</v>
      </c>
      <c r="B1183">
        <f>'Lista de productos'!B1193</f>
        <v>0</v>
      </c>
      <c r="D1183">
        <v>1179</v>
      </c>
    </row>
    <row r="1184" spans="1:4" x14ac:dyDescent="0.35">
      <c r="A1184" t="e">
        <f>'Lista de productos'!#REF!</f>
        <v>#REF!</v>
      </c>
      <c r="B1184">
        <f>'Lista de productos'!B1194</f>
        <v>0</v>
      </c>
      <c r="D1184">
        <v>1180</v>
      </c>
    </row>
    <row r="1185" spans="1:4" x14ac:dyDescent="0.35">
      <c r="A1185" t="e">
        <f>'Lista de productos'!#REF!</f>
        <v>#REF!</v>
      </c>
      <c r="B1185">
        <f>'Lista de productos'!B1195</f>
        <v>0</v>
      </c>
      <c r="D1185">
        <v>1181</v>
      </c>
    </row>
    <row r="1186" spans="1:4" x14ac:dyDescent="0.35">
      <c r="A1186" t="e">
        <f>'Lista de productos'!#REF!</f>
        <v>#REF!</v>
      </c>
      <c r="B1186">
        <f>'Lista de productos'!B1196</f>
        <v>0</v>
      </c>
      <c r="D1186">
        <v>1182</v>
      </c>
    </row>
    <row r="1187" spans="1:4" x14ac:dyDescent="0.35">
      <c r="A1187" t="e">
        <f>'Lista de productos'!#REF!</f>
        <v>#REF!</v>
      </c>
      <c r="B1187">
        <f>'Lista de productos'!B1197</f>
        <v>0</v>
      </c>
      <c r="D1187">
        <v>1183</v>
      </c>
    </row>
    <row r="1188" spans="1:4" x14ac:dyDescent="0.35">
      <c r="A1188" t="e">
        <f>'Lista de productos'!#REF!</f>
        <v>#REF!</v>
      </c>
      <c r="B1188">
        <f>'Lista de productos'!B1198</f>
        <v>0</v>
      </c>
      <c r="D1188">
        <v>1184</v>
      </c>
    </row>
    <row r="1189" spans="1:4" x14ac:dyDescent="0.35">
      <c r="A1189" t="e">
        <f>'Lista de productos'!#REF!</f>
        <v>#REF!</v>
      </c>
      <c r="B1189">
        <f>'Lista de productos'!B1199</f>
        <v>0</v>
      </c>
      <c r="D1189">
        <v>1185</v>
      </c>
    </row>
    <row r="1190" spans="1:4" x14ac:dyDescent="0.35">
      <c r="A1190" t="e">
        <f>'Lista de productos'!#REF!</f>
        <v>#REF!</v>
      </c>
      <c r="B1190">
        <f>'Lista de productos'!B1200</f>
        <v>0</v>
      </c>
      <c r="D1190">
        <v>1186</v>
      </c>
    </row>
    <row r="1191" spans="1:4" x14ac:dyDescent="0.35">
      <c r="A1191" t="e">
        <f>'Lista de productos'!#REF!</f>
        <v>#REF!</v>
      </c>
      <c r="B1191">
        <f>'Lista de productos'!B1201</f>
        <v>0</v>
      </c>
      <c r="D1191">
        <v>1187</v>
      </c>
    </row>
    <row r="1192" spans="1:4" x14ac:dyDescent="0.35">
      <c r="A1192" t="e">
        <f>'Lista de productos'!#REF!</f>
        <v>#REF!</v>
      </c>
      <c r="B1192">
        <f>'Lista de productos'!B1202</f>
        <v>0</v>
      </c>
      <c r="D1192">
        <v>1188</v>
      </c>
    </row>
    <row r="1193" spans="1:4" x14ac:dyDescent="0.35">
      <c r="A1193" t="e">
        <f>'Lista de productos'!#REF!</f>
        <v>#REF!</v>
      </c>
      <c r="B1193">
        <f>'Lista de productos'!B1203</f>
        <v>0</v>
      </c>
      <c r="D1193">
        <v>1189</v>
      </c>
    </row>
    <row r="1194" spans="1:4" x14ac:dyDescent="0.35">
      <c r="A1194" t="e">
        <f>'Lista de productos'!#REF!</f>
        <v>#REF!</v>
      </c>
      <c r="B1194">
        <f>'Lista de productos'!B1204</f>
        <v>0</v>
      </c>
      <c r="D1194">
        <v>1190</v>
      </c>
    </row>
    <row r="1195" spans="1:4" x14ac:dyDescent="0.35">
      <c r="A1195" t="e">
        <f>'Lista de productos'!#REF!</f>
        <v>#REF!</v>
      </c>
      <c r="B1195">
        <f>'Lista de productos'!B1205</f>
        <v>0</v>
      </c>
      <c r="D1195">
        <v>1191</v>
      </c>
    </row>
    <row r="1196" spans="1:4" x14ac:dyDescent="0.35">
      <c r="A1196" t="e">
        <f>'Lista de productos'!#REF!</f>
        <v>#REF!</v>
      </c>
      <c r="B1196">
        <f>'Lista de productos'!B1206</f>
        <v>0</v>
      </c>
      <c r="D1196">
        <v>1192</v>
      </c>
    </row>
    <row r="1197" spans="1:4" x14ac:dyDescent="0.35">
      <c r="A1197" t="e">
        <f>'Lista de productos'!#REF!</f>
        <v>#REF!</v>
      </c>
      <c r="B1197">
        <f>'Lista de productos'!B1207</f>
        <v>0</v>
      </c>
      <c r="D1197">
        <v>1193</v>
      </c>
    </row>
    <row r="1198" spans="1:4" x14ac:dyDescent="0.35">
      <c r="A1198" t="e">
        <f>'Lista de productos'!#REF!</f>
        <v>#REF!</v>
      </c>
      <c r="B1198">
        <f>'Lista de productos'!B1208</f>
        <v>0</v>
      </c>
      <c r="D1198">
        <v>1194</v>
      </c>
    </row>
    <row r="1199" spans="1:4" x14ac:dyDescent="0.35">
      <c r="A1199" t="e">
        <f>'Lista de productos'!#REF!</f>
        <v>#REF!</v>
      </c>
      <c r="B1199">
        <f>'Lista de productos'!B1209</f>
        <v>0</v>
      </c>
      <c r="D1199">
        <v>1195</v>
      </c>
    </row>
    <row r="1200" spans="1:4" x14ac:dyDescent="0.35">
      <c r="A1200" t="e">
        <f>'Lista de productos'!#REF!</f>
        <v>#REF!</v>
      </c>
      <c r="B1200">
        <f>'Lista de productos'!B1210</f>
        <v>0</v>
      </c>
      <c r="D1200">
        <v>1196</v>
      </c>
    </row>
    <row r="1201" spans="1:4" x14ac:dyDescent="0.35">
      <c r="A1201" t="e">
        <f>'Lista de productos'!#REF!</f>
        <v>#REF!</v>
      </c>
      <c r="B1201">
        <f>'Lista de productos'!B1211</f>
        <v>0</v>
      </c>
      <c r="D1201">
        <v>1197</v>
      </c>
    </row>
    <row r="1202" spans="1:4" x14ac:dyDescent="0.35">
      <c r="A1202" t="e">
        <f>'Lista de productos'!#REF!</f>
        <v>#REF!</v>
      </c>
      <c r="B1202">
        <f>'Lista de productos'!B1212</f>
        <v>0</v>
      </c>
      <c r="D1202">
        <v>1198</v>
      </c>
    </row>
    <row r="1203" spans="1:4" x14ac:dyDescent="0.35">
      <c r="A1203" t="e">
        <f>'Lista de productos'!#REF!</f>
        <v>#REF!</v>
      </c>
      <c r="B1203">
        <f>'Lista de productos'!B1213</f>
        <v>0</v>
      </c>
      <c r="D1203">
        <v>1199</v>
      </c>
    </row>
    <row r="1204" spans="1:4" x14ac:dyDescent="0.35">
      <c r="A1204" t="e">
        <f>'Lista de productos'!#REF!</f>
        <v>#REF!</v>
      </c>
      <c r="B1204">
        <f>'Lista de productos'!B1214</f>
        <v>0</v>
      </c>
      <c r="D1204">
        <v>1200</v>
      </c>
    </row>
    <row r="1205" spans="1:4" x14ac:dyDescent="0.35">
      <c r="A1205" t="e">
        <f>'Lista de productos'!#REF!</f>
        <v>#REF!</v>
      </c>
      <c r="B1205">
        <f>'Lista de productos'!B1215</f>
        <v>0</v>
      </c>
      <c r="D1205">
        <v>1201</v>
      </c>
    </row>
    <row r="1206" spans="1:4" x14ac:dyDescent="0.35">
      <c r="A1206" t="e">
        <f>'Lista de productos'!#REF!</f>
        <v>#REF!</v>
      </c>
      <c r="B1206">
        <f>'Lista de productos'!B1216</f>
        <v>0</v>
      </c>
      <c r="D1206">
        <v>1202</v>
      </c>
    </row>
    <row r="1207" spans="1:4" x14ac:dyDescent="0.35">
      <c r="A1207" t="e">
        <f>'Lista de productos'!#REF!</f>
        <v>#REF!</v>
      </c>
      <c r="B1207">
        <f>'Lista de productos'!B1217</f>
        <v>0</v>
      </c>
      <c r="D1207">
        <v>1203</v>
      </c>
    </row>
    <row r="1208" spans="1:4" x14ac:dyDescent="0.35">
      <c r="A1208" t="e">
        <f>'Lista de productos'!#REF!</f>
        <v>#REF!</v>
      </c>
      <c r="B1208">
        <f>'Lista de productos'!B1218</f>
        <v>0</v>
      </c>
      <c r="D1208">
        <v>1204</v>
      </c>
    </row>
    <row r="1209" spans="1:4" x14ac:dyDescent="0.35">
      <c r="A1209" t="e">
        <f>'Lista de productos'!#REF!</f>
        <v>#REF!</v>
      </c>
      <c r="B1209">
        <f>'Lista de productos'!B1219</f>
        <v>0</v>
      </c>
      <c r="D1209">
        <v>1205</v>
      </c>
    </row>
    <row r="1210" spans="1:4" x14ac:dyDescent="0.35">
      <c r="A1210" t="e">
        <f>'Lista de productos'!#REF!</f>
        <v>#REF!</v>
      </c>
      <c r="B1210">
        <f>'Lista de productos'!B1220</f>
        <v>0</v>
      </c>
      <c r="D1210">
        <v>1206</v>
      </c>
    </row>
    <row r="1211" spans="1:4" x14ac:dyDescent="0.35">
      <c r="A1211" t="e">
        <f>'Lista de productos'!#REF!</f>
        <v>#REF!</v>
      </c>
      <c r="B1211">
        <f>'Lista de productos'!B1221</f>
        <v>0</v>
      </c>
      <c r="D1211">
        <v>1207</v>
      </c>
    </row>
    <row r="1212" spans="1:4" x14ac:dyDescent="0.35">
      <c r="A1212" t="e">
        <f>'Lista de productos'!#REF!</f>
        <v>#REF!</v>
      </c>
      <c r="B1212">
        <f>'Lista de productos'!B1222</f>
        <v>0</v>
      </c>
      <c r="D1212">
        <v>1208</v>
      </c>
    </row>
    <row r="1213" spans="1:4" x14ac:dyDescent="0.35">
      <c r="A1213" t="e">
        <f>'Lista de productos'!#REF!</f>
        <v>#REF!</v>
      </c>
      <c r="B1213">
        <f>'Lista de productos'!B1223</f>
        <v>0</v>
      </c>
      <c r="D1213">
        <v>1209</v>
      </c>
    </row>
    <row r="1214" spans="1:4" x14ac:dyDescent="0.35">
      <c r="A1214" t="e">
        <f>'Lista de productos'!#REF!</f>
        <v>#REF!</v>
      </c>
      <c r="B1214">
        <f>'Lista de productos'!B1224</f>
        <v>0</v>
      </c>
      <c r="D1214">
        <v>1210</v>
      </c>
    </row>
    <row r="1215" spans="1:4" x14ac:dyDescent="0.35">
      <c r="A1215" t="e">
        <f>'Lista de productos'!#REF!</f>
        <v>#REF!</v>
      </c>
      <c r="B1215">
        <f>'Lista de productos'!B1225</f>
        <v>0</v>
      </c>
      <c r="D1215">
        <v>1211</v>
      </c>
    </row>
    <row r="1216" spans="1:4" x14ac:dyDescent="0.35">
      <c r="A1216" t="e">
        <f>'Lista de productos'!#REF!</f>
        <v>#REF!</v>
      </c>
      <c r="B1216">
        <f>'Lista de productos'!B1226</f>
        <v>0</v>
      </c>
      <c r="D1216">
        <v>1212</v>
      </c>
    </row>
    <row r="1217" spans="1:4" x14ac:dyDescent="0.35">
      <c r="A1217" t="e">
        <f>'Lista de productos'!#REF!</f>
        <v>#REF!</v>
      </c>
      <c r="B1217">
        <f>'Lista de productos'!B1227</f>
        <v>0</v>
      </c>
      <c r="D1217">
        <v>1213</v>
      </c>
    </row>
    <row r="1218" spans="1:4" x14ac:dyDescent="0.35">
      <c r="A1218" t="e">
        <f>'Lista de productos'!#REF!</f>
        <v>#REF!</v>
      </c>
      <c r="B1218">
        <f>'Lista de productos'!B1228</f>
        <v>0</v>
      </c>
      <c r="D1218">
        <v>1214</v>
      </c>
    </row>
    <row r="1219" spans="1:4" x14ac:dyDescent="0.35">
      <c r="A1219" t="e">
        <f>'Lista de productos'!#REF!</f>
        <v>#REF!</v>
      </c>
      <c r="B1219">
        <f>'Lista de productos'!B1229</f>
        <v>0</v>
      </c>
      <c r="D1219">
        <v>1215</v>
      </c>
    </row>
    <row r="1220" spans="1:4" x14ac:dyDescent="0.35">
      <c r="A1220" t="e">
        <f>'Lista de productos'!#REF!</f>
        <v>#REF!</v>
      </c>
      <c r="B1220">
        <f>'Lista de productos'!B1230</f>
        <v>0</v>
      </c>
      <c r="D1220">
        <v>1216</v>
      </c>
    </row>
    <row r="1221" spans="1:4" x14ac:dyDescent="0.35">
      <c r="A1221" t="e">
        <f>'Lista de productos'!#REF!</f>
        <v>#REF!</v>
      </c>
      <c r="B1221">
        <f>'Lista de productos'!B1231</f>
        <v>0</v>
      </c>
      <c r="D1221">
        <v>1217</v>
      </c>
    </row>
    <row r="1222" spans="1:4" x14ac:dyDescent="0.35">
      <c r="A1222" t="e">
        <f>'Lista de productos'!#REF!</f>
        <v>#REF!</v>
      </c>
      <c r="B1222">
        <f>'Lista de productos'!B1232</f>
        <v>0</v>
      </c>
      <c r="D1222">
        <v>1218</v>
      </c>
    </row>
    <row r="1223" spans="1:4" x14ac:dyDescent="0.35">
      <c r="A1223" t="e">
        <f>'Lista de productos'!#REF!</f>
        <v>#REF!</v>
      </c>
      <c r="B1223">
        <f>'Lista de productos'!B1233</f>
        <v>0</v>
      </c>
      <c r="D1223">
        <v>1219</v>
      </c>
    </row>
    <row r="1224" spans="1:4" x14ac:dyDescent="0.35">
      <c r="A1224" t="e">
        <f>'Lista de productos'!#REF!</f>
        <v>#REF!</v>
      </c>
      <c r="B1224">
        <f>'Lista de productos'!B1234</f>
        <v>0</v>
      </c>
      <c r="D1224">
        <v>1220</v>
      </c>
    </row>
    <row r="1225" spans="1:4" x14ac:dyDescent="0.35">
      <c r="A1225" t="e">
        <f>'Lista de productos'!#REF!</f>
        <v>#REF!</v>
      </c>
      <c r="B1225">
        <f>'Lista de productos'!B1235</f>
        <v>0</v>
      </c>
      <c r="D1225">
        <v>1221</v>
      </c>
    </row>
    <row r="1226" spans="1:4" x14ac:dyDescent="0.35">
      <c r="A1226" t="e">
        <f>'Lista de productos'!#REF!</f>
        <v>#REF!</v>
      </c>
      <c r="B1226">
        <f>'Lista de productos'!B1236</f>
        <v>0</v>
      </c>
      <c r="D1226">
        <v>1222</v>
      </c>
    </row>
    <row r="1227" spans="1:4" x14ac:dyDescent="0.35">
      <c r="A1227" t="e">
        <f>'Lista de productos'!#REF!</f>
        <v>#REF!</v>
      </c>
      <c r="B1227">
        <f>'Lista de productos'!B1237</f>
        <v>0</v>
      </c>
      <c r="D1227">
        <v>1223</v>
      </c>
    </row>
    <row r="1228" spans="1:4" x14ac:dyDescent="0.35">
      <c r="A1228" t="e">
        <f>'Lista de productos'!#REF!</f>
        <v>#REF!</v>
      </c>
      <c r="B1228">
        <f>'Lista de productos'!B1238</f>
        <v>0</v>
      </c>
      <c r="D1228">
        <v>1224</v>
      </c>
    </row>
    <row r="1229" spans="1:4" x14ac:dyDescent="0.35">
      <c r="A1229" t="e">
        <f>'Lista de productos'!#REF!</f>
        <v>#REF!</v>
      </c>
      <c r="B1229">
        <f>'Lista de productos'!B1239</f>
        <v>0</v>
      </c>
      <c r="D1229">
        <v>1225</v>
      </c>
    </row>
    <row r="1230" spans="1:4" x14ac:dyDescent="0.35">
      <c r="A1230" t="e">
        <f>'Lista de productos'!#REF!</f>
        <v>#REF!</v>
      </c>
      <c r="B1230">
        <f>'Lista de productos'!B1240</f>
        <v>0</v>
      </c>
      <c r="D1230">
        <v>1226</v>
      </c>
    </row>
    <row r="1231" spans="1:4" x14ac:dyDescent="0.35">
      <c r="A1231" t="e">
        <f>'Lista de productos'!#REF!</f>
        <v>#REF!</v>
      </c>
      <c r="B1231">
        <f>'Lista de productos'!B1241</f>
        <v>0</v>
      </c>
      <c r="D1231">
        <v>1227</v>
      </c>
    </row>
    <row r="1232" spans="1:4" x14ac:dyDescent="0.35">
      <c r="A1232" t="e">
        <f>'Lista de productos'!#REF!</f>
        <v>#REF!</v>
      </c>
      <c r="B1232">
        <f>'Lista de productos'!B1242</f>
        <v>0</v>
      </c>
      <c r="D1232">
        <v>1228</v>
      </c>
    </row>
    <row r="1233" spans="1:4" x14ac:dyDescent="0.35">
      <c r="A1233" t="e">
        <f>'Lista de productos'!#REF!</f>
        <v>#REF!</v>
      </c>
      <c r="B1233">
        <f>'Lista de productos'!B1243</f>
        <v>0</v>
      </c>
      <c r="D1233">
        <v>1229</v>
      </c>
    </row>
    <row r="1234" spans="1:4" x14ac:dyDescent="0.35">
      <c r="A1234" t="e">
        <f>'Lista de productos'!#REF!</f>
        <v>#REF!</v>
      </c>
      <c r="B1234">
        <f>'Lista de productos'!B1244</f>
        <v>0</v>
      </c>
      <c r="D1234">
        <v>1230</v>
      </c>
    </row>
    <row r="1235" spans="1:4" x14ac:dyDescent="0.35">
      <c r="A1235" t="e">
        <f>'Lista de productos'!#REF!</f>
        <v>#REF!</v>
      </c>
      <c r="B1235">
        <f>'Lista de productos'!B1245</f>
        <v>0</v>
      </c>
      <c r="D1235">
        <v>1231</v>
      </c>
    </row>
    <row r="1236" spans="1:4" x14ac:dyDescent="0.35">
      <c r="A1236" t="e">
        <f>'Lista de productos'!#REF!</f>
        <v>#REF!</v>
      </c>
      <c r="B1236">
        <f>'Lista de productos'!B1246</f>
        <v>0</v>
      </c>
      <c r="D1236">
        <v>1232</v>
      </c>
    </row>
    <row r="1237" spans="1:4" x14ac:dyDescent="0.35">
      <c r="A1237" t="e">
        <f>'Lista de productos'!#REF!</f>
        <v>#REF!</v>
      </c>
      <c r="B1237">
        <f>'Lista de productos'!B1247</f>
        <v>0</v>
      </c>
    </row>
    <row r="1238" spans="1:4" x14ac:dyDescent="0.35">
      <c r="A1238" t="e">
        <f>'Lista de productos'!#REF!</f>
        <v>#REF!</v>
      </c>
      <c r="B1238">
        <f>'Lista de productos'!B1248</f>
        <v>0</v>
      </c>
    </row>
    <row r="1239" spans="1:4" x14ac:dyDescent="0.35">
      <c r="A1239" t="e">
        <f>'Lista de productos'!#REF!</f>
        <v>#REF!</v>
      </c>
      <c r="B1239">
        <f>'Lista de productos'!B1249</f>
        <v>0</v>
      </c>
    </row>
    <row r="1240" spans="1:4" x14ac:dyDescent="0.35">
      <c r="A1240" t="e">
        <f>'Lista de productos'!#REF!</f>
        <v>#REF!</v>
      </c>
      <c r="B1240">
        <f>'Lista de productos'!B1250</f>
        <v>0</v>
      </c>
    </row>
    <row r="1241" spans="1:4" x14ac:dyDescent="0.35">
      <c r="A1241" t="e">
        <f>'Lista de productos'!#REF!</f>
        <v>#REF!</v>
      </c>
      <c r="B1241">
        <f>'Lista de productos'!B1251</f>
        <v>0</v>
      </c>
    </row>
    <row r="1242" spans="1:4" x14ac:dyDescent="0.35">
      <c r="A1242" t="e">
        <f>'Lista de productos'!#REF!</f>
        <v>#REF!</v>
      </c>
      <c r="B1242">
        <f>'Lista de productos'!B1252</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41919-B8B2-4437-BF0E-ACDBF21D13E6}">
  <sheetPr codeName="Hoja10">
    <tabColor theme="0" tint="-4.9989318521683403E-2"/>
    <pageSetUpPr fitToPage="1"/>
  </sheetPr>
  <dimension ref="A3:N36"/>
  <sheetViews>
    <sheetView showGridLines="0" zoomScaleNormal="100" workbookViewId="0">
      <selection activeCell="T24" sqref="T24"/>
    </sheetView>
  </sheetViews>
  <sheetFormatPr baseColWidth="10" defaultRowHeight="13" x14ac:dyDescent="0.3"/>
  <cols>
    <col min="1" max="1" width="4.90625" style="42" customWidth="1"/>
    <col min="2" max="2" width="16.26953125" style="42" customWidth="1"/>
    <col min="3" max="3" width="41.90625" style="42" customWidth="1"/>
    <col min="4" max="4" width="15.36328125" style="42" customWidth="1"/>
    <col min="5" max="5" width="22.36328125" style="42" customWidth="1"/>
    <col min="6" max="6" width="16.453125" style="42" customWidth="1"/>
    <col min="7" max="7" width="11.81640625" style="42" bestFit="1" customWidth="1"/>
    <col min="8" max="9" width="10.90625" style="42"/>
    <col min="10" max="10" width="14.08984375" style="42" bestFit="1" customWidth="1"/>
    <col min="11" max="11" width="10.453125" style="42" bestFit="1" customWidth="1"/>
    <col min="12" max="12" width="15.54296875" style="42" bestFit="1" customWidth="1"/>
    <col min="13" max="13" width="29.7265625" style="42" bestFit="1" customWidth="1"/>
    <col min="14" max="14" width="3.08984375" style="42" customWidth="1"/>
    <col min="15" max="256" width="10.90625" style="42"/>
    <col min="257" max="257" width="4.90625" style="42" customWidth="1"/>
    <col min="258" max="258" width="19.7265625" style="42" customWidth="1"/>
    <col min="259" max="259" width="20.08984375" style="42" bestFit="1" customWidth="1"/>
    <col min="260" max="260" width="21.54296875" style="42" bestFit="1" customWidth="1"/>
    <col min="261" max="261" width="12.6328125" style="42" customWidth="1"/>
    <col min="262" max="262" width="20" style="42" customWidth="1"/>
    <col min="263" max="263" width="14.26953125" style="42" customWidth="1"/>
    <col min="264" max="264" width="11.81640625" style="42" bestFit="1" customWidth="1"/>
    <col min="265" max="512" width="10.90625" style="42"/>
    <col min="513" max="513" width="4.90625" style="42" customWidth="1"/>
    <col min="514" max="514" width="19.7265625" style="42" customWidth="1"/>
    <col min="515" max="515" width="20.08984375" style="42" bestFit="1" customWidth="1"/>
    <col min="516" max="516" width="21.54296875" style="42" bestFit="1" customWidth="1"/>
    <col min="517" max="517" width="12.6328125" style="42" customWidth="1"/>
    <col min="518" max="518" width="20" style="42" customWidth="1"/>
    <col min="519" max="519" width="14.26953125" style="42" customWidth="1"/>
    <col min="520" max="520" width="11.81640625" style="42" bestFit="1" customWidth="1"/>
    <col min="521" max="768" width="10.90625" style="42"/>
    <col min="769" max="769" width="4.90625" style="42" customWidth="1"/>
    <col min="770" max="770" width="19.7265625" style="42" customWidth="1"/>
    <col min="771" max="771" width="20.08984375" style="42" bestFit="1" customWidth="1"/>
    <col min="772" max="772" width="21.54296875" style="42" bestFit="1" customWidth="1"/>
    <col min="773" max="773" width="12.6328125" style="42" customWidth="1"/>
    <col min="774" max="774" width="20" style="42" customWidth="1"/>
    <col min="775" max="775" width="14.26953125" style="42" customWidth="1"/>
    <col min="776" max="776" width="11.81640625" style="42" bestFit="1" customWidth="1"/>
    <col min="777" max="1024" width="10.90625" style="42"/>
    <col min="1025" max="1025" width="4.90625" style="42" customWidth="1"/>
    <col min="1026" max="1026" width="19.7265625" style="42" customWidth="1"/>
    <col min="1027" max="1027" width="20.08984375" style="42" bestFit="1" customWidth="1"/>
    <col min="1028" max="1028" width="21.54296875" style="42" bestFit="1" customWidth="1"/>
    <col min="1029" max="1029" width="12.6328125" style="42" customWidth="1"/>
    <col min="1030" max="1030" width="20" style="42" customWidth="1"/>
    <col min="1031" max="1031" width="14.26953125" style="42" customWidth="1"/>
    <col min="1032" max="1032" width="11.81640625" style="42" bestFit="1" customWidth="1"/>
    <col min="1033" max="1280" width="10.90625" style="42"/>
    <col min="1281" max="1281" width="4.90625" style="42" customWidth="1"/>
    <col min="1282" max="1282" width="19.7265625" style="42" customWidth="1"/>
    <col min="1283" max="1283" width="20.08984375" style="42" bestFit="1" customWidth="1"/>
    <col min="1284" max="1284" width="21.54296875" style="42" bestFit="1" customWidth="1"/>
    <col min="1285" max="1285" width="12.6328125" style="42" customWidth="1"/>
    <col min="1286" max="1286" width="20" style="42" customWidth="1"/>
    <col min="1287" max="1287" width="14.26953125" style="42" customWidth="1"/>
    <col min="1288" max="1288" width="11.81640625" style="42" bestFit="1" customWidth="1"/>
    <col min="1289" max="1536" width="10.90625" style="42"/>
    <col min="1537" max="1537" width="4.90625" style="42" customWidth="1"/>
    <col min="1538" max="1538" width="19.7265625" style="42" customWidth="1"/>
    <col min="1539" max="1539" width="20.08984375" style="42" bestFit="1" customWidth="1"/>
    <col min="1540" max="1540" width="21.54296875" style="42" bestFit="1" customWidth="1"/>
    <col min="1541" max="1541" width="12.6328125" style="42" customWidth="1"/>
    <col min="1542" max="1542" width="20" style="42" customWidth="1"/>
    <col min="1543" max="1543" width="14.26953125" style="42" customWidth="1"/>
    <col min="1544" max="1544" width="11.81640625" style="42" bestFit="1" customWidth="1"/>
    <col min="1545" max="1792" width="10.90625" style="42"/>
    <col min="1793" max="1793" width="4.90625" style="42" customWidth="1"/>
    <col min="1794" max="1794" width="19.7265625" style="42" customWidth="1"/>
    <col min="1795" max="1795" width="20.08984375" style="42" bestFit="1" customWidth="1"/>
    <col min="1796" max="1796" width="21.54296875" style="42" bestFit="1" customWidth="1"/>
    <col min="1797" max="1797" width="12.6328125" style="42" customWidth="1"/>
    <col min="1798" max="1798" width="20" style="42" customWidth="1"/>
    <col min="1799" max="1799" width="14.26953125" style="42" customWidth="1"/>
    <col min="1800" max="1800" width="11.81640625" style="42" bestFit="1" customWidth="1"/>
    <col min="1801" max="2048" width="10.90625" style="42"/>
    <col min="2049" max="2049" width="4.90625" style="42" customWidth="1"/>
    <col min="2050" max="2050" width="19.7265625" style="42" customWidth="1"/>
    <col min="2051" max="2051" width="20.08984375" style="42" bestFit="1" customWidth="1"/>
    <col min="2052" max="2052" width="21.54296875" style="42" bestFit="1" customWidth="1"/>
    <col min="2053" max="2053" width="12.6328125" style="42" customWidth="1"/>
    <col min="2054" max="2054" width="20" style="42" customWidth="1"/>
    <col min="2055" max="2055" width="14.26953125" style="42" customWidth="1"/>
    <col min="2056" max="2056" width="11.81640625" style="42" bestFit="1" customWidth="1"/>
    <col min="2057" max="2304" width="10.90625" style="42"/>
    <col min="2305" max="2305" width="4.90625" style="42" customWidth="1"/>
    <col min="2306" max="2306" width="19.7265625" style="42" customWidth="1"/>
    <col min="2307" max="2307" width="20.08984375" style="42" bestFit="1" customWidth="1"/>
    <col min="2308" max="2308" width="21.54296875" style="42" bestFit="1" customWidth="1"/>
    <col min="2309" max="2309" width="12.6328125" style="42" customWidth="1"/>
    <col min="2310" max="2310" width="20" style="42" customWidth="1"/>
    <col min="2311" max="2311" width="14.26953125" style="42" customWidth="1"/>
    <col min="2312" max="2312" width="11.81640625" style="42" bestFit="1" customWidth="1"/>
    <col min="2313" max="2560" width="10.90625" style="42"/>
    <col min="2561" max="2561" width="4.90625" style="42" customWidth="1"/>
    <col min="2562" max="2562" width="19.7265625" style="42" customWidth="1"/>
    <col min="2563" max="2563" width="20.08984375" style="42" bestFit="1" customWidth="1"/>
    <col min="2564" max="2564" width="21.54296875" style="42" bestFit="1" customWidth="1"/>
    <col min="2565" max="2565" width="12.6328125" style="42" customWidth="1"/>
    <col min="2566" max="2566" width="20" style="42" customWidth="1"/>
    <col min="2567" max="2567" width="14.26953125" style="42" customWidth="1"/>
    <col min="2568" max="2568" width="11.81640625" style="42" bestFit="1" customWidth="1"/>
    <col min="2569" max="2816" width="10.90625" style="42"/>
    <col min="2817" max="2817" width="4.90625" style="42" customWidth="1"/>
    <col min="2818" max="2818" width="19.7265625" style="42" customWidth="1"/>
    <col min="2819" max="2819" width="20.08984375" style="42" bestFit="1" customWidth="1"/>
    <col min="2820" max="2820" width="21.54296875" style="42" bestFit="1" customWidth="1"/>
    <col min="2821" max="2821" width="12.6328125" style="42" customWidth="1"/>
    <col min="2822" max="2822" width="20" style="42" customWidth="1"/>
    <col min="2823" max="2823" width="14.26953125" style="42" customWidth="1"/>
    <col min="2824" max="2824" width="11.81640625" style="42" bestFit="1" customWidth="1"/>
    <col min="2825" max="3072" width="10.90625" style="42"/>
    <col min="3073" max="3073" width="4.90625" style="42" customWidth="1"/>
    <col min="3074" max="3074" width="19.7265625" style="42" customWidth="1"/>
    <col min="3075" max="3075" width="20.08984375" style="42" bestFit="1" customWidth="1"/>
    <col min="3076" max="3076" width="21.54296875" style="42" bestFit="1" customWidth="1"/>
    <col min="3077" max="3077" width="12.6328125" style="42" customWidth="1"/>
    <col min="3078" max="3078" width="20" style="42" customWidth="1"/>
    <col min="3079" max="3079" width="14.26953125" style="42" customWidth="1"/>
    <col min="3080" max="3080" width="11.81640625" style="42" bestFit="1" customWidth="1"/>
    <col min="3081" max="3328" width="10.90625" style="42"/>
    <col min="3329" max="3329" width="4.90625" style="42" customWidth="1"/>
    <col min="3330" max="3330" width="19.7265625" style="42" customWidth="1"/>
    <col min="3331" max="3331" width="20.08984375" style="42" bestFit="1" customWidth="1"/>
    <col min="3332" max="3332" width="21.54296875" style="42" bestFit="1" customWidth="1"/>
    <col min="3333" max="3333" width="12.6328125" style="42" customWidth="1"/>
    <col min="3334" max="3334" width="20" style="42" customWidth="1"/>
    <col min="3335" max="3335" width="14.26953125" style="42" customWidth="1"/>
    <col min="3336" max="3336" width="11.81640625" style="42" bestFit="1" customWidth="1"/>
    <col min="3337" max="3584" width="10.90625" style="42"/>
    <col min="3585" max="3585" width="4.90625" style="42" customWidth="1"/>
    <col min="3586" max="3586" width="19.7265625" style="42" customWidth="1"/>
    <col min="3587" max="3587" width="20.08984375" style="42" bestFit="1" customWidth="1"/>
    <col min="3588" max="3588" width="21.54296875" style="42" bestFit="1" customWidth="1"/>
    <col min="3589" max="3589" width="12.6328125" style="42" customWidth="1"/>
    <col min="3590" max="3590" width="20" style="42" customWidth="1"/>
    <col min="3591" max="3591" width="14.26953125" style="42" customWidth="1"/>
    <col min="3592" max="3592" width="11.81640625" style="42" bestFit="1" customWidth="1"/>
    <col min="3593" max="3840" width="10.90625" style="42"/>
    <col min="3841" max="3841" width="4.90625" style="42" customWidth="1"/>
    <col min="3842" max="3842" width="19.7265625" style="42" customWidth="1"/>
    <col min="3843" max="3843" width="20.08984375" style="42" bestFit="1" customWidth="1"/>
    <col min="3844" max="3844" width="21.54296875" style="42" bestFit="1" customWidth="1"/>
    <col min="3845" max="3845" width="12.6328125" style="42" customWidth="1"/>
    <col min="3846" max="3846" width="20" style="42" customWidth="1"/>
    <col min="3847" max="3847" width="14.26953125" style="42" customWidth="1"/>
    <col min="3848" max="3848" width="11.81640625" style="42" bestFit="1" customWidth="1"/>
    <col min="3849" max="4096" width="10.90625" style="42"/>
    <col min="4097" max="4097" width="4.90625" style="42" customWidth="1"/>
    <col min="4098" max="4098" width="19.7265625" style="42" customWidth="1"/>
    <col min="4099" max="4099" width="20.08984375" style="42" bestFit="1" customWidth="1"/>
    <col min="4100" max="4100" width="21.54296875" style="42" bestFit="1" customWidth="1"/>
    <col min="4101" max="4101" width="12.6328125" style="42" customWidth="1"/>
    <col min="4102" max="4102" width="20" style="42" customWidth="1"/>
    <col min="4103" max="4103" width="14.26953125" style="42" customWidth="1"/>
    <col min="4104" max="4104" width="11.81640625" style="42" bestFit="1" customWidth="1"/>
    <col min="4105" max="4352" width="10.90625" style="42"/>
    <col min="4353" max="4353" width="4.90625" style="42" customWidth="1"/>
    <col min="4354" max="4354" width="19.7265625" style="42" customWidth="1"/>
    <col min="4355" max="4355" width="20.08984375" style="42" bestFit="1" customWidth="1"/>
    <col min="4356" max="4356" width="21.54296875" style="42" bestFit="1" customWidth="1"/>
    <col min="4357" max="4357" width="12.6328125" style="42" customWidth="1"/>
    <col min="4358" max="4358" width="20" style="42" customWidth="1"/>
    <col min="4359" max="4359" width="14.26953125" style="42" customWidth="1"/>
    <col min="4360" max="4360" width="11.81640625" style="42" bestFit="1" customWidth="1"/>
    <col min="4361" max="4608" width="10.90625" style="42"/>
    <col min="4609" max="4609" width="4.90625" style="42" customWidth="1"/>
    <col min="4610" max="4610" width="19.7265625" style="42" customWidth="1"/>
    <col min="4611" max="4611" width="20.08984375" style="42" bestFit="1" customWidth="1"/>
    <col min="4612" max="4612" width="21.54296875" style="42" bestFit="1" customWidth="1"/>
    <col min="4613" max="4613" width="12.6328125" style="42" customWidth="1"/>
    <col min="4614" max="4614" width="20" style="42" customWidth="1"/>
    <col min="4615" max="4615" width="14.26953125" style="42" customWidth="1"/>
    <col min="4616" max="4616" width="11.81640625" style="42" bestFit="1" customWidth="1"/>
    <col min="4617" max="4864" width="10.90625" style="42"/>
    <col min="4865" max="4865" width="4.90625" style="42" customWidth="1"/>
    <col min="4866" max="4866" width="19.7265625" style="42" customWidth="1"/>
    <col min="4867" max="4867" width="20.08984375" style="42" bestFit="1" customWidth="1"/>
    <col min="4868" max="4868" width="21.54296875" style="42" bestFit="1" customWidth="1"/>
    <col min="4869" max="4869" width="12.6328125" style="42" customWidth="1"/>
    <col min="4870" max="4870" width="20" style="42" customWidth="1"/>
    <col min="4871" max="4871" width="14.26953125" style="42" customWidth="1"/>
    <col min="4872" max="4872" width="11.81640625" style="42" bestFit="1" customWidth="1"/>
    <col min="4873" max="5120" width="10.90625" style="42"/>
    <col min="5121" max="5121" width="4.90625" style="42" customWidth="1"/>
    <col min="5122" max="5122" width="19.7265625" style="42" customWidth="1"/>
    <col min="5123" max="5123" width="20.08984375" style="42" bestFit="1" customWidth="1"/>
    <col min="5124" max="5124" width="21.54296875" style="42" bestFit="1" customWidth="1"/>
    <col min="5125" max="5125" width="12.6328125" style="42" customWidth="1"/>
    <col min="5126" max="5126" width="20" style="42" customWidth="1"/>
    <col min="5127" max="5127" width="14.26953125" style="42" customWidth="1"/>
    <col min="5128" max="5128" width="11.81640625" style="42" bestFit="1" customWidth="1"/>
    <col min="5129" max="5376" width="10.90625" style="42"/>
    <col min="5377" max="5377" width="4.90625" style="42" customWidth="1"/>
    <col min="5378" max="5378" width="19.7265625" style="42" customWidth="1"/>
    <col min="5379" max="5379" width="20.08984375" style="42" bestFit="1" customWidth="1"/>
    <col min="5380" max="5380" width="21.54296875" style="42" bestFit="1" customWidth="1"/>
    <col min="5381" max="5381" width="12.6328125" style="42" customWidth="1"/>
    <col min="5382" max="5382" width="20" style="42" customWidth="1"/>
    <col min="5383" max="5383" width="14.26953125" style="42" customWidth="1"/>
    <col min="5384" max="5384" width="11.81640625" style="42" bestFit="1" customWidth="1"/>
    <col min="5385" max="5632" width="10.90625" style="42"/>
    <col min="5633" max="5633" width="4.90625" style="42" customWidth="1"/>
    <col min="5634" max="5634" width="19.7265625" style="42" customWidth="1"/>
    <col min="5635" max="5635" width="20.08984375" style="42" bestFit="1" customWidth="1"/>
    <col min="5636" max="5636" width="21.54296875" style="42" bestFit="1" customWidth="1"/>
    <col min="5637" max="5637" width="12.6328125" style="42" customWidth="1"/>
    <col min="5638" max="5638" width="20" style="42" customWidth="1"/>
    <col min="5639" max="5639" width="14.26953125" style="42" customWidth="1"/>
    <col min="5640" max="5640" width="11.81640625" style="42" bestFit="1" customWidth="1"/>
    <col min="5641" max="5888" width="10.90625" style="42"/>
    <col min="5889" max="5889" width="4.90625" style="42" customWidth="1"/>
    <col min="5890" max="5890" width="19.7265625" style="42" customWidth="1"/>
    <col min="5891" max="5891" width="20.08984375" style="42" bestFit="1" customWidth="1"/>
    <col min="5892" max="5892" width="21.54296875" style="42" bestFit="1" customWidth="1"/>
    <col min="5893" max="5893" width="12.6328125" style="42" customWidth="1"/>
    <col min="5894" max="5894" width="20" style="42" customWidth="1"/>
    <col min="5895" max="5895" width="14.26953125" style="42" customWidth="1"/>
    <col min="5896" max="5896" width="11.81640625" style="42" bestFit="1" customWidth="1"/>
    <col min="5897" max="6144" width="10.90625" style="42"/>
    <col min="6145" max="6145" width="4.90625" style="42" customWidth="1"/>
    <col min="6146" max="6146" width="19.7265625" style="42" customWidth="1"/>
    <col min="6147" max="6147" width="20.08984375" style="42" bestFit="1" customWidth="1"/>
    <col min="6148" max="6148" width="21.54296875" style="42" bestFit="1" customWidth="1"/>
    <col min="6149" max="6149" width="12.6328125" style="42" customWidth="1"/>
    <col min="6150" max="6150" width="20" style="42" customWidth="1"/>
    <col min="6151" max="6151" width="14.26953125" style="42" customWidth="1"/>
    <col min="6152" max="6152" width="11.81640625" style="42" bestFit="1" customWidth="1"/>
    <col min="6153" max="6400" width="10.90625" style="42"/>
    <col min="6401" max="6401" width="4.90625" style="42" customWidth="1"/>
    <col min="6402" max="6402" width="19.7265625" style="42" customWidth="1"/>
    <col min="6403" max="6403" width="20.08984375" style="42" bestFit="1" customWidth="1"/>
    <col min="6404" max="6404" width="21.54296875" style="42" bestFit="1" customWidth="1"/>
    <col min="6405" max="6405" width="12.6328125" style="42" customWidth="1"/>
    <col min="6406" max="6406" width="20" style="42" customWidth="1"/>
    <col min="6407" max="6407" width="14.26953125" style="42" customWidth="1"/>
    <col min="6408" max="6408" width="11.81640625" style="42" bestFit="1" customWidth="1"/>
    <col min="6409" max="6656" width="10.90625" style="42"/>
    <col min="6657" max="6657" width="4.90625" style="42" customWidth="1"/>
    <col min="6658" max="6658" width="19.7265625" style="42" customWidth="1"/>
    <col min="6659" max="6659" width="20.08984375" style="42" bestFit="1" customWidth="1"/>
    <col min="6660" max="6660" width="21.54296875" style="42" bestFit="1" customWidth="1"/>
    <col min="6661" max="6661" width="12.6328125" style="42" customWidth="1"/>
    <col min="6662" max="6662" width="20" style="42" customWidth="1"/>
    <col min="6663" max="6663" width="14.26953125" style="42" customWidth="1"/>
    <col min="6664" max="6664" width="11.81640625" style="42" bestFit="1" customWidth="1"/>
    <col min="6665" max="6912" width="10.90625" style="42"/>
    <col min="6913" max="6913" width="4.90625" style="42" customWidth="1"/>
    <col min="6914" max="6914" width="19.7265625" style="42" customWidth="1"/>
    <col min="6915" max="6915" width="20.08984375" style="42" bestFit="1" customWidth="1"/>
    <col min="6916" max="6916" width="21.54296875" style="42" bestFit="1" customWidth="1"/>
    <col min="6917" max="6917" width="12.6328125" style="42" customWidth="1"/>
    <col min="6918" max="6918" width="20" style="42" customWidth="1"/>
    <col min="6919" max="6919" width="14.26953125" style="42" customWidth="1"/>
    <col min="6920" max="6920" width="11.81640625" style="42" bestFit="1" customWidth="1"/>
    <col min="6921" max="7168" width="10.90625" style="42"/>
    <col min="7169" max="7169" width="4.90625" style="42" customWidth="1"/>
    <col min="7170" max="7170" width="19.7265625" style="42" customWidth="1"/>
    <col min="7171" max="7171" width="20.08984375" style="42" bestFit="1" customWidth="1"/>
    <col min="7172" max="7172" width="21.54296875" style="42" bestFit="1" customWidth="1"/>
    <col min="7173" max="7173" width="12.6328125" style="42" customWidth="1"/>
    <col min="7174" max="7174" width="20" style="42" customWidth="1"/>
    <col min="7175" max="7175" width="14.26953125" style="42" customWidth="1"/>
    <col min="7176" max="7176" width="11.81640625" style="42" bestFit="1" customWidth="1"/>
    <col min="7177" max="7424" width="10.90625" style="42"/>
    <col min="7425" max="7425" width="4.90625" style="42" customWidth="1"/>
    <col min="7426" max="7426" width="19.7265625" style="42" customWidth="1"/>
    <col min="7427" max="7427" width="20.08984375" style="42" bestFit="1" customWidth="1"/>
    <col min="7428" max="7428" width="21.54296875" style="42" bestFit="1" customWidth="1"/>
    <col min="7429" max="7429" width="12.6328125" style="42" customWidth="1"/>
    <col min="7430" max="7430" width="20" style="42" customWidth="1"/>
    <col min="7431" max="7431" width="14.26953125" style="42" customWidth="1"/>
    <col min="7432" max="7432" width="11.81640625" style="42" bestFit="1" customWidth="1"/>
    <col min="7433" max="7680" width="10.90625" style="42"/>
    <col min="7681" max="7681" width="4.90625" style="42" customWidth="1"/>
    <col min="7682" max="7682" width="19.7265625" style="42" customWidth="1"/>
    <col min="7683" max="7683" width="20.08984375" style="42" bestFit="1" customWidth="1"/>
    <col min="7684" max="7684" width="21.54296875" style="42" bestFit="1" customWidth="1"/>
    <col min="7685" max="7685" width="12.6328125" style="42" customWidth="1"/>
    <col min="7686" max="7686" width="20" style="42" customWidth="1"/>
    <col min="7687" max="7687" width="14.26953125" style="42" customWidth="1"/>
    <col min="7688" max="7688" width="11.81640625" style="42" bestFit="1" customWidth="1"/>
    <col min="7689" max="7936" width="10.90625" style="42"/>
    <col min="7937" max="7937" width="4.90625" style="42" customWidth="1"/>
    <col min="7938" max="7938" width="19.7265625" style="42" customWidth="1"/>
    <col min="7939" max="7939" width="20.08984375" style="42" bestFit="1" customWidth="1"/>
    <col min="7940" max="7940" width="21.54296875" style="42" bestFit="1" customWidth="1"/>
    <col min="7941" max="7941" width="12.6328125" style="42" customWidth="1"/>
    <col min="7942" max="7942" width="20" style="42" customWidth="1"/>
    <col min="7943" max="7943" width="14.26953125" style="42" customWidth="1"/>
    <col min="7944" max="7944" width="11.81640625" style="42" bestFit="1" customWidth="1"/>
    <col min="7945" max="8192" width="10.90625" style="42"/>
    <col min="8193" max="8193" width="4.90625" style="42" customWidth="1"/>
    <col min="8194" max="8194" width="19.7265625" style="42" customWidth="1"/>
    <col min="8195" max="8195" width="20.08984375" style="42" bestFit="1" customWidth="1"/>
    <col min="8196" max="8196" width="21.54296875" style="42" bestFit="1" customWidth="1"/>
    <col min="8197" max="8197" width="12.6328125" style="42" customWidth="1"/>
    <col min="8198" max="8198" width="20" style="42" customWidth="1"/>
    <col min="8199" max="8199" width="14.26953125" style="42" customWidth="1"/>
    <col min="8200" max="8200" width="11.81640625" style="42" bestFit="1" customWidth="1"/>
    <col min="8201" max="8448" width="10.90625" style="42"/>
    <col min="8449" max="8449" width="4.90625" style="42" customWidth="1"/>
    <col min="8450" max="8450" width="19.7265625" style="42" customWidth="1"/>
    <col min="8451" max="8451" width="20.08984375" style="42" bestFit="1" customWidth="1"/>
    <col min="8452" max="8452" width="21.54296875" style="42" bestFit="1" customWidth="1"/>
    <col min="8453" max="8453" width="12.6328125" style="42" customWidth="1"/>
    <col min="8454" max="8454" width="20" style="42" customWidth="1"/>
    <col min="8455" max="8455" width="14.26953125" style="42" customWidth="1"/>
    <col min="8456" max="8456" width="11.81640625" style="42" bestFit="1" customWidth="1"/>
    <col min="8457" max="8704" width="10.90625" style="42"/>
    <col min="8705" max="8705" width="4.90625" style="42" customWidth="1"/>
    <col min="8706" max="8706" width="19.7265625" style="42" customWidth="1"/>
    <col min="8707" max="8707" width="20.08984375" style="42" bestFit="1" customWidth="1"/>
    <col min="8708" max="8708" width="21.54296875" style="42" bestFit="1" customWidth="1"/>
    <col min="8709" max="8709" width="12.6328125" style="42" customWidth="1"/>
    <col min="8710" max="8710" width="20" style="42" customWidth="1"/>
    <col min="8711" max="8711" width="14.26953125" style="42" customWidth="1"/>
    <col min="8712" max="8712" width="11.81640625" style="42" bestFit="1" customWidth="1"/>
    <col min="8713" max="8960" width="10.90625" style="42"/>
    <col min="8961" max="8961" width="4.90625" style="42" customWidth="1"/>
    <col min="8962" max="8962" width="19.7265625" style="42" customWidth="1"/>
    <col min="8963" max="8963" width="20.08984375" style="42" bestFit="1" customWidth="1"/>
    <col min="8964" max="8964" width="21.54296875" style="42" bestFit="1" customWidth="1"/>
    <col min="8965" max="8965" width="12.6328125" style="42" customWidth="1"/>
    <col min="8966" max="8966" width="20" style="42" customWidth="1"/>
    <col min="8967" max="8967" width="14.26953125" style="42" customWidth="1"/>
    <col min="8968" max="8968" width="11.81640625" style="42" bestFit="1" customWidth="1"/>
    <col min="8969" max="9216" width="10.90625" style="42"/>
    <col min="9217" max="9217" width="4.90625" style="42" customWidth="1"/>
    <col min="9218" max="9218" width="19.7265625" style="42" customWidth="1"/>
    <col min="9219" max="9219" width="20.08984375" style="42" bestFit="1" customWidth="1"/>
    <col min="9220" max="9220" width="21.54296875" style="42" bestFit="1" customWidth="1"/>
    <col min="9221" max="9221" width="12.6328125" style="42" customWidth="1"/>
    <col min="9222" max="9222" width="20" style="42" customWidth="1"/>
    <col min="9223" max="9223" width="14.26953125" style="42" customWidth="1"/>
    <col min="9224" max="9224" width="11.81640625" style="42" bestFit="1" customWidth="1"/>
    <col min="9225" max="9472" width="10.90625" style="42"/>
    <col min="9473" max="9473" width="4.90625" style="42" customWidth="1"/>
    <col min="9474" max="9474" width="19.7265625" style="42" customWidth="1"/>
    <col min="9475" max="9475" width="20.08984375" style="42" bestFit="1" customWidth="1"/>
    <col min="9476" max="9476" width="21.54296875" style="42" bestFit="1" customWidth="1"/>
    <col min="9477" max="9477" width="12.6328125" style="42" customWidth="1"/>
    <col min="9478" max="9478" width="20" style="42" customWidth="1"/>
    <col min="9479" max="9479" width="14.26953125" style="42" customWidth="1"/>
    <col min="9480" max="9480" width="11.81640625" style="42" bestFit="1" customWidth="1"/>
    <col min="9481" max="9728" width="10.90625" style="42"/>
    <col min="9729" max="9729" width="4.90625" style="42" customWidth="1"/>
    <col min="9730" max="9730" width="19.7265625" style="42" customWidth="1"/>
    <col min="9731" max="9731" width="20.08984375" style="42" bestFit="1" customWidth="1"/>
    <col min="9732" max="9732" width="21.54296875" style="42" bestFit="1" customWidth="1"/>
    <col min="9733" max="9733" width="12.6328125" style="42" customWidth="1"/>
    <col min="9734" max="9734" width="20" style="42" customWidth="1"/>
    <col min="9735" max="9735" width="14.26953125" style="42" customWidth="1"/>
    <col min="9736" max="9736" width="11.81640625" style="42" bestFit="1" customWidth="1"/>
    <col min="9737" max="9984" width="10.90625" style="42"/>
    <col min="9985" max="9985" width="4.90625" style="42" customWidth="1"/>
    <col min="9986" max="9986" width="19.7265625" style="42" customWidth="1"/>
    <col min="9987" max="9987" width="20.08984375" style="42" bestFit="1" customWidth="1"/>
    <col min="9988" max="9988" width="21.54296875" style="42" bestFit="1" customWidth="1"/>
    <col min="9989" max="9989" width="12.6328125" style="42" customWidth="1"/>
    <col min="9990" max="9990" width="20" style="42" customWidth="1"/>
    <col min="9991" max="9991" width="14.26953125" style="42" customWidth="1"/>
    <col min="9992" max="9992" width="11.81640625" style="42" bestFit="1" customWidth="1"/>
    <col min="9993" max="10240" width="10.90625" style="42"/>
    <col min="10241" max="10241" width="4.90625" style="42" customWidth="1"/>
    <col min="10242" max="10242" width="19.7265625" style="42" customWidth="1"/>
    <col min="10243" max="10243" width="20.08984375" style="42" bestFit="1" customWidth="1"/>
    <col min="10244" max="10244" width="21.54296875" style="42" bestFit="1" customWidth="1"/>
    <col min="10245" max="10245" width="12.6328125" style="42" customWidth="1"/>
    <col min="10246" max="10246" width="20" style="42" customWidth="1"/>
    <col min="10247" max="10247" width="14.26953125" style="42" customWidth="1"/>
    <col min="10248" max="10248" width="11.81640625" style="42" bestFit="1" customWidth="1"/>
    <col min="10249" max="10496" width="10.90625" style="42"/>
    <col min="10497" max="10497" width="4.90625" style="42" customWidth="1"/>
    <col min="10498" max="10498" width="19.7265625" style="42" customWidth="1"/>
    <col min="10499" max="10499" width="20.08984375" style="42" bestFit="1" customWidth="1"/>
    <col min="10500" max="10500" width="21.54296875" style="42" bestFit="1" customWidth="1"/>
    <col min="10501" max="10501" width="12.6328125" style="42" customWidth="1"/>
    <col min="10502" max="10502" width="20" style="42" customWidth="1"/>
    <col min="10503" max="10503" width="14.26953125" style="42" customWidth="1"/>
    <col min="10504" max="10504" width="11.81640625" style="42" bestFit="1" customWidth="1"/>
    <col min="10505" max="10752" width="10.90625" style="42"/>
    <col min="10753" max="10753" width="4.90625" style="42" customWidth="1"/>
    <col min="10754" max="10754" width="19.7265625" style="42" customWidth="1"/>
    <col min="10755" max="10755" width="20.08984375" style="42" bestFit="1" customWidth="1"/>
    <col min="10756" max="10756" width="21.54296875" style="42" bestFit="1" customWidth="1"/>
    <col min="10757" max="10757" width="12.6328125" style="42" customWidth="1"/>
    <col min="10758" max="10758" width="20" style="42" customWidth="1"/>
    <col min="10759" max="10759" width="14.26953125" style="42" customWidth="1"/>
    <col min="10760" max="10760" width="11.81640625" style="42" bestFit="1" customWidth="1"/>
    <col min="10761" max="11008" width="10.90625" style="42"/>
    <col min="11009" max="11009" width="4.90625" style="42" customWidth="1"/>
    <col min="11010" max="11010" width="19.7265625" style="42" customWidth="1"/>
    <col min="11011" max="11011" width="20.08984375" style="42" bestFit="1" customWidth="1"/>
    <col min="11012" max="11012" width="21.54296875" style="42" bestFit="1" customWidth="1"/>
    <col min="11013" max="11013" width="12.6328125" style="42" customWidth="1"/>
    <col min="11014" max="11014" width="20" style="42" customWidth="1"/>
    <col min="11015" max="11015" width="14.26953125" style="42" customWidth="1"/>
    <col min="11016" max="11016" width="11.81640625" style="42" bestFit="1" customWidth="1"/>
    <col min="11017" max="11264" width="10.90625" style="42"/>
    <col min="11265" max="11265" width="4.90625" style="42" customWidth="1"/>
    <col min="11266" max="11266" width="19.7265625" style="42" customWidth="1"/>
    <col min="11267" max="11267" width="20.08984375" style="42" bestFit="1" customWidth="1"/>
    <col min="11268" max="11268" width="21.54296875" style="42" bestFit="1" customWidth="1"/>
    <col min="11269" max="11269" width="12.6328125" style="42" customWidth="1"/>
    <col min="11270" max="11270" width="20" style="42" customWidth="1"/>
    <col min="11271" max="11271" width="14.26953125" style="42" customWidth="1"/>
    <col min="11272" max="11272" width="11.81640625" style="42" bestFit="1" customWidth="1"/>
    <col min="11273" max="11520" width="10.90625" style="42"/>
    <col min="11521" max="11521" width="4.90625" style="42" customWidth="1"/>
    <col min="11522" max="11522" width="19.7265625" style="42" customWidth="1"/>
    <col min="11523" max="11523" width="20.08984375" style="42" bestFit="1" customWidth="1"/>
    <col min="11524" max="11524" width="21.54296875" style="42" bestFit="1" customWidth="1"/>
    <col min="11525" max="11525" width="12.6328125" style="42" customWidth="1"/>
    <col min="11526" max="11526" width="20" style="42" customWidth="1"/>
    <col min="11527" max="11527" width="14.26953125" style="42" customWidth="1"/>
    <col min="11528" max="11528" width="11.81640625" style="42" bestFit="1" customWidth="1"/>
    <col min="11529" max="11776" width="10.90625" style="42"/>
    <col min="11777" max="11777" width="4.90625" style="42" customWidth="1"/>
    <col min="11778" max="11778" width="19.7265625" style="42" customWidth="1"/>
    <col min="11779" max="11779" width="20.08984375" style="42" bestFit="1" customWidth="1"/>
    <col min="11780" max="11780" width="21.54296875" style="42" bestFit="1" customWidth="1"/>
    <col min="11781" max="11781" width="12.6328125" style="42" customWidth="1"/>
    <col min="11782" max="11782" width="20" style="42" customWidth="1"/>
    <col min="11783" max="11783" width="14.26953125" style="42" customWidth="1"/>
    <col min="11784" max="11784" width="11.81640625" style="42" bestFit="1" customWidth="1"/>
    <col min="11785" max="12032" width="10.90625" style="42"/>
    <col min="12033" max="12033" width="4.90625" style="42" customWidth="1"/>
    <col min="12034" max="12034" width="19.7265625" style="42" customWidth="1"/>
    <col min="12035" max="12035" width="20.08984375" style="42" bestFit="1" customWidth="1"/>
    <col min="12036" max="12036" width="21.54296875" style="42" bestFit="1" customWidth="1"/>
    <col min="12037" max="12037" width="12.6328125" style="42" customWidth="1"/>
    <col min="12038" max="12038" width="20" style="42" customWidth="1"/>
    <col min="12039" max="12039" width="14.26953125" style="42" customWidth="1"/>
    <col min="12040" max="12040" width="11.81640625" style="42" bestFit="1" customWidth="1"/>
    <col min="12041" max="12288" width="10.90625" style="42"/>
    <col min="12289" max="12289" width="4.90625" style="42" customWidth="1"/>
    <col min="12290" max="12290" width="19.7265625" style="42" customWidth="1"/>
    <col min="12291" max="12291" width="20.08984375" style="42" bestFit="1" customWidth="1"/>
    <col min="12292" max="12292" width="21.54296875" style="42" bestFit="1" customWidth="1"/>
    <col min="12293" max="12293" width="12.6328125" style="42" customWidth="1"/>
    <col min="12294" max="12294" width="20" style="42" customWidth="1"/>
    <col min="12295" max="12295" width="14.26953125" style="42" customWidth="1"/>
    <col min="12296" max="12296" width="11.81640625" style="42" bestFit="1" customWidth="1"/>
    <col min="12297" max="12544" width="10.90625" style="42"/>
    <col min="12545" max="12545" width="4.90625" style="42" customWidth="1"/>
    <col min="12546" max="12546" width="19.7265625" style="42" customWidth="1"/>
    <col min="12547" max="12547" width="20.08984375" style="42" bestFit="1" customWidth="1"/>
    <col min="12548" max="12548" width="21.54296875" style="42" bestFit="1" customWidth="1"/>
    <col min="12549" max="12549" width="12.6328125" style="42" customWidth="1"/>
    <col min="12550" max="12550" width="20" style="42" customWidth="1"/>
    <col min="12551" max="12551" width="14.26953125" style="42" customWidth="1"/>
    <col min="12552" max="12552" width="11.81640625" style="42" bestFit="1" customWidth="1"/>
    <col min="12553" max="12800" width="10.90625" style="42"/>
    <col min="12801" max="12801" width="4.90625" style="42" customWidth="1"/>
    <col min="12802" max="12802" width="19.7265625" style="42" customWidth="1"/>
    <col min="12803" max="12803" width="20.08984375" style="42" bestFit="1" customWidth="1"/>
    <col min="12804" max="12804" width="21.54296875" style="42" bestFit="1" customWidth="1"/>
    <col min="12805" max="12805" width="12.6328125" style="42" customWidth="1"/>
    <col min="12806" max="12806" width="20" style="42" customWidth="1"/>
    <col min="12807" max="12807" width="14.26953125" style="42" customWidth="1"/>
    <col min="12808" max="12808" width="11.81640625" style="42" bestFit="1" customWidth="1"/>
    <col min="12809" max="13056" width="10.90625" style="42"/>
    <col min="13057" max="13057" width="4.90625" style="42" customWidth="1"/>
    <col min="13058" max="13058" width="19.7265625" style="42" customWidth="1"/>
    <col min="13059" max="13059" width="20.08984375" style="42" bestFit="1" customWidth="1"/>
    <col min="13060" max="13060" width="21.54296875" style="42" bestFit="1" customWidth="1"/>
    <col min="13061" max="13061" width="12.6328125" style="42" customWidth="1"/>
    <col min="13062" max="13062" width="20" style="42" customWidth="1"/>
    <col min="13063" max="13063" width="14.26953125" style="42" customWidth="1"/>
    <col min="13064" max="13064" width="11.81640625" style="42" bestFit="1" customWidth="1"/>
    <col min="13065" max="13312" width="10.90625" style="42"/>
    <col min="13313" max="13313" width="4.90625" style="42" customWidth="1"/>
    <col min="13314" max="13314" width="19.7265625" style="42" customWidth="1"/>
    <col min="13315" max="13315" width="20.08984375" style="42" bestFit="1" customWidth="1"/>
    <col min="13316" max="13316" width="21.54296875" style="42" bestFit="1" customWidth="1"/>
    <col min="13317" max="13317" width="12.6328125" style="42" customWidth="1"/>
    <col min="13318" max="13318" width="20" style="42" customWidth="1"/>
    <col min="13319" max="13319" width="14.26953125" style="42" customWidth="1"/>
    <col min="13320" max="13320" width="11.81640625" style="42" bestFit="1" customWidth="1"/>
    <col min="13321" max="13568" width="10.90625" style="42"/>
    <col min="13569" max="13569" width="4.90625" style="42" customWidth="1"/>
    <col min="13570" max="13570" width="19.7265625" style="42" customWidth="1"/>
    <col min="13571" max="13571" width="20.08984375" style="42" bestFit="1" customWidth="1"/>
    <col min="13572" max="13572" width="21.54296875" style="42" bestFit="1" customWidth="1"/>
    <col min="13573" max="13573" width="12.6328125" style="42" customWidth="1"/>
    <col min="13574" max="13574" width="20" style="42" customWidth="1"/>
    <col min="13575" max="13575" width="14.26953125" style="42" customWidth="1"/>
    <col min="13576" max="13576" width="11.81640625" style="42" bestFit="1" customWidth="1"/>
    <col min="13577" max="13824" width="10.90625" style="42"/>
    <col min="13825" max="13825" width="4.90625" style="42" customWidth="1"/>
    <col min="13826" max="13826" width="19.7265625" style="42" customWidth="1"/>
    <col min="13827" max="13827" width="20.08984375" style="42" bestFit="1" customWidth="1"/>
    <col min="13828" max="13828" width="21.54296875" style="42" bestFit="1" customWidth="1"/>
    <col min="13829" max="13829" width="12.6328125" style="42" customWidth="1"/>
    <col min="13830" max="13830" width="20" style="42" customWidth="1"/>
    <col min="13831" max="13831" width="14.26953125" style="42" customWidth="1"/>
    <col min="13832" max="13832" width="11.81640625" style="42" bestFit="1" customWidth="1"/>
    <col min="13833" max="14080" width="10.90625" style="42"/>
    <col min="14081" max="14081" width="4.90625" style="42" customWidth="1"/>
    <col min="14082" max="14082" width="19.7265625" style="42" customWidth="1"/>
    <col min="14083" max="14083" width="20.08984375" style="42" bestFit="1" customWidth="1"/>
    <col min="14084" max="14084" width="21.54296875" style="42" bestFit="1" customWidth="1"/>
    <col min="14085" max="14085" width="12.6328125" style="42" customWidth="1"/>
    <col min="14086" max="14086" width="20" style="42" customWidth="1"/>
    <col min="14087" max="14087" width="14.26953125" style="42" customWidth="1"/>
    <col min="14088" max="14088" width="11.81640625" style="42" bestFit="1" customWidth="1"/>
    <col min="14089" max="14336" width="10.90625" style="42"/>
    <col min="14337" max="14337" width="4.90625" style="42" customWidth="1"/>
    <col min="14338" max="14338" width="19.7265625" style="42" customWidth="1"/>
    <col min="14339" max="14339" width="20.08984375" style="42" bestFit="1" customWidth="1"/>
    <col min="14340" max="14340" width="21.54296875" style="42" bestFit="1" customWidth="1"/>
    <col min="14341" max="14341" width="12.6328125" style="42" customWidth="1"/>
    <col min="14342" max="14342" width="20" style="42" customWidth="1"/>
    <col min="14343" max="14343" width="14.26953125" style="42" customWidth="1"/>
    <col min="14344" max="14344" width="11.81640625" style="42" bestFit="1" customWidth="1"/>
    <col min="14345" max="14592" width="10.90625" style="42"/>
    <col min="14593" max="14593" width="4.90625" style="42" customWidth="1"/>
    <col min="14594" max="14594" width="19.7265625" style="42" customWidth="1"/>
    <col min="14595" max="14595" width="20.08984375" style="42" bestFit="1" customWidth="1"/>
    <col min="14596" max="14596" width="21.54296875" style="42" bestFit="1" customWidth="1"/>
    <col min="14597" max="14597" width="12.6328125" style="42" customWidth="1"/>
    <col min="14598" max="14598" width="20" style="42" customWidth="1"/>
    <col min="14599" max="14599" width="14.26953125" style="42" customWidth="1"/>
    <col min="14600" max="14600" width="11.81640625" style="42" bestFit="1" customWidth="1"/>
    <col min="14601" max="14848" width="10.90625" style="42"/>
    <col min="14849" max="14849" width="4.90625" style="42" customWidth="1"/>
    <col min="14850" max="14850" width="19.7265625" style="42" customWidth="1"/>
    <col min="14851" max="14851" width="20.08984375" style="42" bestFit="1" customWidth="1"/>
    <col min="14852" max="14852" width="21.54296875" style="42" bestFit="1" customWidth="1"/>
    <col min="14853" max="14853" width="12.6328125" style="42" customWidth="1"/>
    <col min="14854" max="14854" width="20" style="42" customWidth="1"/>
    <col min="14855" max="14855" width="14.26953125" style="42" customWidth="1"/>
    <col min="14856" max="14856" width="11.81640625" style="42" bestFit="1" customWidth="1"/>
    <col min="14857" max="15104" width="10.90625" style="42"/>
    <col min="15105" max="15105" width="4.90625" style="42" customWidth="1"/>
    <col min="15106" max="15106" width="19.7265625" style="42" customWidth="1"/>
    <col min="15107" max="15107" width="20.08984375" style="42" bestFit="1" customWidth="1"/>
    <col min="15108" max="15108" width="21.54296875" style="42" bestFit="1" customWidth="1"/>
    <col min="15109" max="15109" width="12.6328125" style="42" customWidth="1"/>
    <col min="15110" max="15110" width="20" style="42" customWidth="1"/>
    <col min="15111" max="15111" width="14.26953125" style="42" customWidth="1"/>
    <col min="15112" max="15112" width="11.81640625" style="42" bestFit="1" customWidth="1"/>
    <col min="15113" max="15360" width="10.90625" style="42"/>
    <col min="15361" max="15361" width="4.90625" style="42" customWidth="1"/>
    <col min="15362" max="15362" width="19.7265625" style="42" customWidth="1"/>
    <col min="15363" max="15363" width="20.08984375" style="42" bestFit="1" customWidth="1"/>
    <col min="15364" max="15364" width="21.54296875" style="42" bestFit="1" customWidth="1"/>
    <col min="15365" max="15365" width="12.6328125" style="42" customWidth="1"/>
    <col min="15366" max="15366" width="20" style="42" customWidth="1"/>
    <col min="15367" max="15367" width="14.26953125" style="42" customWidth="1"/>
    <col min="15368" max="15368" width="11.81640625" style="42" bestFit="1" customWidth="1"/>
    <col min="15369" max="15616" width="10.90625" style="42"/>
    <col min="15617" max="15617" width="4.90625" style="42" customWidth="1"/>
    <col min="15618" max="15618" width="19.7265625" style="42" customWidth="1"/>
    <col min="15619" max="15619" width="20.08984375" style="42" bestFit="1" customWidth="1"/>
    <col min="15620" max="15620" width="21.54296875" style="42" bestFit="1" customWidth="1"/>
    <col min="15621" max="15621" width="12.6328125" style="42" customWidth="1"/>
    <col min="15622" max="15622" width="20" style="42" customWidth="1"/>
    <col min="15623" max="15623" width="14.26953125" style="42" customWidth="1"/>
    <col min="15624" max="15624" width="11.81640625" style="42" bestFit="1" customWidth="1"/>
    <col min="15625" max="15872" width="10.90625" style="42"/>
    <col min="15873" max="15873" width="4.90625" style="42" customWidth="1"/>
    <col min="15874" max="15874" width="19.7265625" style="42" customWidth="1"/>
    <col min="15875" max="15875" width="20.08984375" style="42" bestFit="1" customWidth="1"/>
    <col min="15876" max="15876" width="21.54296875" style="42" bestFit="1" customWidth="1"/>
    <col min="15877" max="15877" width="12.6328125" style="42" customWidth="1"/>
    <col min="15878" max="15878" width="20" style="42" customWidth="1"/>
    <col min="15879" max="15879" width="14.26953125" style="42" customWidth="1"/>
    <col min="15880" max="15880" width="11.81640625" style="42" bestFit="1" customWidth="1"/>
    <col min="15881" max="16128" width="10.90625" style="42"/>
    <col min="16129" max="16129" width="4.90625" style="42" customWidth="1"/>
    <col min="16130" max="16130" width="19.7265625" style="42" customWidth="1"/>
    <col min="16131" max="16131" width="20.08984375" style="42" bestFit="1" customWidth="1"/>
    <col min="16132" max="16132" width="21.54296875" style="42" bestFit="1" customWidth="1"/>
    <col min="16133" max="16133" width="12.6328125" style="42" customWidth="1"/>
    <col min="16134" max="16134" width="20" style="42" customWidth="1"/>
    <col min="16135" max="16135" width="14.26953125" style="42" customWidth="1"/>
    <col min="16136" max="16136" width="11.81640625" style="42" bestFit="1" customWidth="1"/>
    <col min="16137" max="16384" width="10.90625" style="42"/>
  </cols>
  <sheetData>
    <row r="3" spans="1:14" ht="54.9" customHeight="1" x14ac:dyDescent="0.3">
      <c r="B3" s="43"/>
      <c r="C3" s="43"/>
      <c r="D3" s="44"/>
      <c r="E3" s="44"/>
      <c r="F3" s="44"/>
    </row>
    <row r="4" spans="1:14" ht="20.399999999999999" customHeight="1" x14ac:dyDescent="0.3">
      <c r="E4" s="45"/>
      <c r="F4" s="45"/>
    </row>
    <row r="5" spans="1:14" ht="20.399999999999999" customHeight="1" x14ac:dyDescent="0.3">
      <c r="E5" s="45"/>
      <c r="F5" s="45"/>
    </row>
    <row r="6" spans="1:14" ht="21" customHeight="1" x14ac:dyDescent="0.5">
      <c r="B6" s="46" t="s">
        <v>87</v>
      </c>
      <c r="E6" s="140" t="s">
        <v>102</v>
      </c>
      <c r="F6" s="140"/>
    </row>
    <row r="7" spans="1:14" ht="21" customHeight="1" x14ac:dyDescent="0.5">
      <c r="B7" s="46" t="s">
        <v>88</v>
      </c>
      <c r="E7" s="140"/>
      <c r="F7" s="140"/>
    </row>
    <row r="8" spans="1:14" ht="19.75" customHeight="1" x14ac:dyDescent="0.45">
      <c r="B8" s="47" t="s">
        <v>89</v>
      </c>
      <c r="E8" s="140"/>
      <c r="F8" s="140"/>
    </row>
    <row r="9" spans="1:14" ht="13.75" customHeight="1" thickBot="1" x14ac:dyDescent="0.5">
      <c r="A9" s="48"/>
      <c r="B9" s="49"/>
      <c r="C9" s="50"/>
      <c r="D9" s="51"/>
      <c r="E9" s="141"/>
      <c r="F9" s="141"/>
      <c r="G9" s="52"/>
      <c r="H9" s="53"/>
    </row>
    <row r="10" spans="1:14" ht="18" thickTop="1" x14ac:dyDescent="0.35">
      <c r="A10" s="54"/>
      <c r="B10" s="55"/>
      <c r="C10" s="56"/>
      <c r="D10" s="111"/>
      <c r="E10" s="57"/>
      <c r="F10" s="57"/>
      <c r="G10" s="58"/>
      <c r="H10" s="56"/>
    </row>
    <row r="11" spans="1:14" ht="21" x14ac:dyDescent="0.5">
      <c r="A11" s="54"/>
      <c r="B11" s="59" t="s">
        <v>17</v>
      </c>
      <c r="C11" s="109" t="s">
        <v>104</v>
      </c>
      <c r="D11" s="60"/>
      <c r="E11" s="59" t="s">
        <v>103</v>
      </c>
      <c r="F11" s="84">
        <v>1</v>
      </c>
      <c r="G11" s="60"/>
      <c r="H11" s="56"/>
    </row>
    <row r="12" spans="1:14" ht="21" x14ac:dyDescent="0.5">
      <c r="A12" s="54"/>
      <c r="B12" s="59" t="s">
        <v>13</v>
      </c>
      <c r="C12" s="87" t="str">
        <f>IFERROR(VLOOKUP(C11,Clientes!$B$7:$H$50,6,0),"")</f>
        <v>Belgrano 120</v>
      </c>
      <c r="D12" s="60"/>
      <c r="E12" s="59" t="s">
        <v>7</v>
      </c>
      <c r="F12" s="61"/>
      <c r="G12" s="60"/>
      <c r="H12" s="56"/>
    </row>
    <row r="13" spans="1:14" ht="21" x14ac:dyDescent="0.5">
      <c r="A13" s="54"/>
      <c r="B13" s="59" t="s">
        <v>39</v>
      </c>
      <c r="C13" s="87" t="str">
        <f>IFERROR(VLOOKUP(C11,Clientes!$B$7:$H$50,7,0),"")</f>
        <v>30-22211139-2</v>
      </c>
      <c r="D13" s="60"/>
      <c r="E13" s="59" t="s">
        <v>90</v>
      </c>
      <c r="F13" s="61"/>
      <c r="G13" s="60"/>
      <c r="H13" s="56"/>
    </row>
    <row r="14" spans="1:14" ht="18.5" x14ac:dyDescent="0.45">
      <c r="A14" s="54"/>
      <c r="B14" s="60"/>
      <c r="C14" s="112"/>
      <c r="D14" s="62"/>
      <c r="E14" s="60"/>
      <c r="F14" s="60"/>
      <c r="G14" s="60"/>
      <c r="H14" s="63"/>
      <c r="J14" s="139" t="s">
        <v>94</v>
      </c>
      <c r="K14" s="139"/>
      <c r="L14" s="139"/>
      <c r="M14" s="139"/>
    </row>
    <row r="15" spans="1:14" ht="28.75" customHeight="1" x14ac:dyDescent="0.3">
      <c r="A15" s="54"/>
      <c r="B15" s="64" t="s">
        <v>30</v>
      </c>
      <c r="C15" s="64" t="s">
        <v>91</v>
      </c>
      <c r="D15" s="64" t="s">
        <v>2</v>
      </c>
      <c r="E15" s="64" t="s">
        <v>0</v>
      </c>
      <c r="F15" s="64" t="s">
        <v>1</v>
      </c>
      <c r="G15" s="65"/>
      <c r="J15" s="135" t="s">
        <v>22</v>
      </c>
      <c r="K15" s="135" t="s">
        <v>24</v>
      </c>
      <c r="L15" s="135" t="s">
        <v>25</v>
      </c>
      <c r="M15" s="136" t="s">
        <v>23</v>
      </c>
      <c r="N15" s="59"/>
    </row>
    <row r="16" spans="1:14" ht="21" x14ac:dyDescent="0.5">
      <c r="A16" s="54"/>
      <c r="B16" s="66" t="str">
        <f>IFERROR(INDEX(Lista_Precios[CÓDIGO],MATCH(Factura!C16,Lista_Precios[PRODUCTO],0)),"")</f>
        <v>AG002</v>
      </c>
      <c r="C16" s="114" t="s">
        <v>53</v>
      </c>
      <c r="D16" s="129">
        <v>2</v>
      </c>
      <c r="E16" s="67">
        <f>IFERROR(VLOOKUP(C16,Lista_Precios[[PRODUCTO]:[PRECIO UNITARIO]],2,0),0)</f>
        <v>1000</v>
      </c>
      <c r="F16" s="67">
        <f>D16*E16</f>
        <v>2000</v>
      </c>
      <c r="G16" s="65"/>
      <c r="J16" s="85">
        <f>IF(C16="","",SUMIF(Movimientos!$G$7:$G$40,Factura!C16,Movimientos!$H$7:$H$40))</f>
        <v>20</v>
      </c>
      <c r="K16" s="134">
        <f>IF(D16="",0,D16)</f>
        <v>2</v>
      </c>
      <c r="L16" s="86">
        <f>IF(C16="","",VLOOKUP(C16,Lista_Precios[[PRODUCTO]:[MÍNIMO DE STOCK TOLERABLE]],3,0))</f>
        <v>5</v>
      </c>
      <c r="M16" s="86" t="str">
        <f t="shared" ref="M16:M30" si="0">IF(C16="","",IF((J16-K16)&lt;=L16,"El stock actual es menor al mínimo","El stock actual es suficiente"))</f>
        <v>El stock actual es suficiente</v>
      </c>
      <c r="N16" s="83">
        <f>IF(M16="El stock actual es suficiente",2,IF(M16="El stock actual es menor al mínimo",0,1))</f>
        <v>2</v>
      </c>
    </row>
    <row r="17" spans="1:14" ht="21" x14ac:dyDescent="0.5">
      <c r="A17" s="54"/>
      <c r="B17" s="66" t="str">
        <f>IFERROR(INDEX(Lista_Precios[CÓDIGO],MATCH(Factura!C17,Lista_Precios[PRODUCTO],0)),"")</f>
        <v>BC002</v>
      </c>
      <c r="C17" s="113" t="s">
        <v>47</v>
      </c>
      <c r="D17" s="130">
        <v>2</v>
      </c>
      <c r="E17" s="67">
        <f>IFERROR(VLOOKUP(C17,Lista_Precios[[PRODUCTO]:[PRECIO UNITARIO]],2,0),0)</f>
        <v>1500</v>
      </c>
      <c r="F17" s="67">
        <f t="shared" ref="F17:F30" si="1">D17*E17</f>
        <v>3000</v>
      </c>
      <c r="G17" s="65"/>
      <c r="J17" s="85">
        <f>IF(C17="","",SUMIF(Movimientos!$G$7:$G$40,Factura!C17,Movimientos!$H$7:$H$40))</f>
        <v>30</v>
      </c>
      <c r="K17" s="134">
        <f t="shared" ref="K17:K30" si="2">IF(D17="",0,D17)</f>
        <v>2</v>
      </c>
      <c r="L17" s="86">
        <f>IF(C17="","",VLOOKUP(C17,Lista_Precios[[PRODUCTO]:[MÍNIMO DE STOCK TOLERABLE]],3,0))</f>
        <v>3</v>
      </c>
      <c r="M17" s="86" t="str">
        <f t="shared" si="0"/>
        <v>El stock actual es suficiente</v>
      </c>
      <c r="N17" s="83">
        <f t="shared" ref="N17:N30" si="3">IF(M17="El stock actual es suficiente",2,IF(M17="El stock actual es menor al mínimo",0,1))</f>
        <v>2</v>
      </c>
    </row>
    <row r="18" spans="1:14" ht="21" x14ac:dyDescent="0.5">
      <c r="A18" s="54"/>
      <c r="B18" s="66" t="str">
        <f>IFERROR(INDEX(Lista_Precios[CÓDIGO],MATCH(Factura!C18,Lista_Precios[PRODUCTO],0)),"")</f>
        <v>BC003</v>
      </c>
      <c r="C18" s="113" t="s">
        <v>49</v>
      </c>
      <c r="D18" s="130">
        <v>3</v>
      </c>
      <c r="E18" s="67">
        <f>IFERROR(VLOOKUP(C18,Lista_Precios[[PRODUCTO]:[PRECIO UNITARIO]],2,0),0)</f>
        <v>2000</v>
      </c>
      <c r="F18" s="67">
        <f t="shared" si="1"/>
        <v>6000</v>
      </c>
      <c r="G18" s="65"/>
      <c r="J18" s="85">
        <f>IF(C18="","",SUMIF(Movimientos!$G$7:$G$40,Factura!C18,Movimientos!$H$7:$H$40))</f>
        <v>0</v>
      </c>
      <c r="K18" s="134">
        <f t="shared" si="2"/>
        <v>3</v>
      </c>
      <c r="L18" s="86">
        <f>IF(C18="","",VLOOKUP(C18,Lista_Precios[[PRODUCTO]:[MÍNIMO DE STOCK TOLERABLE]],3,0))</f>
        <v>1</v>
      </c>
      <c r="M18" s="86" t="str">
        <f t="shared" si="0"/>
        <v>El stock actual es menor al mínimo</v>
      </c>
      <c r="N18" s="83">
        <f t="shared" si="3"/>
        <v>0</v>
      </c>
    </row>
    <row r="19" spans="1:14" ht="21" x14ac:dyDescent="0.5">
      <c r="A19" s="54"/>
      <c r="B19" s="66" t="str">
        <f>IFERROR(INDEX(Lista_Precios[CÓDIGO],MATCH(Factura!C19,Lista_Precios[PRODUCTO],0)),"")</f>
        <v/>
      </c>
      <c r="C19" s="113"/>
      <c r="D19" s="130"/>
      <c r="E19" s="67">
        <f>IFERROR(VLOOKUP(C19,Lista_Precios[[PRODUCTO]:[PRECIO UNITARIO]],2,0),0)</f>
        <v>0</v>
      </c>
      <c r="F19" s="67">
        <f t="shared" si="1"/>
        <v>0</v>
      </c>
      <c r="G19" s="65"/>
      <c r="J19" s="85" t="str">
        <f>IF(C19="","",SUMIF(Movimientos!$G$7:$G$40,Factura!C19,Movimientos!$H$7:$H$40))</f>
        <v/>
      </c>
      <c r="K19" s="134">
        <f t="shared" si="2"/>
        <v>0</v>
      </c>
      <c r="L19" s="86" t="str">
        <f>IF(C19="","",VLOOKUP(C19,Lista_Precios[[PRODUCTO]:[MÍNIMO DE STOCK TOLERABLE]],3,0))</f>
        <v/>
      </c>
      <c r="M19" s="86" t="str">
        <f t="shared" si="0"/>
        <v/>
      </c>
      <c r="N19" s="83">
        <f t="shared" si="3"/>
        <v>1</v>
      </c>
    </row>
    <row r="20" spans="1:14" ht="21" x14ac:dyDescent="0.5">
      <c r="A20" s="54"/>
      <c r="B20" s="66" t="str">
        <f>IFERROR(INDEX(Lista_Precios[CÓDIGO],MATCH(Factura!C20,Lista_Precios[PRODUCTO],0)),"")</f>
        <v/>
      </c>
      <c r="C20" s="113"/>
      <c r="D20" s="130"/>
      <c r="E20" s="67">
        <f>IFERROR(VLOOKUP(C20,Lista_Precios[[PRODUCTO]:[PRECIO UNITARIO]],2,0),0)</f>
        <v>0</v>
      </c>
      <c r="F20" s="67">
        <f t="shared" si="1"/>
        <v>0</v>
      </c>
      <c r="G20" s="65"/>
      <c r="J20" s="85" t="str">
        <f>IF(C20="","",SUMIF(Movimientos!$G$7:$G$40,Factura!C20,Movimientos!$H$7:$H$40))</f>
        <v/>
      </c>
      <c r="K20" s="134">
        <f t="shared" si="2"/>
        <v>0</v>
      </c>
      <c r="L20" s="86" t="str">
        <f>IF(C20="","",VLOOKUP(C20,Lista_Precios[[PRODUCTO]:[MÍNIMO DE STOCK TOLERABLE]],3,0))</f>
        <v/>
      </c>
      <c r="M20" s="86" t="str">
        <f t="shared" si="0"/>
        <v/>
      </c>
      <c r="N20" s="83">
        <f t="shared" si="3"/>
        <v>1</v>
      </c>
    </row>
    <row r="21" spans="1:14" ht="21" x14ac:dyDescent="0.5">
      <c r="A21" s="54"/>
      <c r="B21" s="66" t="str">
        <f>IFERROR(INDEX(Lista_Precios[CÓDIGO],MATCH(Factura!C21,Lista_Precios[PRODUCTO],0)),"")</f>
        <v/>
      </c>
      <c r="C21" s="113"/>
      <c r="D21" s="130"/>
      <c r="E21" s="67">
        <f>IFERROR(VLOOKUP(C21,Lista_Precios[[PRODUCTO]:[PRECIO UNITARIO]],2,0),0)</f>
        <v>0</v>
      </c>
      <c r="F21" s="67">
        <f t="shared" si="1"/>
        <v>0</v>
      </c>
      <c r="G21" s="65"/>
      <c r="J21" s="85" t="str">
        <f>IF(C21="","",SUMIF(Movimientos!$G$7:$G$40,Factura!C21,Movimientos!$H$7:$H$40))</f>
        <v/>
      </c>
      <c r="K21" s="134">
        <f t="shared" si="2"/>
        <v>0</v>
      </c>
      <c r="L21" s="86" t="str">
        <f>IF(C21="","",VLOOKUP(C21,Lista_Precios[[PRODUCTO]:[MÍNIMO DE STOCK TOLERABLE]],3,0))</f>
        <v/>
      </c>
      <c r="M21" s="86" t="str">
        <f t="shared" si="0"/>
        <v/>
      </c>
      <c r="N21" s="83">
        <f t="shared" si="3"/>
        <v>1</v>
      </c>
    </row>
    <row r="22" spans="1:14" ht="21" x14ac:dyDescent="0.5">
      <c r="A22" s="54"/>
      <c r="B22" s="66" t="str">
        <f>IFERROR(INDEX(Lista_Precios[CÓDIGO],MATCH(Factura!C22,Lista_Precios[PRODUCTO],0)),"")</f>
        <v/>
      </c>
      <c r="C22" s="113"/>
      <c r="D22" s="130"/>
      <c r="E22" s="67">
        <f>IFERROR(VLOOKUP(C22,Lista_Precios[[PRODUCTO]:[PRECIO UNITARIO]],2,0),0)</f>
        <v>0</v>
      </c>
      <c r="F22" s="67">
        <f t="shared" si="1"/>
        <v>0</v>
      </c>
      <c r="G22" s="65"/>
      <c r="J22" s="85" t="str">
        <f>IF(C22="","",SUMIF(Movimientos!$G$7:$G$40,Factura!C22,Movimientos!$H$7:$H$40))</f>
        <v/>
      </c>
      <c r="K22" s="134">
        <f t="shared" si="2"/>
        <v>0</v>
      </c>
      <c r="L22" s="86" t="str">
        <f>IF(C22="","",VLOOKUP(C22,Lista_Precios[[PRODUCTO]:[MÍNIMO DE STOCK TOLERABLE]],3,0))</f>
        <v/>
      </c>
      <c r="M22" s="86" t="str">
        <f t="shared" si="0"/>
        <v/>
      </c>
      <c r="N22" s="83">
        <f t="shared" si="3"/>
        <v>1</v>
      </c>
    </row>
    <row r="23" spans="1:14" ht="21" x14ac:dyDescent="0.5">
      <c r="A23" s="54"/>
      <c r="B23" s="66" t="str">
        <f>IFERROR(INDEX(Lista_Precios[CÓDIGO],MATCH(Factura!C23,Lista_Precios[PRODUCTO],0)),"")</f>
        <v/>
      </c>
      <c r="C23" s="113"/>
      <c r="D23" s="130"/>
      <c r="E23" s="67">
        <f>IFERROR(VLOOKUP(C23,Lista_Precios[[PRODUCTO]:[PRECIO UNITARIO]],2,0),0)</f>
        <v>0</v>
      </c>
      <c r="F23" s="67">
        <f t="shared" si="1"/>
        <v>0</v>
      </c>
      <c r="G23" s="65"/>
      <c r="J23" s="85" t="str">
        <f>IF(C23="","",SUMIF(Movimientos!$G$7:$G$40,Factura!C23,Movimientos!$H$7:$H$40))</f>
        <v/>
      </c>
      <c r="K23" s="134">
        <f t="shared" si="2"/>
        <v>0</v>
      </c>
      <c r="L23" s="86" t="str">
        <f>IF(C23="","",VLOOKUP(C23,Lista_Precios[[PRODUCTO]:[MÍNIMO DE STOCK TOLERABLE]],3,0))</f>
        <v/>
      </c>
      <c r="M23" s="86" t="str">
        <f t="shared" si="0"/>
        <v/>
      </c>
      <c r="N23" s="83">
        <f t="shared" si="3"/>
        <v>1</v>
      </c>
    </row>
    <row r="24" spans="1:14" ht="21" x14ac:dyDescent="0.5">
      <c r="A24" s="54"/>
      <c r="B24" s="66" t="str">
        <f>IFERROR(INDEX(Lista_Precios[CÓDIGO],MATCH(Factura!C24,Lista_Precios[PRODUCTO],0)),"")</f>
        <v/>
      </c>
      <c r="C24" s="113"/>
      <c r="D24" s="130"/>
      <c r="E24" s="67">
        <f>IFERROR(VLOOKUP(C24,Lista_Precios[[PRODUCTO]:[PRECIO UNITARIO]],2,0),0)</f>
        <v>0</v>
      </c>
      <c r="F24" s="67">
        <f t="shared" si="1"/>
        <v>0</v>
      </c>
      <c r="G24" s="65"/>
      <c r="J24" s="85" t="str">
        <f>IF(C24="","",SUMIF(Movimientos!$G$7:$G$40,Factura!C24,Movimientos!$H$7:$H$40))</f>
        <v/>
      </c>
      <c r="K24" s="134">
        <f t="shared" si="2"/>
        <v>0</v>
      </c>
      <c r="L24" s="86" t="str">
        <f>IF(C24="","",VLOOKUP(C24,Lista_Precios[[PRODUCTO]:[MÍNIMO DE STOCK TOLERABLE]],3,0))</f>
        <v/>
      </c>
      <c r="M24" s="86" t="str">
        <f t="shared" si="0"/>
        <v/>
      </c>
      <c r="N24" s="83">
        <f t="shared" si="3"/>
        <v>1</v>
      </c>
    </row>
    <row r="25" spans="1:14" ht="21" x14ac:dyDescent="0.5">
      <c r="A25" s="54"/>
      <c r="B25" s="66" t="str">
        <f>IFERROR(INDEX(Lista_Precios[CÓDIGO],MATCH(Factura!C25,Lista_Precios[PRODUCTO],0)),"")</f>
        <v/>
      </c>
      <c r="C25" s="113"/>
      <c r="D25" s="130"/>
      <c r="E25" s="67">
        <f>IFERROR(VLOOKUP(C25,Lista_Precios[[PRODUCTO]:[PRECIO UNITARIO]],2,0),0)</f>
        <v>0</v>
      </c>
      <c r="F25" s="67">
        <f t="shared" si="1"/>
        <v>0</v>
      </c>
      <c r="G25" s="65"/>
      <c r="J25" s="85" t="str">
        <f>IF(C25="","",SUMIF(Movimientos!$G$7:$G$40,Factura!C25,Movimientos!$H$7:$H$40))</f>
        <v/>
      </c>
      <c r="K25" s="134">
        <f t="shared" si="2"/>
        <v>0</v>
      </c>
      <c r="L25" s="86" t="str">
        <f>IF(C25="","",VLOOKUP(C25,Lista_Precios[[PRODUCTO]:[MÍNIMO DE STOCK TOLERABLE]],3,0))</f>
        <v/>
      </c>
      <c r="M25" s="86" t="str">
        <f t="shared" si="0"/>
        <v/>
      </c>
      <c r="N25" s="83">
        <f t="shared" si="3"/>
        <v>1</v>
      </c>
    </row>
    <row r="26" spans="1:14" ht="21" x14ac:dyDescent="0.5">
      <c r="A26" s="54"/>
      <c r="B26" s="66" t="str">
        <f>IFERROR(INDEX(Lista_Precios[CÓDIGO],MATCH(Factura!C26,Lista_Precios[PRODUCTO],0)),"")</f>
        <v/>
      </c>
      <c r="C26" s="113"/>
      <c r="D26" s="130"/>
      <c r="E26" s="67">
        <f>IFERROR(VLOOKUP(C26,Lista_Precios[[PRODUCTO]:[PRECIO UNITARIO]],2,0),0)</f>
        <v>0</v>
      </c>
      <c r="F26" s="67">
        <f t="shared" si="1"/>
        <v>0</v>
      </c>
      <c r="G26" s="65"/>
      <c r="J26" s="85" t="str">
        <f>IF(C26="","",SUMIF(Movimientos!$G$7:$G$40,Factura!C26,Movimientos!$H$7:$H$40))</f>
        <v/>
      </c>
      <c r="K26" s="134">
        <f t="shared" si="2"/>
        <v>0</v>
      </c>
      <c r="L26" s="86" t="str">
        <f>IF(C26="","",VLOOKUP(C26,Lista_Precios[[PRODUCTO]:[MÍNIMO DE STOCK TOLERABLE]],3,0))</f>
        <v/>
      </c>
      <c r="M26" s="86" t="str">
        <f t="shared" si="0"/>
        <v/>
      </c>
      <c r="N26" s="83">
        <f t="shared" si="3"/>
        <v>1</v>
      </c>
    </row>
    <row r="27" spans="1:14" ht="21" x14ac:dyDescent="0.5">
      <c r="A27" s="54"/>
      <c r="B27" s="66" t="str">
        <f>IFERROR(INDEX(Lista_Precios[CÓDIGO],MATCH(Factura!C27,Lista_Precios[PRODUCTO],0)),"")</f>
        <v/>
      </c>
      <c r="C27" s="113"/>
      <c r="D27" s="130"/>
      <c r="E27" s="67">
        <f>IFERROR(VLOOKUP(C27,Lista_Precios[[PRODUCTO]:[PRECIO UNITARIO]],2,0),0)</f>
        <v>0</v>
      </c>
      <c r="F27" s="67">
        <f t="shared" si="1"/>
        <v>0</v>
      </c>
      <c r="G27" s="65"/>
      <c r="J27" s="85" t="str">
        <f>IF(C27="","",SUMIF(Movimientos!$G$7:$G$40,Factura!C27,Movimientos!$H$7:$H$40))</f>
        <v/>
      </c>
      <c r="K27" s="134">
        <f t="shared" si="2"/>
        <v>0</v>
      </c>
      <c r="L27" s="86" t="str">
        <f>IF(C27="","",VLOOKUP(C27,Lista_Precios[[PRODUCTO]:[MÍNIMO DE STOCK TOLERABLE]],3,0))</f>
        <v/>
      </c>
      <c r="M27" s="86" t="str">
        <f t="shared" si="0"/>
        <v/>
      </c>
      <c r="N27" s="83">
        <f t="shared" si="3"/>
        <v>1</v>
      </c>
    </row>
    <row r="28" spans="1:14" ht="21" x14ac:dyDescent="0.5">
      <c r="A28" s="54"/>
      <c r="B28" s="66" t="str">
        <f>IFERROR(INDEX(Lista_Precios[CÓDIGO],MATCH(Factura!C28,Lista_Precios[PRODUCTO],0)),"")</f>
        <v/>
      </c>
      <c r="C28" s="113"/>
      <c r="D28" s="130"/>
      <c r="E28" s="67">
        <f>IFERROR(VLOOKUP(C28,Lista_Precios[[PRODUCTO]:[PRECIO UNITARIO]],2,0),0)</f>
        <v>0</v>
      </c>
      <c r="F28" s="67">
        <f t="shared" si="1"/>
        <v>0</v>
      </c>
      <c r="G28" s="65"/>
      <c r="J28" s="85" t="str">
        <f>IF(C28="","",SUMIF(Movimientos!$G$7:$G$40,Factura!C28,Movimientos!$H$7:$H$40))</f>
        <v/>
      </c>
      <c r="K28" s="134">
        <f t="shared" si="2"/>
        <v>0</v>
      </c>
      <c r="L28" s="86" t="str">
        <f>IF(C28="","",VLOOKUP(C28,Lista_Precios[[PRODUCTO]:[MÍNIMO DE STOCK TOLERABLE]],3,0))</f>
        <v/>
      </c>
      <c r="M28" s="86" t="str">
        <f t="shared" si="0"/>
        <v/>
      </c>
      <c r="N28" s="83">
        <f t="shared" si="3"/>
        <v>1</v>
      </c>
    </row>
    <row r="29" spans="1:14" ht="21" x14ac:dyDescent="0.5">
      <c r="A29" s="54"/>
      <c r="B29" s="66" t="str">
        <f>IFERROR(INDEX(Lista_Precios[CÓDIGO],MATCH(Factura!C29,Lista_Precios[PRODUCTO],0)),"")</f>
        <v/>
      </c>
      <c r="C29" s="116"/>
      <c r="D29" s="131"/>
      <c r="E29" s="67">
        <f>IFERROR(VLOOKUP(C29,Lista_Precios[[PRODUCTO]:[PRECIO UNITARIO]],2,0),0)</f>
        <v>0</v>
      </c>
      <c r="F29" s="67">
        <f t="shared" si="1"/>
        <v>0</v>
      </c>
      <c r="G29" s="65"/>
      <c r="J29" s="85" t="str">
        <f>IF(C29="","",SUMIF(Movimientos!$G$7:$G$40,Factura!C29,Movimientos!$H$7:$H$40))</f>
        <v/>
      </c>
      <c r="K29" s="134">
        <f t="shared" si="2"/>
        <v>0</v>
      </c>
      <c r="L29" s="86" t="str">
        <f>IF(C29="","",VLOOKUP(C29,Lista_Precios[[PRODUCTO]:[MÍNIMO DE STOCK TOLERABLE]],3,0))</f>
        <v/>
      </c>
      <c r="M29" s="86" t="str">
        <f t="shared" si="0"/>
        <v/>
      </c>
      <c r="N29" s="83">
        <f t="shared" si="3"/>
        <v>1</v>
      </c>
    </row>
    <row r="30" spans="1:14" ht="21" x14ac:dyDescent="0.5">
      <c r="A30" s="54"/>
      <c r="B30" s="66" t="str">
        <f>IFERROR(INDEX(Lista_Precios[CÓDIGO],MATCH(Factura!C30,Lista_Precios[PRODUCTO],0)),"")</f>
        <v/>
      </c>
      <c r="C30" s="115"/>
      <c r="D30" s="132"/>
      <c r="E30" s="67">
        <f>IFERROR(VLOOKUP(C30,Lista_Precios[[PRODUCTO]:[PRECIO UNITARIO]],2,0),0)</f>
        <v>0</v>
      </c>
      <c r="F30" s="67">
        <f t="shared" si="1"/>
        <v>0</v>
      </c>
      <c r="G30" s="65"/>
      <c r="J30" s="85" t="str">
        <f>IF(C30="","",SUMIF(Movimientos!$G$7:$G$40,Factura!C30,Movimientos!$H$7:$H$40))</f>
        <v/>
      </c>
      <c r="K30" s="134">
        <f t="shared" si="2"/>
        <v>0</v>
      </c>
      <c r="L30" s="86" t="str">
        <f>IF(C30="","",VLOOKUP(C30,Lista_Precios[[PRODUCTO]:[MÍNIMO DE STOCK TOLERABLE]],3,0))</f>
        <v/>
      </c>
      <c r="M30" s="86" t="str">
        <f t="shared" si="0"/>
        <v/>
      </c>
      <c r="N30" s="83">
        <f t="shared" si="3"/>
        <v>1</v>
      </c>
    </row>
    <row r="31" spans="1:14" ht="15.5" x14ac:dyDescent="0.35">
      <c r="A31" s="54"/>
      <c r="B31" s="68"/>
      <c r="C31" s="68"/>
      <c r="D31" s="69"/>
      <c r="E31" s="70"/>
      <c r="F31" s="71"/>
      <c r="G31" s="65"/>
    </row>
    <row r="32" spans="1:14" ht="31.75" customHeight="1" x14ac:dyDescent="0.45">
      <c r="A32" s="54"/>
      <c r="B32" s="72"/>
      <c r="D32" s="137" t="s">
        <v>92</v>
      </c>
      <c r="E32" s="138"/>
      <c r="F32" s="73">
        <f>SUM(F16:F30)</f>
        <v>11000</v>
      </c>
      <c r="G32" s="65"/>
    </row>
    <row r="33" spans="1:8" ht="30" customHeight="1" x14ac:dyDescent="0.3">
      <c r="A33" s="54"/>
      <c r="B33" s="74"/>
      <c r="D33" s="75" t="s">
        <v>31</v>
      </c>
      <c r="E33" s="82">
        <v>0.21</v>
      </c>
      <c r="F33" s="73">
        <f>F32*$E$33</f>
        <v>2310</v>
      </c>
      <c r="G33" s="65"/>
    </row>
    <row r="34" spans="1:8" ht="36" customHeight="1" x14ac:dyDescent="0.3">
      <c r="A34" s="54"/>
      <c r="B34" s="76"/>
      <c r="C34" s="110"/>
      <c r="D34" s="117" t="s">
        <v>93</v>
      </c>
      <c r="E34" s="117"/>
      <c r="F34" s="73">
        <f>F32+F33</f>
        <v>13310</v>
      </c>
      <c r="G34" s="65"/>
    </row>
    <row r="35" spans="1:8" ht="14" x14ac:dyDescent="0.3">
      <c r="A35" s="54"/>
      <c r="B35" s="77"/>
      <c r="C35" s="65"/>
      <c r="D35" s="78"/>
      <c r="E35" s="78"/>
      <c r="F35" s="78"/>
      <c r="G35" s="79"/>
      <c r="H35" s="65"/>
    </row>
    <row r="36" spans="1:8" ht="14" x14ac:dyDescent="0.3">
      <c r="A36" s="54"/>
      <c r="B36" s="80"/>
      <c r="C36" s="81"/>
      <c r="D36" s="81"/>
      <c r="E36" s="81"/>
      <c r="F36" s="81"/>
      <c r="G36" s="81"/>
      <c r="H36" s="81"/>
    </row>
  </sheetData>
  <mergeCells count="3">
    <mergeCell ref="D32:E32"/>
    <mergeCell ref="J14:M14"/>
    <mergeCell ref="E6:F9"/>
  </mergeCells>
  <conditionalFormatting sqref="B16:F31">
    <cfRule type="cellIs" dxfId="18" priority="6" stopIfTrue="1" operator="equal">
      <formula>0</formula>
    </cfRule>
  </conditionalFormatting>
  <conditionalFormatting sqref="N16:N30">
    <cfRule type="iconSet" priority="1">
      <iconSet iconSet="3Flags">
        <cfvo type="percent" val="0"/>
        <cfvo type="num" val="0"/>
        <cfvo type="num" val="2"/>
      </iconSet>
    </cfRule>
  </conditionalFormatting>
  <dataValidations count="2">
    <dataValidation type="list" allowBlank="1" showInputMessage="1" showErrorMessage="1" sqref="C11" xr:uid="{59B4B744-4751-4CB9-8818-4E62D351A819}">
      <formula1>Cliente</formula1>
    </dataValidation>
    <dataValidation type="list" allowBlank="1" showInputMessage="1" showErrorMessage="1" sqref="C16:C30" xr:uid="{9D10F56A-8CBA-4ED9-94A8-C17C6EDD57ED}">
      <formula1>Producto</formula1>
    </dataValidation>
  </dataValidations>
  <pageMargins left="0.70866141732283472" right="0.70866141732283472" top="0.74803149606299213" bottom="0.74803149606299213" header="0.31496062992125984" footer="0.31496062992125984"/>
  <pageSetup paperSize="9" scale="67" orientation="portrait" r:id="rId1"/>
  <ignoredErrors>
    <ignoredError sqref="B16:B30 E16:F30"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I1000"/>
  <sheetViews>
    <sheetView showGridLines="0" zoomScale="110" zoomScaleNormal="110" workbookViewId="0">
      <selection activeCell="H9" sqref="H9"/>
    </sheetView>
  </sheetViews>
  <sheetFormatPr baseColWidth="10" defaultRowHeight="14.5" x14ac:dyDescent="0.35"/>
  <cols>
    <col min="1" max="1" width="2.7265625" customWidth="1"/>
    <col min="2" max="2" width="11.6328125" bestFit="1" customWidth="1"/>
    <col min="4" max="4" width="23.26953125" customWidth="1"/>
    <col min="5" max="5" width="21.453125" bestFit="1" customWidth="1"/>
    <col min="6" max="6" width="18.54296875" customWidth="1"/>
    <col min="7" max="7" width="34" customWidth="1"/>
    <col min="8" max="8" width="16.81640625" style="9" customWidth="1"/>
    <col min="9" max="9" width="20.90625" style="14" customWidth="1"/>
  </cols>
  <sheetData>
    <row r="1" spans="2:9" x14ac:dyDescent="0.35">
      <c r="I1"/>
    </row>
    <row r="2" spans="2:9" ht="57" customHeight="1" x14ac:dyDescent="0.35">
      <c r="B2" s="41"/>
      <c r="C2" s="41"/>
      <c r="D2" s="41"/>
      <c r="E2" s="41"/>
      <c r="F2" s="41"/>
      <c r="G2" s="41"/>
      <c r="H2" s="41"/>
      <c r="I2" s="41"/>
    </row>
    <row r="3" spans="2:9" x14ac:dyDescent="0.35">
      <c r="I3"/>
    </row>
    <row r="4" spans="2:9" ht="28.5" x14ac:dyDescent="0.35">
      <c r="B4" s="26" t="s">
        <v>109</v>
      </c>
      <c r="C4" s="39"/>
      <c r="D4" s="39"/>
      <c r="E4" s="39"/>
      <c r="F4" s="39"/>
      <c r="G4" s="39"/>
      <c r="H4" s="39"/>
      <c r="I4" s="39"/>
    </row>
    <row r="5" spans="2:9" ht="26.5" customHeight="1" x14ac:dyDescent="0.35">
      <c r="B5" s="27" t="s">
        <v>101</v>
      </c>
      <c r="C5" s="4"/>
      <c r="D5" s="4"/>
      <c r="E5" s="4"/>
      <c r="F5" s="4"/>
      <c r="G5" s="4"/>
      <c r="H5" s="10"/>
      <c r="I5" s="10"/>
    </row>
    <row r="6" spans="2:9" ht="28" customHeight="1" x14ac:dyDescent="0.35">
      <c r="B6" s="94" t="s">
        <v>7</v>
      </c>
      <c r="C6" s="94" t="s">
        <v>10</v>
      </c>
      <c r="D6" s="94" t="s">
        <v>32</v>
      </c>
      <c r="E6" s="94" t="s">
        <v>17</v>
      </c>
      <c r="F6" s="94" t="s">
        <v>30</v>
      </c>
      <c r="G6" s="94" t="s">
        <v>9</v>
      </c>
      <c r="H6" s="94" t="s">
        <v>2</v>
      </c>
      <c r="I6" s="95" t="s">
        <v>105</v>
      </c>
    </row>
    <row r="7" spans="2:9" ht="15" customHeight="1" x14ac:dyDescent="0.35">
      <c r="B7" s="96">
        <v>45575</v>
      </c>
      <c r="C7" s="97" t="str">
        <f>IF(B7="","",TEXT(B7,"Mmmm"))</f>
        <v>octubre</v>
      </c>
      <c r="D7" s="98" t="s">
        <v>108</v>
      </c>
      <c r="E7" s="98"/>
      <c r="F7" s="102" t="str">
        <f>IFERROR(INDEX(Lista_Precios[CÓDIGO],MATCH(Movimientos!$G7,Lista_Precios[PRODUCTO],0)),"")</f>
        <v>BC001</v>
      </c>
      <c r="G7" s="98" t="s">
        <v>45</v>
      </c>
      <c r="H7" s="99">
        <v>20</v>
      </c>
      <c r="I7" s="100"/>
    </row>
    <row r="8" spans="2:9" ht="15.5" x14ac:dyDescent="0.35">
      <c r="B8" s="96">
        <v>45576</v>
      </c>
      <c r="C8" s="102" t="str">
        <f t="shared" ref="C8:C9" si="0">IF(B8="","",TEXT(B8,"Mmmm"))</f>
        <v>octubre</v>
      </c>
      <c r="D8" s="98" t="s">
        <v>108</v>
      </c>
      <c r="E8" s="103"/>
      <c r="F8" s="102" t="str">
        <f>IFERROR(INDEX(Lista_Precios[CÓDIGO],MATCH(Movimientos!$G8,Lista_Precios[PRODUCTO],0)),"")</f>
        <v>BC002</v>
      </c>
      <c r="G8" s="103" t="s">
        <v>47</v>
      </c>
      <c r="H8" s="104">
        <v>30</v>
      </c>
      <c r="I8" s="93"/>
    </row>
    <row r="9" spans="2:9" ht="15.5" x14ac:dyDescent="0.35">
      <c r="B9" s="96">
        <v>45577</v>
      </c>
      <c r="C9" s="102" t="str">
        <f t="shared" si="0"/>
        <v>octubre</v>
      </c>
      <c r="D9" s="98" t="s">
        <v>108</v>
      </c>
      <c r="E9" s="103"/>
      <c r="F9" s="102" t="str">
        <f>IFERROR(INDEX(Lista_Precios[CÓDIGO],MATCH(Movimientos!$G9,Lista_Precios[PRODUCTO],0)),"")</f>
        <v>BF001</v>
      </c>
      <c r="G9" s="103" t="s">
        <v>63</v>
      </c>
      <c r="H9" s="104">
        <v>15</v>
      </c>
      <c r="I9" s="93"/>
    </row>
    <row r="10" spans="2:9" ht="15.5" x14ac:dyDescent="0.35">
      <c r="B10" s="96">
        <v>45578</v>
      </c>
      <c r="C10" s="102" t="str">
        <f t="shared" ref="C10:C37" si="1">IF(B10="","",TEXT(B10,"Mmmm"))</f>
        <v>octubre</v>
      </c>
      <c r="D10" s="98" t="s">
        <v>108</v>
      </c>
      <c r="E10" s="103"/>
      <c r="F10" s="102" t="str">
        <f>IFERROR(INDEX(Lista_Precios[CÓDIGO],MATCH(Movimientos!$G10,Lista_Precios[PRODUCTO],0)),"")</f>
        <v>AG001</v>
      </c>
      <c r="G10" s="103" t="s">
        <v>51</v>
      </c>
      <c r="H10" s="104">
        <v>20</v>
      </c>
      <c r="I10" s="93"/>
    </row>
    <row r="11" spans="2:9" ht="15.5" x14ac:dyDescent="0.35">
      <c r="B11" s="96">
        <v>45579</v>
      </c>
      <c r="C11" s="102" t="str">
        <f t="shared" si="1"/>
        <v>octubre</v>
      </c>
      <c r="D11" s="98" t="s">
        <v>108</v>
      </c>
      <c r="E11" s="103"/>
      <c r="F11" s="102" t="str">
        <f>IFERROR(INDEX(Lista_Precios[CÓDIGO],MATCH(Movimientos!$G11,Lista_Precios[PRODUCTO],0)),"")</f>
        <v>AG002</v>
      </c>
      <c r="G11" s="103" t="s">
        <v>53</v>
      </c>
      <c r="H11" s="104">
        <v>25</v>
      </c>
      <c r="I11" s="93"/>
    </row>
    <row r="12" spans="2:9" ht="15.5" x14ac:dyDescent="0.35">
      <c r="B12" s="96">
        <v>45580</v>
      </c>
      <c r="C12" s="102" t="str">
        <f t="shared" si="1"/>
        <v>octubre</v>
      </c>
      <c r="D12" s="98" t="s">
        <v>108</v>
      </c>
      <c r="E12" s="103"/>
      <c r="F12" s="102" t="str">
        <f>IFERROR(INDEX(Lista_Precios[CÓDIGO],MATCH(Movimientos!$G12,Lista_Precios[PRODUCTO],0)),"")</f>
        <v>AG003</v>
      </c>
      <c r="G12" s="103" t="s">
        <v>55</v>
      </c>
      <c r="H12" s="104">
        <v>30</v>
      </c>
      <c r="I12" s="93"/>
    </row>
    <row r="13" spans="2:9" ht="15.5" x14ac:dyDescent="0.35">
      <c r="B13" s="96">
        <v>45581</v>
      </c>
      <c r="C13" s="102" t="str">
        <f t="shared" si="1"/>
        <v>octubre</v>
      </c>
      <c r="D13" s="98" t="s">
        <v>108</v>
      </c>
      <c r="E13" s="103"/>
      <c r="F13" s="102" t="str">
        <f>IFERROR(INDEX(Lista_Precios[CÓDIGO],MATCH(Movimientos!$G13,Lista_Precios[PRODUCTO],0)),"")</f>
        <v>JN002</v>
      </c>
      <c r="G13" s="103" t="s">
        <v>59</v>
      </c>
      <c r="H13" s="104">
        <v>22</v>
      </c>
      <c r="I13" s="93"/>
    </row>
    <row r="14" spans="2:9" ht="15.5" x14ac:dyDescent="0.35">
      <c r="B14" s="101">
        <v>45586</v>
      </c>
      <c r="C14" s="102" t="str">
        <f t="shared" si="1"/>
        <v>octubre</v>
      </c>
      <c r="D14" s="103" t="s">
        <v>100</v>
      </c>
      <c r="E14" s="103" t="s">
        <v>104</v>
      </c>
      <c r="F14" s="102" t="str">
        <f>IFERROR(INDEX(Lista_Precios[CÓDIGO],MATCH(Movimientos!$G14,Lista_Precios[PRODUCTO],0)),"")</f>
        <v>AG002</v>
      </c>
      <c r="G14" s="103" t="s">
        <v>53</v>
      </c>
      <c r="H14" s="104">
        <v>-5</v>
      </c>
      <c r="I14" s="93">
        <v>1</v>
      </c>
    </row>
    <row r="15" spans="2:9" ht="15.5" x14ac:dyDescent="0.35">
      <c r="B15" s="101">
        <v>45586</v>
      </c>
      <c r="C15" s="102" t="str">
        <f t="shared" si="1"/>
        <v>octubre</v>
      </c>
      <c r="D15" s="103" t="s">
        <v>100</v>
      </c>
      <c r="E15" s="103" t="s">
        <v>104</v>
      </c>
      <c r="F15" s="102" t="str">
        <f>IFERROR(INDEX(Lista_Precios[CÓDIGO],MATCH(Movimientos!$G15,Lista_Precios[PRODUCTO],0)),"")</f>
        <v>BF001</v>
      </c>
      <c r="G15" s="103" t="s">
        <v>63</v>
      </c>
      <c r="H15" s="104">
        <v>-10</v>
      </c>
      <c r="I15" s="93">
        <v>1</v>
      </c>
    </row>
    <row r="16" spans="2:9" ht="15.5" x14ac:dyDescent="0.35">
      <c r="B16" s="101">
        <v>45586</v>
      </c>
      <c r="C16" s="102" t="str">
        <f t="shared" si="1"/>
        <v>octubre</v>
      </c>
      <c r="D16" s="103" t="s">
        <v>100</v>
      </c>
      <c r="E16" s="103" t="s">
        <v>104</v>
      </c>
      <c r="F16" s="102" t="str">
        <f>IFERROR(INDEX(Lista_Precios[CÓDIGO],MATCH(Movimientos!$G16,Lista_Precios[PRODUCTO],0)),"")</f>
        <v>AG001</v>
      </c>
      <c r="G16" s="103" t="s">
        <v>51</v>
      </c>
      <c r="H16" s="104">
        <v>-10</v>
      </c>
      <c r="I16" s="93">
        <v>1</v>
      </c>
    </row>
    <row r="17" spans="2:9" ht="15.5" x14ac:dyDescent="0.35">
      <c r="B17" s="101">
        <v>45587</v>
      </c>
      <c r="C17" s="102" t="str">
        <f t="shared" si="1"/>
        <v>octubre</v>
      </c>
      <c r="D17" s="103" t="s">
        <v>116</v>
      </c>
      <c r="E17" s="103"/>
      <c r="F17" s="102" t="str">
        <f>IFERROR(INDEX(Lista_Precios[CÓDIGO],MATCH(Movimientos!$G17,Lista_Precios[PRODUCTO],0)),"")</f>
        <v>JN002</v>
      </c>
      <c r="G17" s="103" t="s">
        <v>59</v>
      </c>
      <c r="H17" s="104">
        <v>100</v>
      </c>
      <c r="I17" s="93"/>
    </row>
    <row r="18" spans="2:9" ht="15.5" x14ac:dyDescent="0.35">
      <c r="B18" s="101"/>
      <c r="C18" s="102" t="str">
        <f t="shared" si="1"/>
        <v/>
      </c>
      <c r="D18" s="103"/>
      <c r="E18" s="103"/>
      <c r="F18" s="102" t="str">
        <f>IFERROR(INDEX(Lista_Precios[CÓDIGO],MATCH(Movimientos!$G18,Lista_Precios[PRODUCTO],0)),"")</f>
        <v/>
      </c>
      <c r="G18" s="103"/>
      <c r="H18" s="104"/>
      <c r="I18" s="93"/>
    </row>
    <row r="19" spans="2:9" ht="15.5" x14ac:dyDescent="0.35">
      <c r="B19" s="101"/>
      <c r="C19" s="102" t="str">
        <f t="shared" si="1"/>
        <v/>
      </c>
      <c r="D19" s="103"/>
      <c r="E19" s="103"/>
      <c r="F19" s="102" t="str">
        <f>IFERROR(INDEX(Lista_Precios[CÓDIGO],MATCH(Movimientos!$G19,Lista_Precios[PRODUCTO],0)),"")</f>
        <v/>
      </c>
      <c r="G19" s="103"/>
      <c r="H19" s="104"/>
      <c r="I19" s="93"/>
    </row>
    <row r="20" spans="2:9" ht="15.5" x14ac:dyDescent="0.35">
      <c r="B20" s="101"/>
      <c r="C20" s="102" t="str">
        <f t="shared" si="1"/>
        <v/>
      </c>
      <c r="D20" s="103"/>
      <c r="E20" s="103"/>
      <c r="F20" s="102" t="str">
        <f>IFERROR(INDEX(Lista_Precios[CÓDIGO],MATCH(Movimientos!$G20,Lista_Precios[PRODUCTO],0)),"")</f>
        <v/>
      </c>
      <c r="G20" s="103"/>
      <c r="H20" s="104"/>
      <c r="I20" s="93"/>
    </row>
    <row r="21" spans="2:9" ht="15.5" x14ac:dyDescent="0.35">
      <c r="B21" s="101"/>
      <c r="C21" s="102" t="str">
        <f t="shared" si="1"/>
        <v/>
      </c>
      <c r="D21" s="103"/>
      <c r="E21" s="103"/>
      <c r="F21" s="102" t="str">
        <f>IFERROR(INDEX(Lista_Precios[CÓDIGO],MATCH(Movimientos!$G21,Lista_Precios[PRODUCTO],0)),"")</f>
        <v/>
      </c>
      <c r="G21" s="103"/>
      <c r="H21" s="104"/>
      <c r="I21" s="93"/>
    </row>
    <row r="22" spans="2:9" ht="15.5" x14ac:dyDescent="0.35">
      <c r="B22" s="101"/>
      <c r="C22" s="102" t="str">
        <f t="shared" si="1"/>
        <v/>
      </c>
      <c r="D22" s="103"/>
      <c r="E22" s="103"/>
      <c r="F22" s="102" t="str">
        <f>IFERROR(INDEX(Lista_Precios[CÓDIGO],MATCH(Movimientos!$G22,Lista_Precios[PRODUCTO],0)),"")</f>
        <v/>
      </c>
      <c r="G22" s="103"/>
      <c r="H22" s="104"/>
      <c r="I22" s="93"/>
    </row>
    <row r="23" spans="2:9" ht="15.5" x14ac:dyDescent="0.35">
      <c r="B23" s="101"/>
      <c r="C23" s="102" t="str">
        <f t="shared" si="1"/>
        <v/>
      </c>
      <c r="D23" s="103"/>
      <c r="E23" s="103"/>
      <c r="F23" s="102" t="str">
        <f>IFERROR(INDEX(Lista_Precios[CÓDIGO],MATCH(Movimientos!$G23,Lista_Precios[PRODUCTO],0)),"")</f>
        <v/>
      </c>
      <c r="G23" s="103"/>
      <c r="H23" s="104"/>
      <c r="I23" s="93"/>
    </row>
    <row r="24" spans="2:9" ht="15.5" x14ac:dyDescent="0.35">
      <c r="B24" s="101"/>
      <c r="C24" s="102" t="str">
        <f t="shared" si="1"/>
        <v/>
      </c>
      <c r="D24" s="103"/>
      <c r="E24" s="103"/>
      <c r="F24" s="102" t="str">
        <f>IFERROR(INDEX(Lista_Precios[CÓDIGO],MATCH(Movimientos!$G24,Lista_Precios[PRODUCTO],0)),"")</f>
        <v/>
      </c>
      <c r="G24" s="103"/>
      <c r="H24" s="104"/>
      <c r="I24" s="93"/>
    </row>
    <row r="25" spans="2:9" ht="15.5" x14ac:dyDescent="0.35">
      <c r="B25" s="101"/>
      <c r="C25" s="102" t="str">
        <f t="shared" si="1"/>
        <v/>
      </c>
      <c r="D25" s="103"/>
      <c r="E25" s="103"/>
      <c r="F25" s="102" t="str">
        <f>IFERROR(INDEX(Lista_Precios[CÓDIGO],MATCH(Movimientos!$G25,Lista_Precios[PRODUCTO],0)),"")</f>
        <v/>
      </c>
      <c r="G25" s="103"/>
      <c r="H25" s="104"/>
      <c r="I25" s="93"/>
    </row>
    <row r="26" spans="2:9" ht="15.5" x14ac:dyDescent="0.35">
      <c r="B26" s="101"/>
      <c r="C26" s="102" t="str">
        <f t="shared" si="1"/>
        <v/>
      </c>
      <c r="D26" s="103"/>
      <c r="E26" s="103"/>
      <c r="F26" s="102" t="str">
        <f>IFERROR(INDEX(Lista_Precios[CÓDIGO],MATCH(Movimientos!$G26,Lista_Precios[PRODUCTO],0)),"")</f>
        <v/>
      </c>
      <c r="G26" s="103"/>
      <c r="H26" s="104"/>
      <c r="I26" s="93"/>
    </row>
    <row r="27" spans="2:9" ht="15.5" x14ac:dyDescent="0.35">
      <c r="B27" s="101"/>
      <c r="C27" s="102" t="str">
        <f t="shared" si="1"/>
        <v/>
      </c>
      <c r="D27" s="103"/>
      <c r="E27" s="103"/>
      <c r="F27" s="102" t="str">
        <f>IFERROR(INDEX(Lista_Precios[CÓDIGO],MATCH(Movimientos!$G27,Lista_Precios[PRODUCTO],0)),"")</f>
        <v/>
      </c>
      <c r="G27" s="103"/>
      <c r="H27" s="104"/>
      <c r="I27" s="93"/>
    </row>
    <row r="28" spans="2:9" ht="15.5" x14ac:dyDescent="0.35">
      <c r="B28" s="101"/>
      <c r="C28" s="102" t="str">
        <f t="shared" si="1"/>
        <v/>
      </c>
      <c r="D28" s="103"/>
      <c r="E28" s="103"/>
      <c r="F28" s="102" t="str">
        <f>IFERROR(INDEX(Lista_Precios[CÓDIGO],MATCH(Movimientos!$G28,Lista_Precios[PRODUCTO],0)),"")</f>
        <v/>
      </c>
      <c r="G28" s="103"/>
      <c r="H28" s="104"/>
      <c r="I28" s="93"/>
    </row>
    <row r="29" spans="2:9" ht="15.5" x14ac:dyDescent="0.35">
      <c r="B29" s="101"/>
      <c r="C29" s="102" t="str">
        <f t="shared" si="1"/>
        <v/>
      </c>
      <c r="D29" s="103"/>
      <c r="E29" s="103"/>
      <c r="F29" s="102" t="str">
        <f>IFERROR(INDEX(Lista_Precios[CÓDIGO],MATCH(Movimientos!$G29,Lista_Precios[PRODUCTO],0)),"")</f>
        <v/>
      </c>
      <c r="G29" s="103"/>
      <c r="H29" s="104"/>
      <c r="I29" s="93"/>
    </row>
    <row r="30" spans="2:9" ht="15.5" x14ac:dyDescent="0.35">
      <c r="B30" s="101"/>
      <c r="C30" s="102" t="str">
        <f t="shared" si="1"/>
        <v/>
      </c>
      <c r="D30" s="103"/>
      <c r="E30" s="103"/>
      <c r="F30" s="102" t="str">
        <f>IFERROR(INDEX(Lista_Precios[CÓDIGO],MATCH(Movimientos!$G30,Lista_Precios[PRODUCTO],0)),"")</f>
        <v/>
      </c>
      <c r="G30" s="103"/>
      <c r="H30" s="104"/>
      <c r="I30" s="93"/>
    </row>
    <row r="31" spans="2:9" ht="15.5" x14ac:dyDescent="0.35">
      <c r="B31" s="101"/>
      <c r="C31" s="102" t="str">
        <f t="shared" si="1"/>
        <v/>
      </c>
      <c r="D31" s="103"/>
      <c r="E31" s="103"/>
      <c r="F31" s="102" t="str">
        <f>IFERROR(INDEX(Lista_Precios[CÓDIGO],MATCH(Movimientos!$G31,Lista_Precios[PRODUCTO],0)),"")</f>
        <v/>
      </c>
      <c r="G31" s="103"/>
      <c r="H31" s="104"/>
      <c r="I31" s="93"/>
    </row>
    <row r="32" spans="2:9" ht="15.5" x14ac:dyDescent="0.35">
      <c r="B32" s="101"/>
      <c r="C32" s="102" t="str">
        <f t="shared" si="1"/>
        <v/>
      </c>
      <c r="D32" s="103"/>
      <c r="E32" s="103"/>
      <c r="F32" s="102" t="str">
        <f>IFERROR(INDEX(Lista_Precios[CÓDIGO],MATCH(Movimientos!$G32,Lista_Precios[PRODUCTO],0)),"")</f>
        <v/>
      </c>
      <c r="G32" s="103"/>
      <c r="H32" s="104"/>
      <c r="I32" s="93"/>
    </row>
    <row r="33" spans="2:9" ht="15.5" x14ac:dyDescent="0.35">
      <c r="B33" s="101"/>
      <c r="C33" s="102" t="str">
        <f t="shared" si="1"/>
        <v/>
      </c>
      <c r="D33" s="103"/>
      <c r="E33" s="103"/>
      <c r="F33" s="102" t="str">
        <f>IFERROR(INDEX(Lista_Precios[CÓDIGO],MATCH(Movimientos!$G33,Lista_Precios[PRODUCTO],0)),"")</f>
        <v/>
      </c>
      <c r="G33" s="103"/>
      <c r="H33" s="104"/>
      <c r="I33" s="93"/>
    </row>
    <row r="34" spans="2:9" ht="15.5" x14ac:dyDescent="0.35">
      <c r="B34" s="101"/>
      <c r="C34" s="102" t="str">
        <f t="shared" si="1"/>
        <v/>
      </c>
      <c r="D34" s="103"/>
      <c r="E34" s="103"/>
      <c r="F34" s="102" t="str">
        <f>IFERROR(INDEX(Lista_Precios[CÓDIGO],MATCH(Movimientos!$G34,Lista_Precios[PRODUCTO],0)),"")</f>
        <v/>
      </c>
      <c r="G34" s="103"/>
      <c r="H34" s="104"/>
      <c r="I34" s="93"/>
    </row>
    <row r="35" spans="2:9" ht="15.5" x14ac:dyDescent="0.35">
      <c r="B35" s="101"/>
      <c r="C35" s="102" t="str">
        <f t="shared" si="1"/>
        <v/>
      </c>
      <c r="D35" s="103"/>
      <c r="E35" s="103"/>
      <c r="F35" s="102" t="str">
        <f>IFERROR(INDEX(Lista_Precios[CÓDIGO],MATCH(Movimientos!$G35,Lista_Precios[PRODUCTO],0)),"")</f>
        <v/>
      </c>
      <c r="G35" s="103"/>
      <c r="H35" s="104"/>
      <c r="I35" s="93"/>
    </row>
    <row r="36" spans="2:9" ht="15.5" x14ac:dyDescent="0.35">
      <c r="B36" s="101"/>
      <c r="C36" s="102" t="str">
        <f t="shared" si="1"/>
        <v/>
      </c>
      <c r="D36" s="103"/>
      <c r="E36" s="103"/>
      <c r="F36" s="102" t="str">
        <f>IFERROR(INDEX(Lista_Precios[CÓDIGO],MATCH(Movimientos!$G36,Lista_Precios[PRODUCTO],0)),"")</f>
        <v/>
      </c>
      <c r="G36" s="103"/>
      <c r="H36" s="104"/>
      <c r="I36" s="93"/>
    </row>
    <row r="37" spans="2:9" ht="15.5" x14ac:dyDescent="0.35">
      <c r="B37" s="101"/>
      <c r="C37" s="102" t="str">
        <f t="shared" si="1"/>
        <v/>
      </c>
      <c r="D37" s="103"/>
      <c r="E37" s="103"/>
      <c r="F37" s="102" t="str">
        <f>IFERROR(INDEX(Lista_Precios[CÓDIGO],MATCH(Movimientos!$G37,Lista_Precios[PRODUCTO],0)),"")</f>
        <v/>
      </c>
      <c r="G37" s="103"/>
      <c r="H37" s="104"/>
      <c r="I37" s="93"/>
    </row>
    <row r="38" spans="2:9" ht="15.5" x14ac:dyDescent="0.35">
      <c r="B38" s="101"/>
      <c r="C38" s="102" t="str">
        <f>IF(B38="","",TEXT(B38,"Mmmm"))</f>
        <v/>
      </c>
      <c r="D38" s="103"/>
      <c r="E38" s="103"/>
      <c r="F38" s="102" t="str">
        <f>IFERROR(INDEX(Lista_Precios[CÓDIGO],MATCH(Movimientos!$G38,Lista_Precios[PRODUCTO],0)),"")</f>
        <v/>
      </c>
      <c r="G38" s="103"/>
      <c r="H38" s="104"/>
      <c r="I38" s="93"/>
    </row>
    <row r="39" spans="2:9" ht="15.5" x14ac:dyDescent="0.35">
      <c r="B39" s="101"/>
      <c r="C39" s="102" t="str">
        <f t="shared" ref="C39:C102" si="2">IF(B39="","",TEXT(B39,"Mmmm"))</f>
        <v/>
      </c>
      <c r="D39" s="103"/>
      <c r="E39" s="103"/>
      <c r="F39" s="102" t="str">
        <f>IFERROR(INDEX(Lista_Precios[CÓDIGO],MATCH(Movimientos!$G39,Lista_Precios[PRODUCTO],0)),"")</f>
        <v/>
      </c>
      <c r="G39" s="103"/>
      <c r="H39" s="104"/>
      <c r="I39" s="93"/>
    </row>
    <row r="40" spans="2:9" ht="15.5" x14ac:dyDescent="0.35">
      <c r="B40" s="105"/>
      <c r="C40" s="106" t="str">
        <f t="shared" si="2"/>
        <v/>
      </c>
      <c r="D40" s="107"/>
      <c r="E40" s="107"/>
      <c r="F40" s="106" t="str">
        <f>IFERROR(INDEX(Lista_Precios[CÓDIGO],MATCH(Movimientos!$G40,Lista_Precios[PRODUCTO],0)),"")</f>
        <v/>
      </c>
      <c r="G40" s="107"/>
      <c r="H40" s="108"/>
      <c r="I40" s="40"/>
    </row>
    <row r="41" spans="2:9" ht="15.5" x14ac:dyDescent="0.35">
      <c r="B41" s="105"/>
      <c r="C41" s="106" t="str">
        <f t="shared" si="2"/>
        <v/>
      </c>
      <c r="D41" s="107"/>
      <c r="E41" s="107"/>
      <c r="F41" s="106" t="str">
        <f>IFERROR(INDEX(Lista_Precios[CÓDIGO],MATCH(Movimientos!$G41,Lista_Precios[PRODUCTO],0)),"")</f>
        <v/>
      </c>
      <c r="G41" s="107"/>
      <c r="H41" s="108"/>
      <c r="I41" s="40"/>
    </row>
    <row r="42" spans="2:9" ht="15.5" x14ac:dyDescent="0.35">
      <c r="B42" s="105"/>
      <c r="C42" s="106" t="str">
        <f t="shared" si="2"/>
        <v/>
      </c>
      <c r="D42" s="107"/>
      <c r="E42" s="107"/>
      <c r="F42" s="106" t="str">
        <f>IFERROR(INDEX(Lista_Precios[CÓDIGO],MATCH(Movimientos!$G42,Lista_Precios[PRODUCTO],0)),"")</f>
        <v/>
      </c>
      <c r="G42" s="107"/>
      <c r="H42" s="108"/>
      <c r="I42" s="40"/>
    </row>
    <row r="43" spans="2:9" ht="15.5" x14ac:dyDescent="0.35">
      <c r="B43" s="105"/>
      <c r="C43" s="106" t="str">
        <f t="shared" si="2"/>
        <v/>
      </c>
      <c r="D43" s="107"/>
      <c r="E43" s="107"/>
      <c r="F43" s="106" t="str">
        <f>IFERROR(INDEX(Lista_Precios[CÓDIGO],MATCH(Movimientos!$G43,Lista_Precios[PRODUCTO],0)),"")</f>
        <v/>
      </c>
      <c r="G43" s="107"/>
      <c r="H43" s="108"/>
      <c r="I43" s="40"/>
    </row>
    <row r="44" spans="2:9" ht="15.5" x14ac:dyDescent="0.35">
      <c r="B44" s="105"/>
      <c r="C44" s="106" t="str">
        <f t="shared" si="2"/>
        <v/>
      </c>
      <c r="D44" s="107"/>
      <c r="E44" s="107"/>
      <c r="F44" s="106" t="str">
        <f>IFERROR(INDEX(Lista_Precios[CÓDIGO],MATCH(Movimientos!$G44,Lista_Precios[PRODUCTO],0)),"")</f>
        <v/>
      </c>
      <c r="G44" s="107"/>
      <c r="H44" s="108"/>
      <c r="I44" s="40"/>
    </row>
    <row r="45" spans="2:9" ht="15.5" x14ac:dyDescent="0.35">
      <c r="B45" s="105"/>
      <c r="C45" s="106" t="str">
        <f t="shared" si="2"/>
        <v/>
      </c>
      <c r="D45" s="107"/>
      <c r="E45" s="107"/>
      <c r="F45" s="106" t="str">
        <f>IFERROR(INDEX(Lista_Precios[CÓDIGO],MATCH(Movimientos!$G45,Lista_Precios[PRODUCTO],0)),"")</f>
        <v/>
      </c>
      <c r="G45" s="107"/>
      <c r="H45" s="108"/>
      <c r="I45" s="40"/>
    </row>
    <row r="46" spans="2:9" ht="15.5" x14ac:dyDescent="0.35">
      <c r="B46" s="105"/>
      <c r="C46" s="106" t="str">
        <f t="shared" si="2"/>
        <v/>
      </c>
      <c r="D46" s="107"/>
      <c r="E46" s="107"/>
      <c r="F46" s="106" t="str">
        <f>IFERROR(INDEX(Lista_Precios[CÓDIGO],MATCH(Movimientos!$G46,Lista_Precios[PRODUCTO],0)),"")</f>
        <v/>
      </c>
      <c r="G46" s="107"/>
      <c r="H46" s="108"/>
      <c r="I46" s="40"/>
    </row>
    <row r="47" spans="2:9" ht="15.5" x14ac:dyDescent="0.35">
      <c r="B47" s="105"/>
      <c r="C47" s="106" t="str">
        <f t="shared" si="2"/>
        <v/>
      </c>
      <c r="D47" s="107"/>
      <c r="E47" s="107"/>
      <c r="F47" s="106" t="str">
        <f>IFERROR(INDEX(Lista_Precios[CÓDIGO],MATCH(Movimientos!$G47,Lista_Precios[PRODUCTO],0)),"")</f>
        <v/>
      </c>
      <c r="G47" s="107"/>
      <c r="H47" s="108"/>
      <c r="I47" s="40"/>
    </row>
    <row r="48" spans="2:9" ht="15.5" x14ac:dyDescent="0.35">
      <c r="B48" s="105"/>
      <c r="C48" s="106" t="str">
        <f t="shared" si="2"/>
        <v/>
      </c>
      <c r="D48" s="107"/>
      <c r="E48" s="107"/>
      <c r="F48" s="106" t="str">
        <f>IFERROR(INDEX(Lista_Precios[CÓDIGO],MATCH(Movimientos!$G48,Lista_Precios[PRODUCTO],0)),"")</f>
        <v/>
      </c>
      <c r="G48" s="107"/>
      <c r="H48" s="108"/>
      <c r="I48" s="40"/>
    </row>
    <row r="49" spans="2:9" ht="15.5" x14ac:dyDescent="0.35">
      <c r="B49" s="105"/>
      <c r="C49" s="106" t="str">
        <f t="shared" si="2"/>
        <v/>
      </c>
      <c r="D49" s="107"/>
      <c r="E49" s="107"/>
      <c r="F49" s="106" t="str">
        <f>IFERROR(INDEX(Lista_Precios[CÓDIGO],MATCH(Movimientos!$G49,Lista_Precios[PRODUCTO],0)),"")</f>
        <v/>
      </c>
      <c r="G49" s="107"/>
      <c r="H49" s="108"/>
      <c r="I49" s="40"/>
    </row>
    <row r="50" spans="2:9" ht="15.5" x14ac:dyDescent="0.35">
      <c r="B50" s="105"/>
      <c r="C50" s="106" t="str">
        <f t="shared" si="2"/>
        <v/>
      </c>
      <c r="D50" s="107"/>
      <c r="E50" s="107"/>
      <c r="F50" s="106" t="str">
        <f>IFERROR(INDEX(Lista_Precios[CÓDIGO],MATCH(Movimientos!$G50,Lista_Precios[PRODUCTO],0)),"")</f>
        <v/>
      </c>
      <c r="G50" s="107"/>
      <c r="H50" s="108"/>
      <c r="I50" s="40"/>
    </row>
    <row r="51" spans="2:9" ht="15.5" x14ac:dyDescent="0.35">
      <c r="B51" s="105"/>
      <c r="C51" s="106" t="str">
        <f t="shared" si="2"/>
        <v/>
      </c>
      <c r="D51" s="107"/>
      <c r="E51" s="107"/>
      <c r="F51" s="106" t="str">
        <f>IFERROR(INDEX(Lista_Precios[CÓDIGO],MATCH(Movimientos!$G51,Lista_Precios[PRODUCTO],0)),"")</f>
        <v/>
      </c>
      <c r="G51" s="107"/>
      <c r="H51" s="108"/>
      <c r="I51" s="40"/>
    </row>
    <row r="52" spans="2:9" ht="15.5" x14ac:dyDescent="0.35">
      <c r="B52" s="105"/>
      <c r="C52" s="106" t="str">
        <f t="shared" si="2"/>
        <v/>
      </c>
      <c r="D52" s="107"/>
      <c r="E52" s="107"/>
      <c r="F52" s="106" t="str">
        <f>IFERROR(INDEX(Lista_Precios[CÓDIGO],MATCH(Movimientos!$G52,Lista_Precios[PRODUCTO],0)),"")</f>
        <v/>
      </c>
      <c r="G52" s="107"/>
      <c r="H52" s="108"/>
      <c r="I52" s="40"/>
    </row>
    <row r="53" spans="2:9" ht="15.5" x14ac:dyDescent="0.35">
      <c r="B53" s="105"/>
      <c r="C53" s="106" t="str">
        <f t="shared" si="2"/>
        <v/>
      </c>
      <c r="D53" s="107"/>
      <c r="E53" s="107"/>
      <c r="F53" s="106" t="str">
        <f>IFERROR(INDEX(Lista_Precios[CÓDIGO],MATCH(Movimientos!$G53,Lista_Precios[PRODUCTO],0)),"")</f>
        <v/>
      </c>
      <c r="G53" s="107"/>
      <c r="H53" s="108"/>
      <c r="I53" s="40"/>
    </row>
    <row r="54" spans="2:9" ht="15.5" x14ac:dyDescent="0.35">
      <c r="B54" s="105"/>
      <c r="C54" s="106" t="str">
        <f t="shared" si="2"/>
        <v/>
      </c>
      <c r="D54" s="107"/>
      <c r="E54" s="107"/>
      <c r="F54" s="106" t="str">
        <f>IFERROR(INDEX(Lista_Precios[CÓDIGO],MATCH(Movimientos!$G54,Lista_Precios[PRODUCTO],0)),"")</f>
        <v/>
      </c>
      <c r="G54" s="107"/>
      <c r="H54" s="108"/>
      <c r="I54" s="40"/>
    </row>
    <row r="55" spans="2:9" ht="15.5" x14ac:dyDescent="0.35">
      <c r="B55" s="105"/>
      <c r="C55" s="106" t="str">
        <f t="shared" si="2"/>
        <v/>
      </c>
      <c r="D55" s="107"/>
      <c r="E55" s="107"/>
      <c r="F55" s="106" t="str">
        <f>IFERROR(INDEX(Lista_Precios[CÓDIGO],MATCH(Movimientos!$G55,Lista_Precios[PRODUCTO],0)),"")</f>
        <v/>
      </c>
      <c r="G55" s="107"/>
      <c r="H55" s="108"/>
      <c r="I55" s="40"/>
    </row>
    <row r="56" spans="2:9" ht="15.5" x14ac:dyDescent="0.35">
      <c r="B56" s="105"/>
      <c r="C56" s="106" t="str">
        <f t="shared" si="2"/>
        <v/>
      </c>
      <c r="D56" s="107"/>
      <c r="E56" s="107"/>
      <c r="F56" s="106" t="str">
        <f>IFERROR(INDEX(Lista_Precios[CÓDIGO],MATCH(Movimientos!$G56,Lista_Precios[PRODUCTO],0)),"")</f>
        <v/>
      </c>
      <c r="G56" s="107"/>
      <c r="H56" s="108"/>
      <c r="I56" s="40"/>
    </row>
    <row r="57" spans="2:9" ht="15.5" x14ac:dyDescent="0.35">
      <c r="B57" s="105"/>
      <c r="C57" s="106" t="str">
        <f t="shared" si="2"/>
        <v/>
      </c>
      <c r="D57" s="107"/>
      <c r="E57" s="107"/>
      <c r="F57" s="106" t="str">
        <f>IFERROR(INDEX(Lista_Precios[CÓDIGO],MATCH(Movimientos!$G57,Lista_Precios[PRODUCTO],0)),"")</f>
        <v/>
      </c>
      <c r="G57" s="107"/>
      <c r="H57" s="108"/>
      <c r="I57" s="40"/>
    </row>
    <row r="58" spans="2:9" ht="15.5" x14ac:dyDescent="0.35">
      <c r="B58" s="105"/>
      <c r="C58" s="106" t="str">
        <f t="shared" si="2"/>
        <v/>
      </c>
      <c r="D58" s="107"/>
      <c r="E58" s="107"/>
      <c r="F58" s="106" t="str">
        <f>IFERROR(INDEX(Lista_Precios[CÓDIGO],MATCH(Movimientos!$G58,Lista_Precios[PRODUCTO],0)),"")</f>
        <v/>
      </c>
      <c r="G58" s="107"/>
      <c r="H58" s="108"/>
      <c r="I58" s="40"/>
    </row>
    <row r="59" spans="2:9" ht="15.5" x14ac:dyDescent="0.35">
      <c r="B59" s="105"/>
      <c r="C59" s="106" t="str">
        <f t="shared" si="2"/>
        <v/>
      </c>
      <c r="D59" s="107"/>
      <c r="E59" s="107"/>
      <c r="F59" s="106" t="str">
        <f>IFERROR(INDEX(Lista_Precios[CÓDIGO],MATCH(Movimientos!$G59,Lista_Precios[PRODUCTO],0)),"")</f>
        <v/>
      </c>
      <c r="G59" s="107"/>
      <c r="H59" s="108"/>
      <c r="I59" s="40"/>
    </row>
    <row r="60" spans="2:9" ht="15.5" x14ac:dyDescent="0.35">
      <c r="B60" s="105"/>
      <c r="C60" s="106" t="str">
        <f t="shared" si="2"/>
        <v/>
      </c>
      <c r="D60" s="107"/>
      <c r="E60" s="107"/>
      <c r="F60" s="106" t="str">
        <f>IFERROR(INDEX(Lista_Precios[CÓDIGO],MATCH(Movimientos!$G60,Lista_Precios[PRODUCTO],0)),"")</f>
        <v/>
      </c>
      <c r="G60" s="107"/>
      <c r="H60" s="108"/>
      <c r="I60" s="40"/>
    </row>
    <row r="61" spans="2:9" ht="15.5" x14ac:dyDescent="0.35">
      <c r="B61" s="105"/>
      <c r="C61" s="106" t="str">
        <f t="shared" si="2"/>
        <v/>
      </c>
      <c r="D61" s="107"/>
      <c r="E61" s="107"/>
      <c r="F61" s="106" t="str">
        <f>IFERROR(INDEX(Lista_Precios[CÓDIGO],MATCH(Movimientos!$G61,Lista_Precios[PRODUCTO],0)),"")</f>
        <v/>
      </c>
      <c r="G61" s="107"/>
      <c r="H61" s="108"/>
      <c r="I61" s="40"/>
    </row>
    <row r="62" spans="2:9" ht="15.5" x14ac:dyDescent="0.35">
      <c r="B62" s="105"/>
      <c r="C62" s="106" t="str">
        <f t="shared" si="2"/>
        <v/>
      </c>
      <c r="D62" s="107"/>
      <c r="E62" s="107"/>
      <c r="F62" s="106" t="str">
        <f>IFERROR(INDEX(Lista_Precios[CÓDIGO],MATCH(Movimientos!$G62,Lista_Precios[PRODUCTO],0)),"")</f>
        <v/>
      </c>
      <c r="G62" s="107"/>
      <c r="H62" s="108"/>
      <c r="I62" s="40"/>
    </row>
    <row r="63" spans="2:9" ht="15.5" x14ac:dyDescent="0.35">
      <c r="B63" s="105"/>
      <c r="C63" s="106" t="str">
        <f t="shared" si="2"/>
        <v/>
      </c>
      <c r="D63" s="107"/>
      <c r="E63" s="107"/>
      <c r="F63" s="106" t="str">
        <f>IFERROR(INDEX(Lista_Precios[CÓDIGO],MATCH(Movimientos!$G63,Lista_Precios[PRODUCTO],0)),"")</f>
        <v/>
      </c>
      <c r="G63" s="107"/>
      <c r="H63" s="108"/>
      <c r="I63" s="40"/>
    </row>
    <row r="64" spans="2:9" ht="15.5" x14ac:dyDescent="0.35">
      <c r="B64" s="105"/>
      <c r="C64" s="106" t="str">
        <f t="shared" si="2"/>
        <v/>
      </c>
      <c r="D64" s="107"/>
      <c r="E64" s="107"/>
      <c r="F64" s="106" t="str">
        <f>IFERROR(INDEX(Lista_Precios[CÓDIGO],MATCH(Movimientos!$G64,Lista_Precios[PRODUCTO],0)),"")</f>
        <v/>
      </c>
      <c r="G64" s="107"/>
      <c r="H64" s="108"/>
      <c r="I64" s="40"/>
    </row>
    <row r="65" spans="2:9" ht="15.5" x14ac:dyDescent="0.35">
      <c r="B65" s="105"/>
      <c r="C65" s="106" t="str">
        <f t="shared" si="2"/>
        <v/>
      </c>
      <c r="D65" s="107"/>
      <c r="E65" s="107"/>
      <c r="F65" s="106" t="str">
        <f>IFERROR(INDEX(Lista_Precios[CÓDIGO],MATCH(Movimientos!$G65,Lista_Precios[PRODUCTO],0)),"")</f>
        <v/>
      </c>
      <c r="G65" s="107"/>
      <c r="H65" s="108"/>
      <c r="I65" s="40"/>
    </row>
    <row r="66" spans="2:9" ht="15.5" x14ac:dyDescent="0.35">
      <c r="B66" s="105"/>
      <c r="C66" s="106" t="str">
        <f t="shared" si="2"/>
        <v/>
      </c>
      <c r="D66" s="107"/>
      <c r="E66" s="107"/>
      <c r="F66" s="106" t="str">
        <f>IFERROR(INDEX(Lista_Precios[CÓDIGO],MATCH(Movimientos!$G66,Lista_Precios[PRODUCTO],0)),"")</f>
        <v/>
      </c>
      <c r="G66" s="107"/>
      <c r="H66" s="108"/>
      <c r="I66" s="40"/>
    </row>
    <row r="67" spans="2:9" ht="15.5" x14ac:dyDescent="0.35">
      <c r="B67" s="105"/>
      <c r="C67" s="106" t="str">
        <f t="shared" si="2"/>
        <v/>
      </c>
      <c r="D67" s="107"/>
      <c r="E67" s="107"/>
      <c r="F67" s="106" t="str">
        <f>IFERROR(INDEX(Lista_Precios[CÓDIGO],MATCH(Movimientos!$G67,Lista_Precios[PRODUCTO],0)),"")</f>
        <v/>
      </c>
      <c r="G67" s="107"/>
      <c r="H67" s="108"/>
      <c r="I67" s="40"/>
    </row>
    <row r="68" spans="2:9" ht="15.5" x14ac:dyDescent="0.35">
      <c r="B68" s="105"/>
      <c r="C68" s="106" t="str">
        <f t="shared" si="2"/>
        <v/>
      </c>
      <c r="D68" s="107"/>
      <c r="E68" s="107"/>
      <c r="F68" s="106" t="str">
        <f>IFERROR(INDEX(Lista_Precios[CÓDIGO],MATCH(Movimientos!$G68,Lista_Precios[PRODUCTO],0)),"")</f>
        <v/>
      </c>
      <c r="G68" s="107"/>
      <c r="H68" s="108"/>
      <c r="I68" s="40"/>
    </row>
    <row r="69" spans="2:9" ht="15.5" x14ac:dyDescent="0.35">
      <c r="B69" s="105"/>
      <c r="C69" s="106" t="str">
        <f t="shared" si="2"/>
        <v/>
      </c>
      <c r="D69" s="107"/>
      <c r="E69" s="107"/>
      <c r="F69" s="106" t="str">
        <f>IFERROR(INDEX(Lista_Precios[CÓDIGO],MATCH(Movimientos!$G69,Lista_Precios[PRODUCTO],0)),"")</f>
        <v/>
      </c>
      <c r="G69" s="107"/>
      <c r="H69" s="108"/>
      <c r="I69" s="40"/>
    </row>
    <row r="70" spans="2:9" ht="15.5" x14ac:dyDescent="0.35">
      <c r="B70" s="105"/>
      <c r="C70" s="106" t="str">
        <f t="shared" si="2"/>
        <v/>
      </c>
      <c r="D70" s="107"/>
      <c r="E70" s="107"/>
      <c r="F70" s="106" t="str">
        <f>IFERROR(INDEX(Lista_Precios[CÓDIGO],MATCH(Movimientos!$G70,Lista_Precios[PRODUCTO],0)),"")</f>
        <v/>
      </c>
      <c r="G70" s="107"/>
      <c r="H70" s="108"/>
      <c r="I70" s="40"/>
    </row>
    <row r="71" spans="2:9" ht="15.5" x14ac:dyDescent="0.35">
      <c r="B71" s="105"/>
      <c r="C71" s="106" t="str">
        <f t="shared" si="2"/>
        <v/>
      </c>
      <c r="D71" s="107"/>
      <c r="E71" s="107"/>
      <c r="F71" s="106" t="str">
        <f>IFERROR(INDEX(Lista_Precios[CÓDIGO],MATCH(Movimientos!$G71,Lista_Precios[PRODUCTO],0)),"")</f>
        <v/>
      </c>
      <c r="G71" s="107"/>
      <c r="H71" s="108"/>
      <c r="I71" s="40"/>
    </row>
    <row r="72" spans="2:9" ht="15.5" x14ac:dyDescent="0.35">
      <c r="B72" s="105"/>
      <c r="C72" s="106" t="str">
        <f t="shared" si="2"/>
        <v/>
      </c>
      <c r="D72" s="107"/>
      <c r="E72" s="107"/>
      <c r="F72" s="106" t="str">
        <f>IFERROR(INDEX(Lista_Precios[CÓDIGO],MATCH(Movimientos!$G72,Lista_Precios[PRODUCTO],0)),"")</f>
        <v/>
      </c>
      <c r="G72" s="107"/>
      <c r="H72" s="108"/>
      <c r="I72" s="40"/>
    </row>
    <row r="73" spans="2:9" ht="15.5" x14ac:dyDescent="0.35">
      <c r="B73" s="105"/>
      <c r="C73" s="106" t="str">
        <f t="shared" si="2"/>
        <v/>
      </c>
      <c r="D73" s="107"/>
      <c r="E73" s="107"/>
      <c r="F73" s="106" t="str">
        <f>IFERROR(INDEX(Lista_Precios[CÓDIGO],MATCH(Movimientos!$G73,Lista_Precios[PRODUCTO],0)),"")</f>
        <v/>
      </c>
      <c r="G73" s="107"/>
      <c r="H73" s="108"/>
      <c r="I73" s="40"/>
    </row>
    <row r="74" spans="2:9" ht="15.5" x14ac:dyDescent="0.35">
      <c r="B74" s="105"/>
      <c r="C74" s="106" t="str">
        <f t="shared" si="2"/>
        <v/>
      </c>
      <c r="D74" s="107"/>
      <c r="E74" s="107"/>
      <c r="F74" s="106" t="str">
        <f>IFERROR(INDEX(Lista_Precios[CÓDIGO],MATCH(Movimientos!$G74,Lista_Precios[PRODUCTO],0)),"")</f>
        <v/>
      </c>
      <c r="G74" s="107"/>
      <c r="H74" s="108"/>
      <c r="I74" s="40"/>
    </row>
    <row r="75" spans="2:9" ht="15.5" x14ac:dyDescent="0.35">
      <c r="B75" s="105"/>
      <c r="C75" s="106" t="str">
        <f t="shared" si="2"/>
        <v/>
      </c>
      <c r="D75" s="107"/>
      <c r="E75" s="107"/>
      <c r="F75" s="106" t="str">
        <f>IFERROR(INDEX(Lista_Precios[CÓDIGO],MATCH(Movimientos!$G75,Lista_Precios[PRODUCTO],0)),"")</f>
        <v/>
      </c>
      <c r="G75" s="107"/>
      <c r="H75" s="108"/>
      <c r="I75" s="40"/>
    </row>
    <row r="76" spans="2:9" ht="15.5" x14ac:dyDescent="0.35">
      <c r="B76" s="105"/>
      <c r="C76" s="106" t="str">
        <f t="shared" si="2"/>
        <v/>
      </c>
      <c r="D76" s="107"/>
      <c r="E76" s="107"/>
      <c r="F76" s="106" t="str">
        <f>IFERROR(INDEX(Lista_Precios[CÓDIGO],MATCH(Movimientos!$G76,Lista_Precios[PRODUCTO],0)),"")</f>
        <v/>
      </c>
      <c r="G76" s="107"/>
      <c r="H76" s="108"/>
      <c r="I76" s="40"/>
    </row>
    <row r="77" spans="2:9" ht="15.5" x14ac:dyDescent="0.35">
      <c r="B77" s="105"/>
      <c r="C77" s="106" t="str">
        <f t="shared" si="2"/>
        <v/>
      </c>
      <c r="D77" s="107"/>
      <c r="E77" s="107"/>
      <c r="F77" s="106" t="str">
        <f>IFERROR(INDEX(Lista_Precios[CÓDIGO],MATCH(Movimientos!$G77,Lista_Precios[PRODUCTO],0)),"")</f>
        <v/>
      </c>
      <c r="G77" s="107"/>
      <c r="H77" s="108"/>
      <c r="I77" s="40"/>
    </row>
    <row r="78" spans="2:9" ht="15.5" x14ac:dyDescent="0.35">
      <c r="B78" s="105"/>
      <c r="C78" s="106" t="str">
        <f t="shared" si="2"/>
        <v/>
      </c>
      <c r="D78" s="107"/>
      <c r="E78" s="107"/>
      <c r="F78" s="106" t="str">
        <f>IFERROR(INDEX(Lista_Precios[CÓDIGO],MATCH(Movimientos!$G78,Lista_Precios[PRODUCTO],0)),"")</f>
        <v/>
      </c>
      <c r="G78" s="107"/>
      <c r="H78" s="108"/>
      <c r="I78" s="40"/>
    </row>
    <row r="79" spans="2:9" ht="15.5" x14ac:dyDescent="0.35">
      <c r="B79" s="105"/>
      <c r="C79" s="106" t="str">
        <f t="shared" si="2"/>
        <v/>
      </c>
      <c r="D79" s="107"/>
      <c r="E79" s="107"/>
      <c r="F79" s="106" t="str">
        <f>IFERROR(INDEX(Lista_Precios[CÓDIGO],MATCH(Movimientos!$G79,Lista_Precios[PRODUCTO],0)),"")</f>
        <v/>
      </c>
      <c r="G79" s="107"/>
      <c r="H79" s="108"/>
      <c r="I79" s="40"/>
    </row>
    <row r="80" spans="2:9" ht="15.5" x14ac:dyDescent="0.35">
      <c r="B80" s="105"/>
      <c r="C80" s="106" t="str">
        <f t="shared" si="2"/>
        <v/>
      </c>
      <c r="D80" s="107"/>
      <c r="E80" s="107"/>
      <c r="F80" s="106" t="str">
        <f>IFERROR(INDEX(Lista_Precios[CÓDIGO],MATCH(Movimientos!$G80,Lista_Precios[PRODUCTO],0)),"")</f>
        <v/>
      </c>
      <c r="G80" s="107"/>
      <c r="H80" s="108"/>
      <c r="I80" s="40"/>
    </row>
    <row r="81" spans="2:9" ht="15.5" x14ac:dyDescent="0.35">
      <c r="B81" s="105"/>
      <c r="C81" s="106" t="str">
        <f t="shared" si="2"/>
        <v/>
      </c>
      <c r="D81" s="107"/>
      <c r="E81" s="107"/>
      <c r="F81" s="106" t="str">
        <f>IFERROR(INDEX(Lista_Precios[CÓDIGO],MATCH(Movimientos!$G81,Lista_Precios[PRODUCTO],0)),"")</f>
        <v/>
      </c>
      <c r="G81" s="107"/>
      <c r="H81" s="108"/>
      <c r="I81" s="40"/>
    </row>
    <row r="82" spans="2:9" ht="15.5" x14ac:dyDescent="0.35">
      <c r="B82" s="105"/>
      <c r="C82" s="106" t="str">
        <f t="shared" si="2"/>
        <v/>
      </c>
      <c r="D82" s="107"/>
      <c r="E82" s="107"/>
      <c r="F82" s="106" t="str">
        <f>IFERROR(INDEX(Lista_Precios[CÓDIGO],MATCH(Movimientos!$G82,Lista_Precios[PRODUCTO],0)),"")</f>
        <v/>
      </c>
      <c r="G82" s="107"/>
      <c r="H82" s="108"/>
      <c r="I82" s="40"/>
    </row>
    <row r="83" spans="2:9" ht="15.5" x14ac:dyDescent="0.35">
      <c r="B83" s="105"/>
      <c r="C83" s="106" t="str">
        <f t="shared" si="2"/>
        <v/>
      </c>
      <c r="D83" s="107"/>
      <c r="E83" s="107"/>
      <c r="F83" s="106" t="str">
        <f>IFERROR(INDEX(Lista_Precios[CÓDIGO],MATCH(Movimientos!$G83,Lista_Precios[PRODUCTO],0)),"")</f>
        <v/>
      </c>
      <c r="G83" s="107"/>
      <c r="H83" s="108"/>
      <c r="I83" s="40"/>
    </row>
    <row r="84" spans="2:9" ht="15.5" x14ac:dyDescent="0.35">
      <c r="B84" s="105"/>
      <c r="C84" s="106" t="str">
        <f t="shared" si="2"/>
        <v/>
      </c>
      <c r="D84" s="107"/>
      <c r="E84" s="107"/>
      <c r="F84" s="106" t="str">
        <f>IFERROR(INDEX(Lista_Precios[CÓDIGO],MATCH(Movimientos!$G84,Lista_Precios[PRODUCTO],0)),"")</f>
        <v/>
      </c>
      <c r="G84" s="107"/>
      <c r="H84" s="108"/>
      <c r="I84" s="40"/>
    </row>
    <row r="85" spans="2:9" ht="15.5" x14ac:dyDescent="0.35">
      <c r="B85" s="105"/>
      <c r="C85" s="106" t="str">
        <f t="shared" si="2"/>
        <v/>
      </c>
      <c r="D85" s="107"/>
      <c r="E85" s="107"/>
      <c r="F85" s="106" t="str">
        <f>IFERROR(INDEX(Lista_Precios[CÓDIGO],MATCH(Movimientos!$G85,Lista_Precios[PRODUCTO],0)),"")</f>
        <v/>
      </c>
      <c r="G85" s="107"/>
      <c r="H85" s="108"/>
      <c r="I85" s="40"/>
    </row>
    <row r="86" spans="2:9" ht="15.5" x14ac:dyDescent="0.35">
      <c r="B86" s="105"/>
      <c r="C86" s="106" t="str">
        <f t="shared" si="2"/>
        <v/>
      </c>
      <c r="D86" s="107"/>
      <c r="E86" s="107"/>
      <c r="F86" s="106" t="str">
        <f>IFERROR(INDEX(Lista_Precios[CÓDIGO],MATCH(Movimientos!$G86,Lista_Precios[PRODUCTO],0)),"")</f>
        <v/>
      </c>
      <c r="G86" s="107"/>
      <c r="H86" s="108"/>
      <c r="I86" s="40"/>
    </row>
    <row r="87" spans="2:9" ht="15.5" x14ac:dyDescent="0.35">
      <c r="B87" s="105"/>
      <c r="C87" s="106" t="str">
        <f t="shared" si="2"/>
        <v/>
      </c>
      <c r="D87" s="107"/>
      <c r="E87" s="107"/>
      <c r="F87" s="106" t="str">
        <f>IFERROR(INDEX(Lista_Precios[CÓDIGO],MATCH(Movimientos!$G87,Lista_Precios[PRODUCTO],0)),"")</f>
        <v/>
      </c>
      <c r="G87" s="107"/>
      <c r="H87" s="108"/>
      <c r="I87" s="40"/>
    </row>
    <row r="88" spans="2:9" ht="15.5" x14ac:dyDescent="0.35">
      <c r="B88" s="105"/>
      <c r="C88" s="106" t="str">
        <f t="shared" si="2"/>
        <v/>
      </c>
      <c r="D88" s="107"/>
      <c r="E88" s="107"/>
      <c r="F88" s="106" t="str">
        <f>IFERROR(INDEX(Lista_Precios[CÓDIGO],MATCH(Movimientos!$G88,Lista_Precios[PRODUCTO],0)),"")</f>
        <v/>
      </c>
      <c r="G88" s="107"/>
      <c r="H88" s="108"/>
      <c r="I88" s="40"/>
    </row>
    <row r="89" spans="2:9" ht="15.5" x14ac:dyDescent="0.35">
      <c r="B89" s="105"/>
      <c r="C89" s="106" t="str">
        <f t="shared" si="2"/>
        <v/>
      </c>
      <c r="D89" s="107"/>
      <c r="E89" s="107"/>
      <c r="F89" s="106" t="str">
        <f>IFERROR(INDEX(Lista_Precios[CÓDIGO],MATCH(Movimientos!$G89,Lista_Precios[PRODUCTO],0)),"")</f>
        <v/>
      </c>
      <c r="G89" s="107"/>
      <c r="H89" s="108"/>
      <c r="I89" s="40"/>
    </row>
    <row r="90" spans="2:9" ht="15.5" x14ac:dyDescent="0.35">
      <c r="B90" s="105"/>
      <c r="C90" s="106" t="str">
        <f t="shared" si="2"/>
        <v/>
      </c>
      <c r="D90" s="107"/>
      <c r="E90" s="107"/>
      <c r="F90" s="106" t="str">
        <f>IFERROR(INDEX(Lista_Precios[CÓDIGO],MATCH(Movimientos!$G90,Lista_Precios[PRODUCTO],0)),"")</f>
        <v/>
      </c>
      <c r="G90" s="107"/>
      <c r="H90" s="108"/>
      <c r="I90" s="40"/>
    </row>
    <row r="91" spans="2:9" ht="15.5" x14ac:dyDescent="0.35">
      <c r="B91" s="105"/>
      <c r="C91" s="106" t="str">
        <f t="shared" si="2"/>
        <v/>
      </c>
      <c r="D91" s="107"/>
      <c r="E91" s="107"/>
      <c r="F91" s="106" t="str">
        <f>IFERROR(INDEX(Lista_Precios[CÓDIGO],MATCH(Movimientos!$G91,Lista_Precios[PRODUCTO],0)),"")</f>
        <v/>
      </c>
      <c r="G91" s="107"/>
      <c r="H91" s="108"/>
      <c r="I91" s="40"/>
    </row>
    <row r="92" spans="2:9" ht="15.5" x14ac:dyDescent="0.35">
      <c r="B92" s="105"/>
      <c r="C92" s="106" t="str">
        <f t="shared" si="2"/>
        <v/>
      </c>
      <c r="D92" s="107"/>
      <c r="E92" s="107"/>
      <c r="F92" s="106" t="str">
        <f>IFERROR(INDEX(Lista_Precios[CÓDIGO],MATCH(Movimientos!$G92,Lista_Precios[PRODUCTO],0)),"")</f>
        <v/>
      </c>
      <c r="G92" s="107"/>
      <c r="H92" s="108"/>
      <c r="I92" s="40"/>
    </row>
    <row r="93" spans="2:9" ht="15.5" x14ac:dyDescent="0.35">
      <c r="B93" s="105"/>
      <c r="C93" s="106" t="str">
        <f t="shared" si="2"/>
        <v/>
      </c>
      <c r="D93" s="107"/>
      <c r="E93" s="107"/>
      <c r="F93" s="106" t="str">
        <f>IFERROR(INDEX(Lista_Precios[CÓDIGO],MATCH(Movimientos!$G93,Lista_Precios[PRODUCTO],0)),"")</f>
        <v/>
      </c>
      <c r="G93" s="107"/>
      <c r="H93" s="108"/>
      <c r="I93" s="40"/>
    </row>
    <row r="94" spans="2:9" ht="15.5" x14ac:dyDescent="0.35">
      <c r="B94" s="105"/>
      <c r="C94" s="106" t="str">
        <f t="shared" si="2"/>
        <v/>
      </c>
      <c r="D94" s="107"/>
      <c r="E94" s="107"/>
      <c r="F94" s="106" t="str">
        <f>IFERROR(INDEX(Lista_Precios[CÓDIGO],MATCH(Movimientos!$G94,Lista_Precios[PRODUCTO],0)),"")</f>
        <v/>
      </c>
      <c r="G94" s="107"/>
      <c r="H94" s="108"/>
      <c r="I94" s="40"/>
    </row>
    <row r="95" spans="2:9" ht="15.5" x14ac:dyDescent="0.35">
      <c r="B95" s="105"/>
      <c r="C95" s="106" t="str">
        <f t="shared" si="2"/>
        <v/>
      </c>
      <c r="D95" s="107"/>
      <c r="E95" s="107"/>
      <c r="F95" s="106" t="str">
        <f>IFERROR(INDEX(Lista_Precios[CÓDIGO],MATCH(Movimientos!$G95,Lista_Precios[PRODUCTO],0)),"")</f>
        <v/>
      </c>
      <c r="G95" s="107"/>
      <c r="H95" s="108"/>
      <c r="I95" s="40"/>
    </row>
    <row r="96" spans="2:9" ht="15.5" x14ac:dyDescent="0.35">
      <c r="B96" s="105"/>
      <c r="C96" s="106" t="str">
        <f t="shared" si="2"/>
        <v/>
      </c>
      <c r="D96" s="107"/>
      <c r="E96" s="107"/>
      <c r="F96" s="106" t="str">
        <f>IFERROR(INDEX(Lista_Precios[CÓDIGO],MATCH(Movimientos!$G96,Lista_Precios[PRODUCTO],0)),"")</f>
        <v/>
      </c>
      <c r="G96" s="107"/>
      <c r="H96" s="108"/>
      <c r="I96" s="40"/>
    </row>
    <row r="97" spans="2:9" ht="15.5" x14ac:dyDescent="0.35">
      <c r="B97" s="105"/>
      <c r="C97" s="106" t="str">
        <f t="shared" si="2"/>
        <v/>
      </c>
      <c r="D97" s="107"/>
      <c r="E97" s="107"/>
      <c r="F97" s="106" t="str">
        <f>IFERROR(INDEX(Lista_Precios[CÓDIGO],MATCH(Movimientos!$G97,Lista_Precios[PRODUCTO],0)),"")</f>
        <v/>
      </c>
      <c r="G97" s="107"/>
      <c r="H97" s="108"/>
      <c r="I97" s="40"/>
    </row>
    <row r="98" spans="2:9" ht="15.5" x14ac:dyDescent="0.35">
      <c r="B98" s="105"/>
      <c r="C98" s="106" t="str">
        <f t="shared" si="2"/>
        <v/>
      </c>
      <c r="D98" s="107"/>
      <c r="E98" s="107"/>
      <c r="F98" s="106" t="str">
        <f>IFERROR(INDEX(Lista_Precios[CÓDIGO],MATCH(Movimientos!$G98,Lista_Precios[PRODUCTO],0)),"")</f>
        <v/>
      </c>
      <c r="G98" s="107"/>
      <c r="H98" s="108"/>
      <c r="I98" s="40"/>
    </row>
    <row r="99" spans="2:9" ht="15.5" x14ac:dyDescent="0.35">
      <c r="B99" s="105"/>
      <c r="C99" s="106" t="str">
        <f t="shared" si="2"/>
        <v/>
      </c>
      <c r="D99" s="107"/>
      <c r="E99" s="107"/>
      <c r="F99" s="106" t="str">
        <f>IFERROR(INDEX(Lista_Precios[CÓDIGO],MATCH(Movimientos!$G99,Lista_Precios[PRODUCTO],0)),"")</f>
        <v/>
      </c>
      <c r="G99" s="107"/>
      <c r="H99" s="108"/>
      <c r="I99" s="40"/>
    </row>
    <row r="100" spans="2:9" ht="15.5" x14ac:dyDescent="0.35">
      <c r="B100" s="105"/>
      <c r="C100" s="106" t="str">
        <f t="shared" si="2"/>
        <v/>
      </c>
      <c r="D100" s="107"/>
      <c r="E100" s="107"/>
      <c r="F100" s="106" t="str">
        <f>IFERROR(INDEX(Lista_Precios[CÓDIGO],MATCH(Movimientos!$G100,Lista_Precios[PRODUCTO],0)),"")</f>
        <v/>
      </c>
      <c r="G100" s="107"/>
      <c r="H100" s="108"/>
      <c r="I100" s="40"/>
    </row>
    <row r="101" spans="2:9" ht="15.5" x14ac:dyDescent="0.35">
      <c r="B101" s="105"/>
      <c r="C101" s="106" t="str">
        <f t="shared" si="2"/>
        <v/>
      </c>
      <c r="D101" s="107"/>
      <c r="E101" s="107"/>
      <c r="F101" s="106" t="str">
        <f>IFERROR(INDEX(Lista_Precios[CÓDIGO],MATCH(Movimientos!$G101,Lista_Precios[PRODUCTO],0)),"")</f>
        <v/>
      </c>
      <c r="G101" s="107"/>
      <c r="H101" s="108"/>
      <c r="I101" s="40"/>
    </row>
    <row r="102" spans="2:9" ht="15.5" x14ac:dyDescent="0.35">
      <c r="B102" s="105"/>
      <c r="C102" s="106" t="str">
        <f t="shared" si="2"/>
        <v/>
      </c>
      <c r="D102" s="107"/>
      <c r="E102" s="107"/>
      <c r="F102" s="106" t="str">
        <f>IFERROR(INDEX(Lista_Precios[CÓDIGO],MATCH(Movimientos!$G102,Lista_Precios[PRODUCTO],0)),"")</f>
        <v/>
      </c>
      <c r="G102" s="107"/>
      <c r="H102" s="108"/>
      <c r="I102" s="40"/>
    </row>
    <row r="103" spans="2:9" ht="15.5" x14ac:dyDescent="0.35">
      <c r="B103" s="105"/>
      <c r="C103" s="106" t="str">
        <f t="shared" ref="C103:C166" si="3">IF(B103="","",TEXT(B103,"Mmmm"))</f>
        <v/>
      </c>
      <c r="D103" s="107"/>
      <c r="E103" s="107"/>
      <c r="F103" s="106" t="str">
        <f>IFERROR(INDEX(Lista_Precios[CÓDIGO],MATCH(Movimientos!$G103,Lista_Precios[PRODUCTO],0)),"")</f>
        <v/>
      </c>
      <c r="G103" s="107"/>
      <c r="H103" s="108"/>
      <c r="I103" s="40"/>
    </row>
    <row r="104" spans="2:9" ht="15.5" x14ac:dyDescent="0.35">
      <c r="B104" s="105"/>
      <c r="C104" s="106" t="str">
        <f t="shared" si="3"/>
        <v/>
      </c>
      <c r="D104" s="107"/>
      <c r="E104" s="107"/>
      <c r="F104" s="106" t="str">
        <f>IFERROR(INDEX(Lista_Precios[CÓDIGO],MATCH(Movimientos!$G104,Lista_Precios[PRODUCTO],0)),"")</f>
        <v/>
      </c>
      <c r="G104" s="107"/>
      <c r="H104" s="108"/>
      <c r="I104" s="40"/>
    </row>
    <row r="105" spans="2:9" ht="15.5" x14ac:dyDescent="0.35">
      <c r="B105" s="105"/>
      <c r="C105" s="106" t="str">
        <f t="shared" si="3"/>
        <v/>
      </c>
      <c r="D105" s="107"/>
      <c r="E105" s="107"/>
      <c r="F105" s="106" t="str">
        <f>IFERROR(INDEX(Lista_Precios[CÓDIGO],MATCH(Movimientos!$G105,Lista_Precios[PRODUCTO],0)),"")</f>
        <v/>
      </c>
      <c r="G105" s="107"/>
      <c r="H105" s="108"/>
      <c r="I105" s="40"/>
    </row>
    <row r="106" spans="2:9" ht="15.5" x14ac:dyDescent="0.35">
      <c r="B106" s="105"/>
      <c r="C106" s="106" t="str">
        <f t="shared" si="3"/>
        <v/>
      </c>
      <c r="D106" s="107"/>
      <c r="E106" s="107"/>
      <c r="F106" s="106" t="str">
        <f>IFERROR(INDEX(Lista_Precios[CÓDIGO],MATCH(Movimientos!$G106,Lista_Precios[PRODUCTO],0)),"")</f>
        <v/>
      </c>
      <c r="G106" s="107"/>
      <c r="H106" s="108"/>
      <c r="I106" s="40"/>
    </row>
    <row r="107" spans="2:9" ht="15.5" x14ac:dyDescent="0.35">
      <c r="B107" s="105"/>
      <c r="C107" s="106" t="str">
        <f t="shared" si="3"/>
        <v/>
      </c>
      <c r="D107" s="107"/>
      <c r="E107" s="107"/>
      <c r="F107" s="106" t="str">
        <f>IFERROR(INDEX(Lista_Precios[CÓDIGO],MATCH(Movimientos!$G107,Lista_Precios[PRODUCTO],0)),"")</f>
        <v/>
      </c>
      <c r="G107" s="107"/>
      <c r="H107" s="108"/>
      <c r="I107" s="40"/>
    </row>
    <row r="108" spans="2:9" ht="15.5" x14ac:dyDescent="0.35">
      <c r="B108" s="105"/>
      <c r="C108" s="106" t="str">
        <f t="shared" si="3"/>
        <v/>
      </c>
      <c r="D108" s="107"/>
      <c r="E108" s="107"/>
      <c r="F108" s="106" t="str">
        <f>IFERROR(INDEX(Lista_Precios[CÓDIGO],MATCH(Movimientos!$G108,Lista_Precios[PRODUCTO],0)),"")</f>
        <v/>
      </c>
      <c r="G108" s="107"/>
      <c r="H108" s="108"/>
      <c r="I108" s="40"/>
    </row>
    <row r="109" spans="2:9" ht="15.5" x14ac:dyDescent="0.35">
      <c r="B109" s="105"/>
      <c r="C109" s="106" t="str">
        <f t="shared" si="3"/>
        <v/>
      </c>
      <c r="D109" s="107"/>
      <c r="E109" s="107"/>
      <c r="F109" s="106" t="str">
        <f>IFERROR(INDEX(Lista_Precios[CÓDIGO],MATCH(Movimientos!$G109,Lista_Precios[PRODUCTO],0)),"")</f>
        <v/>
      </c>
      <c r="G109" s="107"/>
      <c r="H109" s="108"/>
      <c r="I109" s="40"/>
    </row>
    <row r="110" spans="2:9" ht="15.5" x14ac:dyDescent="0.35">
      <c r="B110" s="105"/>
      <c r="C110" s="106" t="str">
        <f t="shared" si="3"/>
        <v/>
      </c>
      <c r="D110" s="107"/>
      <c r="E110" s="107"/>
      <c r="F110" s="106" t="str">
        <f>IFERROR(INDEX(Lista_Precios[CÓDIGO],MATCH(Movimientos!$G110,Lista_Precios[PRODUCTO],0)),"")</f>
        <v/>
      </c>
      <c r="G110" s="107"/>
      <c r="H110" s="108"/>
      <c r="I110" s="40"/>
    </row>
    <row r="111" spans="2:9" ht="15.5" x14ac:dyDescent="0.35">
      <c r="B111" s="105"/>
      <c r="C111" s="106" t="str">
        <f t="shared" si="3"/>
        <v/>
      </c>
      <c r="D111" s="107"/>
      <c r="E111" s="107"/>
      <c r="F111" s="106" t="str">
        <f>IFERROR(INDEX(Lista_Precios[CÓDIGO],MATCH(Movimientos!$G111,Lista_Precios[PRODUCTO],0)),"")</f>
        <v/>
      </c>
      <c r="G111" s="107"/>
      <c r="H111" s="108"/>
      <c r="I111" s="40"/>
    </row>
    <row r="112" spans="2:9" ht="15.5" x14ac:dyDescent="0.35">
      <c r="B112" s="105"/>
      <c r="C112" s="106" t="str">
        <f t="shared" si="3"/>
        <v/>
      </c>
      <c r="D112" s="107"/>
      <c r="E112" s="107"/>
      <c r="F112" s="106" t="str">
        <f>IFERROR(INDEX(Lista_Precios[CÓDIGO],MATCH(Movimientos!$G112,Lista_Precios[PRODUCTO],0)),"")</f>
        <v/>
      </c>
      <c r="G112" s="107"/>
      <c r="H112" s="108"/>
      <c r="I112" s="40"/>
    </row>
    <row r="113" spans="2:9" ht="15.5" x14ac:dyDescent="0.35">
      <c r="B113" s="105"/>
      <c r="C113" s="106" t="str">
        <f t="shared" si="3"/>
        <v/>
      </c>
      <c r="D113" s="107"/>
      <c r="E113" s="107"/>
      <c r="F113" s="106" t="str">
        <f>IFERROR(INDEX(Lista_Precios[CÓDIGO],MATCH(Movimientos!$G113,Lista_Precios[PRODUCTO],0)),"")</f>
        <v/>
      </c>
      <c r="G113" s="107"/>
      <c r="H113" s="108"/>
      <c r="I113" s="40"/>
    </row>
    <row r="114" spans="2:9" ht="15.5" x14ac:dyDescent="0.35">
      <c r="B114" s="105"/>
      <c r="C114" s="106" t="str">
        <f t="shared" si="3"/>
        <v/>
      </c>
      <c r="D114" s="107"/>
      <c r="E114" s="107"/>
      <c r="F114" s="106" t="str">
        <f>IFERROR(INDEX(Lista_Precios[CÓDIGO],MATCH(Movimientos!$G114,Lista_Precios[PRODUCTO],0)),"")</f>
        <v/>
      </c>
      <c r="G114" s="107"/>
      <c r="H114" s="108"/>
      <c r="I114" s="40"/>
    </row>
    <row r="115" spans="2:9" ht="15.5" x14ac:dyDescent="0.35">
      <c r="B115" s="105"/>
      <c r="C115" s="106" t="str">
        <f t="shared" si="3"/>
        <v/>
      </c>
      <c r="D115" s="107"/>
      <c r="E115" s="107"/>
      <c r="F115" s="106" t="str">
        <f>IFERROR(INDEX(Lista_Precios[CÓDIGO],MATCH(Movimientos!$G115,Lista_Precios[PRODUCTO],0)),"")</f>
        <v/>
      </c>
      <c r="G115" s="107"/>
      <c r="H115" s="108"/>
      <c r="I115" s="40"/>
    </row>
    <row r="116" spans="2:9" ht="15.5" x14ac:dyDescent="0.35">
      <c r="B116" s="105"/>
      <c r="C116" s="106" t="str">
        <f t="shared" si="3"/>
        <v/>
      </c>
      <c r="D116" s="107"/>
      <c r="E116" s="107"/>
      <c r="F116" s="106" t="str">
        <f>IFERROR(INDEX(Lista_Precios[CÓDIGO],MATCH(Movimientos!$G116,Lista_Precios[PRODUCTO],0)),"")</f>
        <v/>
      </c>
      <c r="G116" s="107"/>
      <c r="H116" s="108"/>
      <c r="I116" s="40"/>
    </row>
    <row r="117" spans="2:9" ht="15.5" x14ac:dyDescent="0.35">
      <c r="B117" s="105"/>
      <c r="C117" s="106" t="str">
        <f t="shared" si="3"/>
        <v/>
      </c>
      <c r="D117" s="107"/>
      <c r="E117" s="107"/>
      <c r="F117" s="106" t="str">
        <f>IFERROR(INDEX(Lista_Precios[CÓDIGO],MATCH(Movimientos!$G117,Lista_Precios[PRODUCTO],0)),"")</f>
        <v/>
      </c>
      <c r="G117" s="107"/>
      <c r="H117" s="108"/>
      <c r="I117" s="40"/>
    </row>
    <row r="118" spans="2:9" ht="15.5" x14ac:dyDescent="0.35">
      <c r="B118" s="105"/>
      <c r="C118" s="106" t="str">
        <f t="shared" si="3"/>
        <v/>
      </c>
      <c r="D118" s="107"/>
      <c r="E118" s="107"/>
      <c r="F118" s="106" t="str">
        <f>IFERROR(INDEX(Lista_Precios[CÓDIGO],MATCH(Movimientos!$G118,Lista_Precios[PRODUCTO],0)),"")</f>
        <v/>
      </c>
      <c r="G118" s="107"/>
      <c r="H118" s="108"/>
      <c r="I118" s="40"/>
    </row>
    <row r="119" spans="2:9" ht="15.5" x14ac:dyDescent="0.35">
      <c r="B119" s="105"/>
      <c r="C119" s="106" t="str">
        <f t="shared" si="3"/>
        <v/>
      </c>
      <c r="D119" s="107"/>
      <c r="E119" s="107"/>
      <c r="F119" s="106" t="str">
        <f>IFERROR(INDEX(Lista_Precios[CÓDIGO],MATCH(Movimientos!$G119,Lista_Precios[PRODUCTO],0)),"")</f>
        <v/>
      </c>
      <c r="G119" s="107"/>
      <c r="H119" s="108"/>
      <c r="I119" s="40"/>
    </row>
    <row r="120" spans="2:9" ht="15.5" x14ac:dyDescent="0.35">
      <c r="B120" s="105"/>
      <c r="C120" s="106" t="str">
        <f t="shared" si="3"/>
        <v/>
      </c>
      <c r="D120" s="107"/>
      <c r="E120" s="107"/>
      <c r="F120" s="106" t="str">
        <f>IFERROR(INDEX(Lista_Precios[CÓDIGO],MATCH(Movimientos!$G120,Lista_Precios[PRODUCTO],0)),"")</f>
        <v/>
      </c>
      <c r="G120" s="107"/>
      <c r="H120" s="108"/>
      <c r="I120" s="40"/>
    </row>
    <row r="121" spans="2:9" ht="15.5" x14ac:dyDescent="0.35">
      <c r="B121" s="105"/>
      <c r="C121" s="106" t="str">
        <f t="shared" si="3"/>
        <v/>
      </c>
      <c r="D121" s="107"/>
      <c r="E121" s="107"/>
      <c r="F121" s="106" t="str">
        <f>IFERROR(INDEX(Lista_Precios[CÓDIGO],MATCH(Movimientos!$G121,Lista_Precios[PRODUCTO],0)),"")</f>
        <v/>
      </c>
      <c r="G121" s="107"/>
      <c r="H121" s="108"/>
      <c r="I121" s="40"/>
    </row>
    <row r="122" spans="2:9" ht="15.5" x14ac:dyDescent="0.35">
      <c r="B122" s="105"/>
      <c r="C122" s="106" t="str">
        <f t="shared" si="3"/>
        <v/>
      </c>
      <c r="D122" s="107"/>
      <c r="E122" s="107"/>
      <c r="F122" s="106" t="str">
        <f>IFERROR(INDEX(Lista_Precios[CÓDIGO],MATCH(Movimientos!$G122,Lista_Precios[PRODUCTO],0)),"")</f>
        <v/>
      </c>
      <c r="G122" s="107"/>
      <c r="H122" s="108"/>
      <c r="I122" s="40"/>
    </row>
    <row r="123" spans="2:9" ht="15.5" x14ac:dyDescent="0.35">
      <c r="B123" s="105"/>
      <c r="C123" s="106" t="str">
        <f t="shared" si="3"/>
        <v/>
      </c>
      <c r="D123" s="107"/>
      <c r="E123" s="107"/>
      <c r="F123" s="106" t="str">
        <f>IFERROR(INDEX(Lista_Precios[CÓDIGO],MATCH(Movimientos!$G123,Lista_Precios[PRODUCTO],0)),"")</f>
        <v/>
      </c>
      <c r="G123" s="107"/>
      <c r="H123" s="108"/>
      <c r="I123" s="40"/>
    </row>
    <row r="124" spans="2:9" ht="15.5" x14ac:dyDescent="0.35">
      <c r="B124" s="105"/>
      <c r="C124" s="106" t="str">
        <f t="shared" si="3"/>
        <v/>
      </c>
      <c r="D124" s="107"/>
      <c r="E124" s="107"/>
      <c r="F124" s="106" t="str">
        <f>IFERROR(INDEX(Lista_Precios[CÓDIGO],MATCH(Movimientos!$G124,Lista_Precios[PRODUCTO],0)),"")</f>
        <v/>
      </c>
      <c r="G124" s="107"/>
      <c r="H124" s="108"/>
      <c r="I124" s="40"/>
    </row>
    <row r="125" spans="2:9" ht="15.5" x14ac:dyDescent="0.35">
      <c r="B125" s="105"/>
      <c r="C125" s="106" t="str">
        <f t="shared" si="3"/>
        <v/>
      </c>
      <c r="D125" s="107"/>
      <c r="E125" s="107"/>
      <c r="F125" s="106" t="str">
        <f>IFERROR(INDEX(Lista_Precios[CÓDIGO],MATCH(Movimientos!$G125,Lista_Precios[PRODUCTO],0)),"")</f>
        <v/>
      </c>
      <c r="G125" s="107"/>
      <c r="H125" s="108"/>
      <c r="I125" s="40"/>
    </row>
    <row r="126" spans="2:9" ht="15.5" x14ac:dyDescent="0.35">
      <c r="B126" s="105"/>
      <c r="C126" s="106" t="str">
        <f t="shared" si="3"/>
        <v/>
      </c>
      <c r="D126" s="107"/>
      <c r="E126" s="107"/>
      <c r="F126" s="106" t="str">
        <f>IFERROR(INDEX(Lista_Precios[CÓDIGO],MATCH(Movimientos!$G126,Lista_Precios[PRODUCTO],0)),"")</f>
        <v/>
      </c>
      <c r="G126" s="107"/>
      <c r="H126" s="108"/>
      <c r="I126" s="40"/>
    </row>
    <row r="127" spans="2:9" ht="15.5" x14ac:dyDescent="0.35">
      <c r="B127" s="105"/>
      <c r="C127" s="106" t="str">
        <f t="shared" si="3"/>
        <v/>
      </c>
      <c r="D127" s="107"/>
      <c r="E127" s="107"/>
      <c r="F127" s="106" t="str">
        <f>IFERROR(INDEX(Lista_Precios[CÓDIGO],MATCH(Movimientos!$G127,Lista_Precios[PRODUCTO],0)),"")</f>
        <v/>
      </c>
      <c r="G127" s="107"/>
      <c r="H127" s="108"/>
      <c r="I127" s="40"/>
    </row>
    <row r="128" spans="2:9" ht="15.5" x14ac:dyDescent="0.35">
      <c r="B128" s="105"/>
      <c r="C128" s="106" t="str">
        <f t="shared" si="3"/>
        <v/>
      </c>
      <c r="D128" s="107"/>
      <c r="E128" s="107"/>
      <c r="F128" s="106" t="str">
        <f>IFERROR(INDEX(Lista_Precios[CÓDIGO],MATCH(Movimientos!$G128,Lista_Precios[PRODUCTO],0)),"")</f>
        <v/>
      </c>
      <c r="G128" s="107"/>
      <c r="H128" s="108"/>
      <c r="I128" s="40"/>
    </row>
    <row r="129" spans="2:9" ht="15.5" x14ac:dyDescent="0.35">
      <c r="B129" s="105"/>
      <c r="C129" s="106" t="str">
        <f t="shared" si="3"/>
        <v/>
      </c>
      <c r="D129" s="107"/>
      <c r="E129" s="107"/>
      <c r="F129" s="106" t="str">
        <f>IFERROR(INDEX(Lista_Precios[CÓDIGO],MATCH(Movimientos!$G129,Lista_Precios[PRODUCTO],0)),"")</f>
        <v/>
      </c>
      <c r="G129" s="107"/>
      <c r="H129" s="108"/>
      <c r="I129" s="40"/>
    </row>
    <row r="130" spans="2:9" ht="15.5" x14ac:dyDescent="0.35">
      <c r="B130" s="105"/>
      <c r="C130" s="106" t="str">
        <f t="shared" si="3"/>
        <v/>
      </c>
      <c r="D130" s="107"/>
      <c r="E130" s="107"/>
      <c r="F130" s="106" t="str">
        <f>IFERROR(INDEX(Lista_Precios[CÓDIGO],MATCH(Movimientos!$G130,Lista_Precios[PRODUCTO],0)),"")</f>
        <v/>
      </c>
      <c r="G130" s="107"/>
      <c r="H130" s="108"/>
      <c r="I130" s="40"/>
    </row>
    <row r="131" spans="2:9" ht="15.5" x14ac:dyDescent="0.35">
      <c r="B131" s="105"/>
      <c r="C131" s="106" t="str">
        <f t="shared" si="3"/>
        <v/>
      </c>
      <c r="D131" s="107"/>
      <c r="E131" s="107"/>
      <c r="F131" s="106" t="str">
        <f>IFERROR(INDEX(Lista_Precios[CÓDIGO],MATCH(Movimientos!$G131,Lista_Precios[PRODUCTO],0)),"")</f>
        <v/>
      </c>
      <c r="G131" s="107"/>
      <c r="H131" s="108"/>
      <c r="I131" s="40"/>
    </row>
    <row r="132" spans="2:9" ht="15.5" x14ac:dyDescent="0.35">
      <c r="B132" s="105"/>
      <c r="C132" s="106" t="str">
        <f t="shared" si="3"/>
        <v/>
      </c>
      <c r="D132" s="107"/>
      <c r="E132" s="107"/>
      <c r="F132" s="106" t="str">
        <f>IFERROR(INDEX(Lista_Precios[CÓDIGO],MATCH(Movimientos!$G132,Lista_Precios[PRODUCTO],0)),"")</f>
        <v/>
      </c>
      <c r="G132" s="107"/>
      <c r="H132" s="108"/>
      <c r="I132" s="40"/>
    </row>
    <row r="133" spans="2:9" ht="15.5" x14ac:dyDescent="0.35">
      <c r="B133" s="105"/>
      <c r="C133" s="106" t="str">
        <f t="shared" si="3"/>
        <v/>
      </c>
      <c r="D133" s="107"/>
      <c r="E133" s="107"/>
      <c r="F133" s="106" t="str">
        <f>IFERROR(INDEX(Lista_Precios[CÓDIGO],MATCH(Movimientos!$G133,Lista_Precios[PRODUCTO],0)),"")</f>
        <v/>
      </c>
      <c r="G133" s="107"/>
      <c r="H133" s="108"/>
      <c r="I133" s="40"/>
    </row>
    <row r="134" spans="2:9" ht="15.5" x14ac:dyDescent="0.35">
      <c r="B134" s="105"/>
      <c r="C134" s="106" t="str">
        <f t="shared" si="3"/>
        <v/>
      </c>
      <c r="D134" s="107"/>
      <c r="E134" s="107"/>
      <c r="F134" s="106" t="str">
        <f>IFERROR(INDEX(Lista_Precios[CÓDIGO],MATCH(Movimientos!$G134,Lista_Precios[PRODUCTO],0)),"")</f>
        <v/>
      </c>
      <c r="G134" s="107"/>
      <c r="H134" s="108"/>
      <c r="I134" s="40"/>
    </row>
    <row r="135" spans="2:9" ht="15.5" x14ac:dyDescent="0.35">
      <c r="B135" s="105"/>
      <c r="C135" s="106" t="str">
        <f t="shared" si="3"/>
        <v/>
      </c>
      <c r="D135" s="107"/>
      <c r="E135" s="107"/>
      <c r="F135" s="106" t="str">
        <f>IFERROR(INDEX(Lista_Precios[CÓDIGO],MATCH(Movimientos!$G135,Lista_Precios[PRODUCTO],0)),"")</f>
        <v/>
      </c>
      <c r="G135" s="107"/>
      <c r="H135" s="108"/>
      <c r="I135" s="40"/>
    </row>
    <row r="136" spans="2:9" ht="15.5" x14ac:dyDescent="0.35">
      <c r="B136" s="105"/>
      <c r="C136" s="106" t="str">
        <f t="shared" si="3"/>
        <v/>
      </c>
      <c r="D136" s="107"/>
      <c r="E136" s="107"/>
      <c r="F136" s="106" t="str">
        <f>IFERROR(INDEX(Lista_Precios[CÓDIGO],MATCH(Movimientos!$G136,Lista_Precios[PRODUCTO],0)),"")</f>
        <v/>
      </c>
      <c r="G136" s="107"/>
      <c r="H136" s="108"/>
      <c r="I136" s="40"/>
    </row>
    <row r="137" spans="2:9" ht="15.5" x14ac:dyDescent="0.35">
      <c r="B137" s="105"/>
      <c r="C137" s="106" t="str">
        <f t="shared" si="3"/>
        <v/>
      </c>
      <c r="D137" s="107"/>
      <c r="E137" s="107"/>
      <c r="F137" s="106" t="str">
        <f>IFERROR(INDEX(Lista_Precios[CÓDIGO],MATCH(Movimientos!$G137,Lista_Precios[PRODUCTO],0)),"")</f>
        <v/>
      </c>
      <c r="G137" s="107"/>
      <c r="H137" s="108"/>
      <c r="I137" s="40"/>
    </row>
    <row r="138" spans="2:9" ht="15.5" x14ac:dyDescent="0.35">
      <c r="B138" s="105"/>
      <c r="C138" s="106" t="str">
        <f t="shared" si="3"/>
        <v/>
      </c>
      <c r="D138" s="107"/>
      <c r="E138" s="107"/>
      <c r="F138" s="106" t="str">
        <f>IFERROR(INDEX(Lista_Precios[CÓDIGO],MATCH(Movimientos!$G138,Lista_Precios[PRODUCTO],0)),"")</f>
        <v/>
      </c>
      <c r="G138" s="107"/>
      <c r="H138" s="108"/>
      <c r="I138" s="40"/>
    </row>
    <row r="139" spans="2:9" ht="15.5" x14ac:dyDescent="0.35">
      <c r="B139" s="105"/>
      <c r="C139" s="106" t="str">
        <f t="shared" si="3"/>
        <v/>
      </c>
      <c r="D139" s="107"/>
      <c r="E139" s="107"/>
      <c r="F139" s="106" t="str">
        <f>IFERROR(INDEX(Lista_Precios[CÓDIGO],MATCH(Movimientos!$G139,Lista_Precios[PRODUCTO],0)),"")</f>
        <v/>
      </c>
      <c r="G139" s="107"/>
      <c r="H139" s="108"/>
      <c r="I139" s="40"/>
    </row>
    <row r="140" spans="2:9" ht="15.5" x14ac:dyDescent="0.35">
      <c r="B140" s="105"/>
      <c r="C140" s="106" t="str">
        <f t="shared" si="3"/>
        <v/>
      </c>
      <c r="D140" s="107"/>
      <c r="E140" s="107"/>
      <c r="F140" s="106" t="str">
        <f>IFERROR(INDEX(Lista_Precios[CÓDIGO],MATCH(Movimientos!$G140,Lista_Precios[PRODUCTO],0)),"")</f>
        <v/>
      </c>
      <c r="G140" s="107"/>
      <c r="H140" s="108"/>
      <c r="I140" s="40"/>
    </row>
    <row r="141" spans="2:9" ht="15.5" x14ac:dyDescent="0.35">
      <c r="B141" s="105"/>
      <c r="C141" s="106" t="str">
        <f t="shared" si="3"/>
        <v/>
      </c>
      <c r="D141" s="107"/>
      <c r="E141" s="107"/>
      <c r="F141" s="106" t="str">
        <f>IFERROR(INDEX(Lista_Precios[CÓDIGO],MATCH(Movimientos!$G141,Lista_Precios[PRODUCTO],0)),"")</f>
        <v/>
      </c>
      <c r="G141" s="107"/>
      <c r="H141" s="108"/>
      <c r="I141" s="40"/>
    </row>
    <row r="142" spans="2:9" ht="15.5" x14ac:dyDescent="0.35">
      <c r="B142" s="105"/>
      <c r="C142" s="106" t="str">
        <f t="shared" si="3"/>
        <v/>
      </c>
      <c r="D142" s="107"/>
      <c r="E142" s="107"/>
      <c r="F142" s="106" t="str">
        <f>IFERROR(INDEX(Lista_Precios[CÓDIGO],MATCH(Movimientos!$G142,Lista_Precios[PRODUCTO],0)),"")</f>
        <v/>
      </c>
      <c r="G142" s="107"/>
      <c r="H142" s="108"/>
      <c r="I142" s="40"/>
    </row>
    <row r="143" spans="2:9" ht="15.5" x14ac:dyDescent="0.35">
      <c r="B143" s="105"/>
      <c r="C143" s="106" t="str">
        <f t="shared" si="3"/>
        <v/>
      </c>
      <c r="D143" s="107"/>
      <c r="E143" s="107"/>
      <c r="F143" s="106" t="str">
        <f>IFERROR(INDEX(Lista_Precios[CÓDIGO],MATCH(Movimientos!$G143,Lista_Precios[PRODUCTO],0)),"")</f>
        <v/>
      </c>
      <c r="G143" s="107"/>
      <c r="H143" s="108"/>
      <c r="I143" s="40"/>
    </row>
    <row r="144" spans="2:9" ht="15.5" x14ac:dyDescent="0.35">
      <c r="B144" s="105"/>
      <c r="C144" s="106" t="str">
        <f t="shared" si="3"/>
        <v/>
      </c>
      <c r="D144" s="107"/>
      <c r="E144" s="107"/>
      <c r="F144" s="106" t="str">
        <f>IFERROR(INDEX(Lista_Precios[CÓDIGO],MATCH(Movimientos!$G144,Lista_Precios[PRODUCTO],0)),"")</f>
        <v/>
      </c>
      <c r="G144" s="107"/>
      <c r="H144" s="108"/>
      <c r="I144" s="40"/>
    </row>
    <row r="145" spans="2:9" ht="15.5" x14ac:dyDescent="0.35">
      <c r="B145" s="105"/>
      <c r="C145" s="106" t="str">
        <f t="shared" si="3"/>
        <v/>
      </c>
      <c r="D145" s="107"/>
      <c r="E145" s="107"/>
      <c r="F145" s="106" t="str">
        <f>IFERROR(INDEX(Lista_Precios[CÓDIGO],MATCH(Movimientos!$G145,Lista_Precios[PRODUCTO],0)),"")</f>
        <v/>
      </c>
      <c r="G145" s="107"/>
      <c r="H145" s="108"/>
      <c r="I145" s="40"/>
    </row>
    <row r="146" spans="2:9" ht="15.5" x14ac:dyDescent="0.35">
      <c r="B146" s="105"/>
      <c r="C146" s="106" t="str">
        <f t="shared" si="3"/>
        <v/>
      </c>
      <c r="D146" s="107"/>
      <c r="E146" s="107"/>
      <c r="F146" s="106" t="str">
        <f>IFERROR(INDEX(Lista_Precios[CÓDIGO],MATCH(Movimientos!$G146,Lista_Precios[PRODUCTO],0)),"")</f>
        <v/>
      </c>
      <c r="G146" s="107"/>
      <c r="H146" s="108"/>
      <c r="I146" s="40"/>
    </row>
    <row r="147" spans="2:9" ht="15.5" x14ac:dyDescent="0.35">
      <c r="B147" s="105"/>
      <c r="C147" s="106" t="str">
        <f t="shared" si="3"/>
        <v/>
      </c>
      <c r="D147" s="107"/>
      <c r="E147" s="107"/>
      <c r="F147" s="106" t="str">
        <f>IFERROR(INDEX(Lista_Precios[CÓDIGO],MATCH(Movimientos!$G147,Lista_Precios[PRODUCTO],0)),"")</f>
        <v/>
      </c>
      <c r="G147" s="107"/>
      <c r="H147" s="108"/>
      <c r="I147" s="40"/>
    </row>
    <row r="148" spans="2:9" ht="15.5" x14ac:dyDescent="0.35">
      <c r="B148" s="105"/>
      <c r="C148" s="106" t="str">
        <f t="shared" si="3"/>
        <v/>
      </c>
      <c r="D148" s="107"/>
      <c r="E148" s="107"/>
      <c r="F148" s="106" t="str">
        <f>IFERROR(INDEX(Lista_Precios[CÓDIGO],MATCH(Movimientos!$G148,Lista_Precios[PRODUCTO],0)),"")</f>
        <v/>
      </c>
      <c r="G148" s="107"/>
      <c r="H148" s="108"/>
      <c r="I148" s="40"/>
    </row>
    <row r="149" spans="2:9" ht="15.5" x14ac:dyDescent="0.35">
      <c r="B149" s="105"/>
      <c r="C149" s="106" t="str">
        <f t="shared" si="3"/>
        <v/>
      </c>
      <c r="D149" s="107"/>
      <c r="E149" s="107"/>
      <c r="F149" s="106" t="str">
        <f>IFERROR(INDEX(Lista_Precios[CÓDIGO],MATCH(Movimientos!$G149,Lista_Precios[PRODUCTO],0)),"")</f>
        <v/>
      </c>
      <c r="G149" s="107"/>
      <c r="H149" s="108"/>
      <c r="I149" s="40"/>
    </row>
    <row r="150" spans="2:9" ht="15.5" x14ac:dyDescent="0.35">
      <c r="B150" s="105"/>
      <c r="C150" s="106" t="str">
        <f t="shared" si="3"/>
        <v/>
      </c>
      <c r="D150" s="107"/>
      <c r="E150" s="107"/>
      <c r="F150" s="106" t="str">
        <f>IFERROR(INDEX(Lista_Precios[CÓDIGO],MATCH(Movimientos!$G150,Lista_Precios[PRODUCTO],0)),"")</f>
        <v/>
      </c>
      <c r="G150" s="107"/>
      <c r="H150" s="108"/>
      <c r="I150" s="40"/>
    </row>
    <row r="151" spans="2:9" ht="15.5" x14ac:dyDescent="0.35">
      <c r="B151" s="105"/>
      <c r="C151" s="106" t="str">
        <f t="shared" si="3"/>
        <v/>
      </c>
      <c r="D151" s="107"/>
      <c r="E151" s="107"/>
      <c r="F151" s="106" t="str">
        <f>IFERROR(INDEX(Lista_Precios[CÓDIGO],MATCH(Movimientos!$G151,Lista_Precios[PRODUCTO],0)),"")</f>
        <v/>
      </c>
      <c r="G151" s="107"/>
      <c r="H151" s="108"/>
      <c r="I151" s="40"/>
    </row>
    <row r="152" spans="2:9" ht="15.5" x14ac:dyDescent="0.35">
      <c r="B152" s="105"/>
      <c r="C152" s="106" t="str">
        <f t="shared" si="3"/>
        <v/>
      </c>
      <c r="D152" s="107"/>
      <c r="E152" s="107"/>
      <c r="F152" s="106" t="str">
        <f>IFERROR(INDEX(Lista_Precios[CÓDIGO],MATCH(Movimientos!$G152,Lista_Precios[PRODUCTO],0)),"")</f>
        <v/>
      </c>
      <c r="G152" s="107"/>
      <c r="H152" s="108"/>
      <c r="I152" s="40"/>
    </row>
    <row r="153" spans="2:9" ht="15.5" x14ac:dyDescent="0.35">
      <c r="B153" s="105"/>
      <c r="C153" s="106" t="str">
        <f t="shared" si="3"/>
        <v/>
      </c>
      <c r="D153" s="107"/>
      <c r="E153" s="107"/>
      <c r="F153" s="106" t="str">
        <f>IFERROR(INDEX(Lista_Precios[CÓDIGO],MATCH(Movimientos!$G153,Lista_Precios[PRODUCTO],0)),"")</f>
        <v/>
      </c>
      <c r="G153" s="107"/>
      <c r="H153" s="108"/>
      <c r="I153" s="40"/>
    </row>
    <row r="154" spans="2:9" ht="15.5" x14ac:dyDescent="0.35">
      <c r="B154" s="105"/>
      <c r="C154" s="106" t="str">
        <f t="shared" si="3"/>
        <v/>
      </c>
      <c r="D154" s="107"/>
      <c r="E154" s="107"/>
      <c r="F154" s="106" t="str">
        <f>IFERROR(INDEX(Lista_Precios[CÓDIGO],MATCH(Movimientos!$G154,Lista_Precios[PRODUCTO],0)),"")</f>
        <v/>
      </c>
      <c r="G154" s="107"/>
      <c r="H154" s="108"/>
      <c r="I154" s="40"/>
    </row>
    <row r="155" spans="2:9" ht="15.5" x14ac:dyDescent="0.35">
      <c r="B155" s="105"/>
      <c r="C155" s="106" t="str">
        <f t="shared" si="3"/>
        <v/>
      </c>
      <c r="D155" s="107"/>
      <c r="E155" s="107"/>
      <c r="F155" s="106" t="str">
        <f>IFERROR(INDEX(Lista_Precios[CÓDIGO],MATCH(Movimientos!$G155,Lista_Precios[PRODUCTO],0)),"")</f>
        <v/>
      </c>
      <c r="G155" s="107"/>
      <c r="H155" s="108"/>
      <c r="I155" s="40"/>
    </row>
    <row r="156" spans="2:9" ht="15.5" x14ac:dyDescent="0.35">
      <c r="B156" s="105"/>
      <c r="C156" s="106" t="str">
        <f t="shared" si="3"/>
        <v/>
      </c>
      <c r="D156" s="107"/>
      <c r="E156" s="107"/>
      <c r="F156" s="106" t="str">
        <f>IFERROR(INDEX(Lista_Precios[CÓDIGO],MATCH(Movimientos!$G156,Lista_Precios[PRODUCTO],0)),"")</f>
        <v/>
      </c>
      <c r="G156" s="107"/>
      <c r="H156" s="108"/>
      <c r="I156" s="40"/>
    </row>
    <row r="157" spans="2:9" ht="15.5" x14ac:dyDescent="0.35">
      <c r="B157" s="105"/>
      <c r="C157" s="106" t="str">
        <f t="shared" si="3"/>
        <v/>
      </c>
      <c r="D157" s="107"/>
      <c r="E157" s="107"/>
      <c r="F157" s="106" t="str">
        <f>IFERROR(INDEX(Lista_Precios[CÓDIGO],MATCH(Movimientos!$G157,Lista_Precios[PRODUCTO],0)),"")</f>
        <v/>
      </c>
      <c r="G157" s="107"/>
      <c r="H157" s="108"/>
      <c r="I157" s="40"/>
    </row>
    <row r="158" spans="2:9" ht="15.5" x14ac:dyDescent="0.35">
      <c r="B158" s="105"/>
      <c r="C158" s="106" t="str">
        <f t="shared" si="3"/>
        <v/>
      </c>
      <c r="D158" s="107"/>
      <c r="E158" s="107"/>
      <c r="F158" s="106" t="str">
        <f>IFERROR(INDEX(Lista_Precios[CÓDIGO],MATCH(Movimientos!$G158,Lista_Precios[PRODUCTO],0)),"")</f>
        <v/>
      </c>
      <c r="G158" s="107"/>
      <c r="H158" s="108"/>
      <c r="I158" s="40"/>
    </row>
    <row r="159" spans="2:9" ht="15.5" x14ac:dyDescent="0.35">
      <c r="B159" s="105"/>
      <c r="C159" s="106" t="str">
        <f t="shared" si="3"/>
        <v/>
      </c>
      <c r="D159" s="107"/>
      <c r="E159" s="107"/>
      <c r="F159" s="106" t="str">
        <f>IFERROR(INDEX(Lista_Precios[CÓDIGO],MATCH(Movimientos!$G159,Lista_Precios[PRODUCTO],0)),"")</f>
        <v/>
      </c>
      <c r="G159" s="107"/>
      <c r="H159" s="108"/>
      <c r="I159" s="40"/>
    </row>
    <row r="160" spans="2:9" ht="15.5" x14ac:dyDescent="0.35">
      <c r="B160" s="105"/>
      <c r="C160" s="106" t="str">
        <f t="shared" si="3"/>
        <v/>
      </c>
      <c r="D160" s="107"/>
      <c r="E160" s="107"/>
      <c r="F160" s="106" t="str">
        <f>IFERROR(INDEX(Lista_Precios[CÓDIGO],MATCH(Movimientos!$G160,Lista_Precios[PRODUCTO],0)),"")</f>
        <v/>
      </c>
      <c r="G160" s="107"/>
      <c r="H160" s="108"/>
      <c r="I160" s="40"/>
    </row>
    <row r="161" spans="2:9" ht="15.5" x14ac:dyDescent="0.35">
      <c r="B161" s="105"/>
      <c r="C161" s="106" t="str">
        <f t="shared" si="3"/>
        <v/>
      </c>
      <c r="D161" s="107"/>
      <c r="E161" s="107"/>
      <c r="F161" s="106" t="str">
        <f>IFERROR(INDEX(Lista_Precios[CÓDIGO],MATCH(Movimientos!$G161,Lista_Precios[PRODUCTO],0)),"")</f>
        <v/>
      </c>
      <c r="G161" s="107"/>
      <c r="H161" s="108"/>
      <c r="I161" s="40"/>
    </row>
    <row r="162" spans="2:9" ht="15.5" x14ac:dyDescent="0.35">
      <c r="B162" s="105"/>
      <c r="C162" s="106" t="str">
        <f t="shared" si="3"/>
        <v/>
      </c>
      <c r="D162" s="107"/>
      <c r="E162" s="107"/>
      <c r="F162" s="106" t="str">
        <f>IFERROR(INDEX(Lista_Precios[CÓDIGO],MATCH(Movimientos!$G162,Lista_Precios[PRODUCTO],0)),"")</f>
        <v/>
      </c>
      <c r="G162" s="107"/>
      <c r="H162" s="108"/>
      <c r="I162" s="40"/>
    </row>
    <row r="163" spans="2:9" ht="15.5" x14ac:dyDescent="0.35">
      <c r="B163" s="105"/>
      <c r="C163" s="106" t="str">
        <f t="shared" si="3"/>
        <v/>
      </c>
      <c r="D163" s="107"/>
      <c r="E163" s="107"/>
      <c r="F163" s="106" t="str">
        <f>IFERROR(INDEX(Lista_Precios[CÓDIGO],MATCH(Movimientos!$G163,Lista_Precios[PRODUCTO],0)),"")</f>
        <v/>
      </c>
      <c r="G163" s="107"/>
      <c r="H163" s="108"/>
      <c r="I163" s="40"/>
    </row>
    <row r="164" spans="2:9" ht="15.5" x14ac:dyDescent="0.35">
      <c r="B164" s="105"/>
      <c r="C164" s="106" t="str">
        <f t="shared" si="3"/>
        <v/>
      </c>
      <c r="D164" s="107"/>
      <c r="E164" s="107"/>
      <c r="F164" s="106" t="str">
        <f>IFERROR(INDEX(Lista_Precios[CÓDIGO],MATCH(Movimientos!$G164,Lista_Precios[PRODUCTO],0)),"")</f>
        <v/>
      </c>
      <c r="G164" s="107"/>
      <c r="H164" s="108"/>
      <c r="I164" s="40"/>
    </row>
    <row r="165" spans="2:9" ht="15.5" x14ac:dyDescent="0.35">
      <c r="B165" s="105"/>
      <c r="C165" s="106" t="str">
        <f t="shared" si="3"/>
        <v/>
      </c>
      <c r="D165" s="107"/>
      <c r="E165" s="107"/>
      <c r="F165" s="106" t="str">
        <f>IFERROR(INDEX(Lista_Precios[CÓDIGO],MATCH(Movimientos!$G165,Lista_Precios[PRODUCTO],0)),"")</f>
        <v/>
      </c>
      <c r="G165" s="107"/>
      <c r="H165" s="108"/>
      <c r="I165" s="40"/>
    </row>
    <row r="166" spans="2:9" ht="15.5" x14ac:dyDescent="0.35">
      <c r="B166" s="105"/>
      <c r="C166" s="106" t="str">
        <f t="shared" si="3"/>
        <v/>
      </c>
      <c r="D166" s="107"/>
      <c r="E166" s="107"/>
      <c r="F166" s="106" t="str">
        <f>IFERROR(INDEX(Lista_Precios[CÓDIGO],MATCH(Movimientos!$G166,Lista_Precios[PRODUCTO],0)),"")</f>
        <v/>
      </c>
      <c r="G166" s="107"/>
      <c r="H166" s="108"/>
      <c r="I166" s="40"/>
    </row>
    <row r="167" spans="2:9" ht="15.5" x14ac:dyDescent="0.35">
      <c r="B167" s="105"/>
      <c r="C167" s="106" t="str">
        <f t="shared" ref="C167:C230" si="4">IF(B167="","",TEXT(B167,"Mmmm"))</f>
        <v/>
      </c>
      <c r="D167" s="107"/>
      <c r="E167" s="107"/>
      <c r="F167" s="106" t="str">
        <f>IFERROR(INDEX(Lista_Precios[CÓDIGO],MATCH(Movimientos!$G167,Lista_Precios[PRODUCTO],0)),"")</f>
        <v/>
      </c>
      <c r="G167" s="107"/>
      <c r="H167" s="108"/>
      <c r="I167" s="40"/>
    </row>
    <row r="168" spans="2:9" ht="15.5" x14ac:dyDescent="0.35">
      <c r="B168" s="105"/>
      <c r="C168" s="106" t="str">
        <f t="shared" si="4"/>
        <v/>
      </c>
      <c r="D168" s="107"/>
      <c r="E168" s="107"/>
      <c r="F168" s="106" t="str">
        <f>IFERROR(INDEX(Lista_Precios[CÓDIGO],MATCH(Movimientos!$G168,Lista_Precios[PRODUCTO],0)),"")</f>
        <v/>
      </c>
      <c r="G168" s="107"/>
      <c r="H168" s="108"/>
      <c r="I168" s="40"/>
    </row>
    <row r="169" spans="2:9" ht="15.5" x14ac:dyDescent="0.35">
      <c r="B169" s="105"/>
      <c r="C169" s="106" t="str">
        <f t="shared" si="4"/>
        <v/>
      </c>
      <c r="D169" s="107"/>
      <c r="E169" s="107"/>
      <c r="F169" s="106" t="str">
        <f>IFERROR(INDEX(Lista_Precios[CÓDIGO],MATCH(Movimientos!$G169,Lista_Precios[PRODUCTO],0)),"")</f>
        <v/>
      </c>
      <c r="G169" s="107"/>
      <c r="H169" s="108"/>
      <c r="I169" s="40"/>
    </row>
    <row r="170" spans="2:9" ht="15.5" x14ac:dyDescent="0.35">
      <c r="B170" s="105"/>
      <c r="C170" s="106" t="str">
        <f t="shared" si="4"/>
        <v/>
      </c>
      <c r="D170" s="107"/>
      <c r="E170" s="107"/>
      <c r="F170" s="106" t="str">
        <f>IFERROR(INDEX(Lista_Precios[CÓDIGO],MATCH(Movimientos!$G170,Lista_Precios[PRODUCTO],0)),"")</f>
        <v/>
      </c>
      <c r="G170" s="107"/>
      <c r="H170" s="108"/>
      <c r="I170" s="40"/>
    </row>
    <row r="171" spans="2:9" ht="15.5" x14ac:dyDescent="0.35">
      <c r="B171" s="105"/>
      <c r="C171" s="106" t="str">
        <f t="shared" si="4"/>
        <v/>
      </c>
      <c r="D171" s="107"/>
      <c r="E171" s="107"/>
      <c r="F171" s="106" t="str">
        <f>IFERROR(INDEX(Lista_Precios[CÓDIGO],MATCH(Movimientos!$G171,Lista_Precios[PRODUCTO],0)),"")</f>
        <v/>
      </c>
      <c r="G171" s="107"/>
      <c r="H171" s="108"/>
      <c r="I171" s="40"/>
    </row>
    <row r="172" spans="2:9" ht="15.5" x14ac:dyDescent="0.35">
      <c r="B172" s="105"/>
      <c r="C172" s="106" t="str">
        <f t="shared" si="4"/>
        <v/>
      </c>
      <c r="D172" s="107"/>
      <c r="E172" s="107"/>
      <c r="F172" s="106" t="str">
        <f>IFERROR(INDEX(Lista_Precios[CÓDIGO],MATCH(Movimientos!$G172,Lista_Precios[PRODUCTO],0)),"")</f>
        <v/>
      </c>
      <c r="G172" s="107"/>
      <c r="H172" s="108"/>
      <c r="I172" s="40"/>
    </row>
    <row r="173" spans="2:9" ht="15.5" x14ac:dyDescent="0.35">
      <c r="B173" s="105"/>
      <c r="C173" s="106" t="str">
        <f t="shared" si="4"/>
        <v/>
      </c>
      <c r="D173" s="107"/>
      <c r="E173" s="107"/>
      <c r="F173" s="106" t="str">
        <f>IFERROR(INDEX(Lista_Precios[CÓDIGO],MATCH(Movimientos!$G173,Lista_Precios[PRODUCTO],0)),"")</f>
        <v/>
      </c>
      <c r="G173" s="107"/>
      <c r="H173" s="108"/>
      <c r="I173" s="40"/>
    </row>
    <row r="174" spans="2:9" ht="15.5" x14ac:dyDescent="0.35">
      <c r="B174" s="105"/>
      <c r="C174" s="106" t="str">
        <f t="shared" si="4"/>
        <v/>
      </c>
      <c r="D174" s="107"/>
      <c r="E174" s="107"/>
      <c r="F174" s="106" t="str">
        <f>IFERROR(INDEX(Lista_Precios[CÓDIGO],MATCH(Movimientos!$G174,Lista_Precios[PRODUCTO],0)),"")</f>
        <v/>
      </c>
      <c r="G174" s="107"/>
      <c r="H174" s="108"/>
      <c r="I174" s="40"/>
    </row>
    <row r="175" spans="2:9" ht="15.5" x14ac:dyDescent="0.35">
      <c r="B175" s="105"/>
      <c r="C175" s="106" t="str">
        <f t="shared" si="4"/>
        <v/>
      </c>
      <c r="D175" s="107"/>
      <c r="E175" s="107"/>
      <c r="F175" s="106" t="str">
        <f>IFERROR(INDEX(Lista_Precios[CÓDIGO],MATCH(Movimientos!$G175,Lista_Precios[PRODUCTO],0)),"")</f>
        <v/>
      </c>
      <c r="G175" s="107"/>
      <c r="H175" s="108"/>
      <c r="I175" s="40"/>
    </row>
    <row r="176" spans="2:9" ht="15.5" x14ac:dyDescent="0.35">
      <c r="B176" s="105"/>
      <c r="C176" s="106" t="str">
        <f t="shared" si="4"/>
        <v/>
      </c>
      <c r="D176" s="107"/>
      <c r="E176" s="107"/>
      <c r="F176" s="106" t="str">
        <f>IFERROR(INDEX(Lista_Precios[CÓDIGO],MATCH(Movimientos!$G176,Lista_Precios[PRODUCTO],0)),"")</f>
        <v/>
      </c>
      <c r="G176" s="107"/>
      <c r="H176" s="108"/>
      <c r="I176" s="40"/>
    </row>
    <row r="177" spans="2:9" ht="15.5" x14ac:dyDescent="0.35">
      <c r="B177" s="105"/>
      <c r="C177" s="106" t="str">
        <f t="shared" si="4"/>
        <v/>
      </c>
      <c r="D177" s="107"/>
      <c r="E177" s="107"/>
      <c r="F177" s="106" t="str">
        <f>IFERROR(INDEX(Lista_Precios[CÓDIGO],MATCH(Movimientos!$G177,Lista_Precios[PRODUCTO],0)),"")</f>
        <v/>
      </c>
      <c r="G177" s="107"/>
      <c r="H177" s="108"/>
      <c r="I177" s="40"/>
    </row>
    <row r="178" spans="2:9" ht="15.5" x14ac:dyDescent="0.35">
      <c r="B178" s="105"/>
      <c r="C178" s="106" t="str">
        <f t="shared" si="4"/>
        <v/>
      </c>
      <c r="D178" s="107"/>
      <c r="E178" s="107"/>
      <c r="F178" s="106" t="str">
        <f>IFERROR(INDEX(Lista_Precios[CÓDIGO],MATCH(Movimientos!$G178,Lista_Precios[PRODUCTO],0)),"")</f>
        <v/>
      </c>
      <c r="G178" s="107"/>
      <c r="H178" s="108"/>
      <c r="I178" s="40"/>
    </row>
    <row r="179" spans="2:9" ht="15.5" x14ac:dyDescent="0.35">
      <c r="B179" s="105"/>
      <c r="C179" s="106" t="str">
        <f t="shared" si="4"/>
        <v/>
      </c>
      <c r="D179" s="107"/>
      <c r="E179" s="107"/>
      <c r="F179" s="106" t="str">
        <f>IFERROR(INDEX(Lista_Precios[CÓDIGO],MATCH(Movimientos!$G179,Lista_Precios[PRODUCTO],0)),"")</f>
        <v/>
      </c>
      <c r="G179" s="107"/>
      <c r="H179" s="108"/>
      <c r="I179" s="40"/>
    </row>
    <row r="180" spans="2:9" ht="15.5" x14ac:dyDescent="0.35">
      <c r="B180" s="105"/>
      <c r="C180" s="106" t="str">
        <f t="shared" si="4"/>
        <v/>
      </c>
      <c r="D180" s="107"/>
      <c r="E180" s="107"/>
      <c r="F180" s="106" t="str">
        <f>IFERROR(INDEX(Lista_Precios[CÓDIGO],MATCH(Movimientos!$G180,Lista_Precios[PRODUCTO],0)),"")</f>
        <v/>
      </c>
      <c r="G180" s="107"/>
      <c r="H180" s="108"/>
      <c r="I180" s="40"/>
    </row>
    <row r="181" spans="2:9" ht="15.5" x14ac:dyDescent="0.35">
      <c r="B181" s="105"/>
      <c r="C181" s="106" t="str">
        <f t="shared" si="4"/>
        <v/>
      </c>
      <c r="D181" s="107"/>
      <c r="E181" s="107"/>
      <c r="F181" s="106" t="str">
        <f>IFERROR(INDEX(Lista_Precios[CÓDIGO],MATCH(Movimientos!$G181,Lista_Precios[PRODUCTO],0)),"")</f>
        <v/>
      </c>
      <c r="G181" s="107"/>
      <c r="H181" s="108"/>
      <c r="I181" s="40"/>
    </row>
    <row r="182" spans="2:9" ht="15.5" x14ac:dyDescent="0.35">
      <c r="B182" s="105"/>
      <c r="C182" s="106" t="str">
        <f t="shared" si="4"/>
        <v/>
      </c>
      <c r="D182" s="107"/>
      <c r="E182" s="107"/>
      <c r="F182" s="106" t="str">
        <f>IFERROR(INDEX(Lista_Precios[CÓDIGO],MATCH(Movimientos!$G182,Lista_Precios[PRODUCTO],0)),"")</f>
        <v/>
      </c>
      <c r="G182" s="107"/>
      <c r="H182" s="108"/>
      <c r="I182" s="40"/>
    </row>
    <row r="183" spans="2:9" ht="15.5" x14ac:dyDescent="0.35">
      <c r="B183" s="105"/>
      <c r="C183" s="106" t="str">
        <f t="shared" si="4"/>
        <v/>
      </c>
      <c r="D183" s="107"/>
      <c r="E183" s="107"/>
      <c r="F183" s="106" t="str">
        <f>IFERROR(INDEX(Lista_Precios[CÓDIGO],MATCH(Movimientos!$G183,Lista_Precios[PRODUCTO],0)),"")</f>
        <v/>
      </c>
      <c r="G183" s="107"/>
      <c r="H183" s="108"/>
      <c r="I183" s="40"/>
    </row>
    <row r="184" spans="2:9" ht="15.5" x14ac:dyDescent="0.35">
      <c r="B184" s="105"/>
      <c r="C184" s="106" t="str">
        <f t="shared" si="4"/>
        <v/>
      </c>
      <c r="D184" s="107"/>
      <c r="E184" s="107"/>
      <c r="F184" s="106" t="str">
        <f>IFERROR(INDEX(Lista_Precios[CÓDIGO],MATCH(Movimientos!$G184,Lista_Precios[PRODUCTO],0)),"")</f>
        <v/>
      </c>
      <c r="G184" s="107"/>
      <c r="H184" s="108"/>
      <c r="I184" s="40"/>
    </row>
    <row r="185" spans="2:9" ht="15.5" x14ac:dyDescent="0.35">
      <c r="B185" s="105"/>
      <c r="C185" s="106" t="str">
        <f t="shared" si="4"/>
        <v/>
      </c>
      <c r="D185" s="107"/>
      <c r="E185" s="107"/>
      <c r="F185" s="106" t="str">
        <f>IFERROR(INDEX(Lista_Precios[CÓDIGO],MATCH(Movimientos!$G185,Lista_Precios[PRODUCTO],0)),"")</f>
        <v/>
      </c>
      <c r="G185" s="107"/>
      <c r="H185" s="108"/>
      <c r="I185" s="40"/>
    </row>
    <row r="186" spans="2:9" ht="15.5" x14ac:dyDescent="0.35">
      <c r="B186" s="105"/>
      <c r="C186" s="106" t="str">
        <f t="shared" si="4"/>
        <v/>
      </c>
      <c r="D186" s="107"/>
      <c r="E186" s="107"/>
      <c r="F186" s="106" t="str">
        <f>IFERROR(INDEX(Lista_Precios[CÓDIGO],MATCH(Movimientos!$G186,Lista_Precios[PRODUCTO],0)),"")</f>
        <v/>
      </c>
      <c r="G186" s="107"/>
      <c r="H186" s="108"/>
      <c r="I186" s="40"/>
    </row>
    <row r="187" spans="2:9" ht="15.5" x14ac:dyDescent="0.35">
      <c r="B187" s="105"/>
      <c r="C187" s="106" t="str">
        <f t="shared" si="4"/>
        <v/>
      </c>
      <c r="D187" s="107"/>
      <c r="E187" s="107"/>
      <c r="F187" s="106" t="str">
        <f>IFERROR(INDEX(Lista_Precios[CÓDIGO],MATCH(Movimientos!$G187,Lista_Precios[PRODUCTO],0)),"")</f>
        <v/>
      </c>
      <c r="G187" s="107"/>
      <c r="H187" s="108"/>
      <c r="I187" s="40"/>
    </row>
    <row r="188" spans="2:9" ht="15.5" x14ac:dyDescent="0.35">
      <c r="B188" s="105"/>
      <c r="C188" s="106" t="str">
        <f t="shared" si="4"/>
        <v/>
      </c>
      <c r="D188" s="107"/>
      <c r="E188" s="107"/>
      <c r="F188" s="106" t="str">
        <f>IFERROR(INDEX(Lista_Precios[CÓDIGO],MATCH(Movimientos!$G188,Lista_Precios[PRODUCTO],0)),"")</f>
        <v/>
      </c>
      <c r="G188" s="107"/>
      <c r="H188" s="108"/>
      <c r="I188" s="40"/>
    </row>
    <row r="189" spans="2:9" ht="15.5" x14ac:dyDescent="0.35">
      <c r="B189" s="105"/>
      <c r="C189" s="106" t="str">
        <f t="shared" si="4"/>
        <v/>
      </c>
      <c r="D189" s="107"/>
      <c r="E189" s="107"/>
      <c r="F189" s="106" t="str">
        <f>IFERROR(INDEX(Lista_Precios[CÓDIGO],MATCH(Movimientos!$G189,Lista_Precios[PRODUCTO],0)),"")</f>
        <v/>
      </c>
      <c r="G189" s="107"/>
      <c r="H189" s="108"/>
      <c r="I189" s="40"/>
    </row>
    <row r="190" spans="2:9" ht="15.5" x14ac:dyDescent="0.35">
      <c r="B190" s="105"/>
      <c r="C190" s="106" t="str">
        <f t="shared" si="4"/>
        <v/>
      </c>
      <c r="D190" s="107"/>
      <c r="E190" s="107"/>
      <c r="F190" s="106" t="str">
        <f>IFERROR(INDEX(Lista_Precios[CÓDIGO],MATCH(Movimientos!$G190,Lista_Precios[PRODUCTO],0)),"")</f>
        <v/>
      </c>
      <c r="G190" s="107"/>
      <c r="H190" s="108"/>
      <c r="I190" s="40"/>
    </row>
    <row r="191" spans="2:9" ht="15.5" x14ac:dyDescent="0.35">
      <c r="B191" s="105"/>
      <c r="C191" s="106" t="str">
        <f t="shared" si="4"/>
        <v/>
      </c>
      <c r="D191" s="107"/>
      <c r="E191" s="107"/>
      <c r="F191" s="106" t="str">
        <f>IFERROR(INDEX(Lista_Precios[CÓDIGO],MATCH(Movimientos!$G191,Lista_Precios[PRODUCTO],0)),"")</f>
        <v/>
      </c>
      <c r="G191" s="107"/>
      <c r="H191" s="108"/>
      <c r="I191" s="40"/>
    </row>
    <row r="192" spans="2:9" ht="15.5" x14ac:dyDescent="0.35">
      <c r="B192" s="105"/>
      <c r="C192" s="106" t="str">
        <f t="shared" si="4"/>
        <v/>
      </c>
      <c r="D192" s="107"/>
      <c r="E192" s="107"/>
      <c r="F192" s="106" t="str">
        <f>IFERROR(INDEX(Lista_Precios[CÓDIGO],MATCH(Movimientos!$G192,Lista_Precios[PRODUCTO],0)),"")</f>
        <v/>
      </c>
      <c r="G192" s="107"/>
      <c r="H192" s="108"/>
      <c r="I192" s="40"/>
    </row>
    <row r="193" spans="2:9" ht="15.5" x14ac:dyDescent="0.35">
      <c r="B193" s="105"/>
      <c r="C193" s="106" t="str">
        <f t="shared" si="4"/>
        <v/>
      </c>
      <c r="D193" s="107"/>
      <c r="E193" s="107"/>
      <c r="F193" s="106" t="str">
        <f>IFERROR(INDEX(Lista_Precios[CÓDIGO],MATCH(Movimientos!$G193,Lista_Precios[PRODUCTO],0)),"")</f>
        <v/>
      </c>
      <c r="G193" s="107"/>
      <c r="H193" s="108"/>
      <c r="I193" s="40"/>
    </row>
    <row r="194" spans="2:9" ht="15.5" x14ac:dyDescent="0.35">
      <c r="B194" s="105"/>
      <c r="C194" s="106" t="str">
        <f t="shared" si="4"/>
        <v/>
      </c>
      <c r="D194" s="107"/>
      <c r="E194" s="107"/>
      <c r="F194" s="106" t="str">
        <f>IFERROR(INDEX(Lista_Precios[CÓDIGO],MATCH(Movimientos!$G194,Lista_Precios[PRODUCTO],0)),"")</f>
        <v/>
      </c>
      <c r="G194" s="107"/>
      <c r="H194" s="108"/>
      <c r="I194" s="40"/>
    </row>
    <row r="195" spans="2:9" ht="15.5" x14ac:dyDescent="0.35">
      <c r="B195" s="105"/>
      <c r="C195" s="106" t="str">
        <f t="shared" si="4"/>
        <v/>
      </c>
      <c r="D195" s="107"/>
      <c r="E195" s="107"/>
      <c r="F195" s="106" t="str">
        <f>IFERROR(INDEX(Lista_Precios[CÓDIGO],MATCH(Movimientos!$G195,Lista_Precios[PRODUCTO],0)),"")</f>
        <v/>
      </c>
      <c r="G195" s="107"/>
      <c r="H195" s="108"/>
      <c r="I195" s="40"/>
    </row>
    <row r="196" spans="2:9" ht="15.5" x14ac:dyDescent="0.35">
      <c r="B196" s="105"/>
      <c r="C196" s="106" t="str">
        <f t="shared" si="4"/>
        <v/>
      </c>
      <c r="D196" s="107"/>
      <c r="E196" s="107"/>
      <c r="F196" s="106" t="str">
        <f>IFERROR(INDEX(Lista_Precios[CÓDIGO],MATCH(Movimientos!$G196,Lista_Precios[PRODUCTO],0)),"")</f>
        <v/>
      </c>
      <c r="G196" s="107"/>
      <c r="H196" s="108"/>
      <c r="I196" s="40"/>
    </row>
    <row r="197" spans="2:9" ht="15.5" x14ac:dyDescent="0.35">
      <c r="B197" s="105"/>
      <c r="C197" s="106" t="str">
        <f t="shared" si="4"/>
        <v/>
      </c>
      <c r="D197" s="107"/>
      <c r="E197" s="107"/>
      <c r="F197" s="106" t="str">
        <f>IFERROR(INDEX(Lista_Precios[CÓDIGO],MATCH(Movimientos!$G197,Lista_Precios[PRODUCTO],0)),"")</f>
        <v/>
      </c>
      <c r="G197" s="107"/>
      <c r="H197" s="108"/>
      <c r="I197" s="40"/>
    </row>
    <row r="198" spans="2:9" ht="15.5" x14ac:dyDescent="0.35">
      <c r="B198" s="105"/>
      <c r="C198" s="106" t="str">
        <f t="shared" si="4"/>
        <v/>
      </c>
      <c r="D198" s="107"/>
      <c r="E198" s="107"/>
      <c r="F198" s="106" t="str">
        <f>IFERROR(INDEX(Lista_Precios[CÓDIGO],MATCH(Movimientos!$G198,Lista_Precios[PRODUCTO],0)),"")</f>
        <v/>
      </c>
      <c r="G198" s="107"/>
      <c r="H198" s="108"/>
      <c r="I198" s="40"/>
    </row>
    <row r="199" spans="2:9" ht="15.5" x14ac:dyDescent="0.35">
      <c r="B199" s="105"/>
      <c r="C199" s="106" t="str">
        <f t="shared" si="4"/>
        <v/>
      </c>
      <c r="D199" s="107"/>
      <c r="E199" s="107"/>
      <c r="F199" s="106" t="str">
        <f>IFERROR(INDEX(Lista_Precios[CÓDIGO],MATCH(Movimientos!$G199,Lista_Precios[PRODUCTO],0)),"")</f>
        <v/>
      </c>
      <c r="G199" s="107"/>
      <c r="H199" s="108"/>
      <c r="I199" s="40"/>
    </row>
    <row r="200" spans="2:9" ht="15.5" x14ac:dyDescent="0.35">
      <c r="B200" s="105"/>
      <c r="C200" s="106" t="str">
        <f t="shared" si="4"/>
        <v/>
      </c>
      <c r="D200" s="107"/>
      <c r="E200" s="107"/>
      <c r="F200" s="106" t="str">
        <f>IFERROR(INDEX(Lista_Precios[CÓDIGO],MATCH(Movimientos!$G200,Lista_Precios[PRODUCTO],0)),"")</f>
        <v/>
      </c>
      <c r="G200" s="107"/>
      <c r="H200" s="108"/>
      <c r="I200" s="40"/>
    </row>
    <row r="201" spans="2:9" ht="15.5" x14ac:dyDescent="0.35">
      <c r="B201" s="105"/>
      <c r="C201" s="106" t="str">
        <f t="shared" si="4"/>
        <v/>
      </c>
      <c r="D201" s="107"/>
      <c r="E201" s="107"/>
      <c r="F201" s="106" t="str">
        <f>IFERROR(INDEX(Lista_Precios[CÓDIGO],MATCH(Movimientos!$G201,Lista_Precios[PRODUCTO],0)),"")</f>
        <v/>
      </c>
      <c r="G201" s="107"/>
      <c r="H201" s="108"/>
      <c r="I201" s="40"/>
    </row>
    <row r="202" spans="2:9" ht="15.5" x14ac:dyDescent="0.35">
      <c r="B202" s="105"/>
      <c r="C202" s="106" t="str">
        <f t="shared" si="4"/>
        <v/>
      </c>
      <c r="D202" s="107"/>
      <c r="E202" s="107"/>
      <c r="F202" s="106" t="str">
        <f>IFERROR(INDEX(Lista_Precios[CÓDIGO],MATCH(Movimientos!$G202,Lista_Precios[PRODUCTO],0)),"")</f>
        <v/>
      </c>
      <c r="G202" s="107"/>
      <c r="H202" s="108"/>
      <c r="I202" s="40"/>
    </row>
    <row r="203" spans="2:9" ht="15.5" x14ac:dyDescent="0.35">
      <c r="B203" s="105"/>
      <c r="C203" s="106" t="str">
        <f t="shared" si="4"/>
        <v/>
      </c>
      <c r="D203" s="107"/>
      <c r="E203" s="107"/>
      <c r="F203" s="106" t="str">
        <f>IFERROR(INDEX(Lista_Precios[CÓDIGO],MATCH(Movimientos!$G203,Lista_Precios[PRODUCTO],0)),"")</f>
        <v/>
      </c>
      <c r="G203" s="107"/>
      <c r="H203" s="108"/>
      <c r="I203" s="40"/>
    </row>
    <row r="204" spans="2:9" ht="15.5" x14ac:dyDescent="0.35">
      <c r="B204" s="105"/>
      <c r="C204" s="106" t="str">
        <f t="shared" si="4"/>
        <v/>
      </c>
      <c r="D204" s="107"/>
      <c r="E204" s="107"/>
      <c r="F204" s="106" t="str">
        <f>IFERROR(INDEX(Lista_Precios[CÓDIGO],MATCH(Movimientos!$G204,Lista_Precios[PRODUCTO],0)),"")</f>
        <v/>
      </c>
      <c r="G204" s="107"/>
      <c r="H204" s="108"/>
      <c r="I204" s="40"/>
    </row>
    <row r="205" spans="2:9" ht="15.5" x14ac:dyDescent="0.35">
      <c r="B205" s="105"/>
      <c r="C205" s="106" t="str">
        <f t="shared" si="4"/>
        <v/>
      </c>
      <c r="D205" s="107"/>
      <c r="E205" s="107"/>
      <c r="F205" s="106" t="str">
        <f>IFERROR(INDEX(Lista_Precios[CÓDIGO],MATCH(Movimientos!$G205,Lista_Precios[PRODUCTO],0)),"")</f>
        <v/>
      </c>
      <c r="G205" s="107"/>
      <c r="H205" s="108"/>
      <c r="I205" s="40"/>
    </row>
    <row r="206" spans="2:9" ht="15.5" x14ac:dyDescent="0.35">
      <c r="B206" s="105"/>
      <c r="C206" s="106" t="str">
        <f t="shared" si="4"/>
        <v/>
      </c>
      <c r="D206" s="107"/>
      <c r="E206" s="107"/>
      <c r="F206" s="106" t="str">
        <f>IFERROR(INDEX(Lista_Precios[CÓDIGO],MATCH(Movimientos!$G206,Lista_Precios[PRODUCTO],0)),"")</f>
        <v/>
      </c>
      <c r="G206" s="107"/>
      <c r="H206" s="108"/>
      <c r="I206" s="40"/>
    </row>
    <row r="207" spans="2:9" ht="15.5" x14ac:dyDescent="0.35">
      <c r="B207" s="105"/>
      <c r="C207" s="106" t="str">
        <f t="shared" si="4"/>
        <v/>
      </c>
      <c r="D207" s="107"/>
      <c r="E207" s="107"/>
      <c r="F207" s="106" t="str">
        <f>IFERROR(INDEX(Lista_Precios[CÓDIGO],MATCH(Movimientos!$G207,Lista_Precios[PRODUCTO],0)),"")</f>
        <v/>
      </c>
      <c r="G207" s="107"/>
      <c r="H207" s="108"/>
      <c r="I207" s="40"/>
    </row>
    <row r="208" spans="2:9" ht="15.5" x14ac:dyDescent="0.35">
      <c r="B208" s="105"/>
      <c r="C208" s="106" t="str">
        <f t="shared" si="4"/>
        <v/>
      </c>
      <c r="D208" s="107"/>
      <c r="E208" s="107"/>
      <c r="F208" s="106" t="str">
        <f>IFERROR(INDEX(Lista_Precios[CÓDIGO],MATCH(Movimientos!$G208,Lista_Precios[PRODUCTO],0)),"")</f>
        <v/>
      </c>
      <c r="G208" s="107"/>
      <c r="H208" s="108"/>
      <c r="I208" s="40"/>
    </row>
    <row r="209" spans="2:9" ht="15.5" x14ac:dyDescent="0.35">
      <c r="B209" s="105"/>
      <c r="C209" s="106" t="str">
        <f t="shared" si="4"/>
        <v/>
      </c>
      <c r="D209" s="107"/>
      <c r="E209" s="107"/>
      <c r="F209" s="106" t="str">
        <f>IFERROR(INDEX(Lista_Precios[CÓDIGO],MATCH(Movimientos!$G209,Lista_Precios[PRODUCTO],0)),"")</f>
        <v/>
      </c>
      <c r="G209" s="107"/>
      <c r="H209" s="108"/>
      <c r="I209" s="40"/>
    </row>
    <row r="210" spans="2:9" ht="15.5" x14ac:dyDescent="0.35">
      <c r="B210" s="105"/>
      <c r="C210" s="106" t="str">
        <f t="shared" si="4"/>
        <v/>
      </c>
      <c r="D210" s="107"/>
      <c r="E210" s="107"/>
      <c r="F210" s="106" t="str">
        <f>IFERROR(INDEX(Lista_Precios[CÓDIGO],MATCH(Movimientos!$G210,Lista_Precios[PRODUCTO],0)),"")</f>
        <v/>
      </c>
      <c r="G210" s="107"/>
      <c r="H210" s="108"/>
      <c r="I210" s="40"/>
    </row>
    <row r="211" spans="2:9" ht="15.5" x14ac:dyDescent="0.35">
      <c r="B211" s="105"/>
      <c r="C211" s="106" t="str">
        <f t="shared" si="4"/>
        <v/>
      </c>
      <c r="D211" s="107"/>
      <c r="E211" s="107"/>
      <c r="F211" s="106" t="str">
        <f>IFERROR(INDEX(Lista_Precios[CÓDIGO],MATCH(Movimientos!$G211,Lista_Precios[PRODUCTO],0)),"")</f>
        <v/>
      </c>
      <c r="G211" s="107"/>
      <c r="H211" s="108"/>
      <c r="I211" s="40"/>
    </row>
    <row r="212" spans="2:9" ht="15.5" x14ac:dyDescent="0.35">
      <c r="B212" s="105"/>
      <c r="C212" s="106" t="str">
        <f t="shared" si="4"/>
        <v/>
      </c>
      <c r="D212" s="107"/>
      <c r="E212" s="107"/>
      <c r="F212" s="106" t="str">
        <f>IFERROR(INDEX(Lista_Precios[CÓDIGO],MATCH(Movimientos!$G212,Lista_Precios[PRODUCTO],0)),"")</f>
        <v/>
      </c>
      <c r="G212" s="107"/>
      <c r="H212" s="108"/>
      <c r="I212" s="40"/>
    </row>
    <row r="213" spans="2:9" ht="15.5" x14ac:dyDescent="0.35">
      <c r="B213" s="105"/>
      <c r="C213" s="106" t="str">
        <f t="shared" si="4"/>
        <v/>
      </c>
      <c r="D213" s="107"/>
      <c r="E213" s="107"/>
      <c r="F213" s="106" t="str">
        <f>IFERROR(INDEX(Lista_Precios[CÓDIGO],MATCH(Movimientos!$G213,Lista_Precios[PRODUCTO],0)),"")</f>
        <v/>
      </c>
      <c r="G213" s="107"/>
      <c r="H213" s="108"/>
      <c r="I213" s="40"/>
    </row>
    <row r="214" spans="2:9" ht="15.5" x14ac:dyDescent="0.35">
      <c r="B214" s="105"/>
      <c r="C214" s="106" t="str">
        <f t="shared" si="4"/>
        <v/>
      </c>
      <c r="D214" s="107"/>
      <c r="E214" s="107"/>
      <c r="F214" s="106" t="str">
        <f>IFERROR(INDEX(Lista_Precios[CÓDIGO],MATCH(Movimientos!$G214,Lista_Precios[PRODUCTO],0)),"")</f>
        <v/>
      </c>
      <c r="G214" s="107"/>
      <c r="H214" s="108"/>
      <c r="I214" s="40"/>
    </row>
    <row r="215" spans="2:9" ht="15.5" x14ac:dyDescent="0.35">
      <c r="B215" s="105"/>
      <c r="C215" s="106" t="str">
        <f t="shared" si="4"/>
        <v/>
      </c>
      <c r="D215" s="107"/>
      <c r="E215" s="107"/>
      <c r="F215" s="106" t="str">
        <f>IFERROR(INDEX(Lista_Precios[CÓDIGO],MATCH(Movimientos!$G215,Lista_Precios[PRODUCTO],0)),"")</f>
        <v/>
      </c>
      <c r="G215" s="107"/>
      <c r="H215" s="108"/>
      <c r="I215" s="40"/>
    </row>
    <row r="216" spans="2:9" ht="15.5" x14ac:dyDescent="0.35">
      <c r="B216" s="105"/>
      <c r="C216" s="106" t="str">
        <f t="shared" si="4"/>
        <v/>
      </c>
      <c r="D216" s="107"/>
      <c r="E216" s="107"/>
      <c r="F216" s="106" t="str">
        <f>IFERROR(INDEX(Lista_Precios[CÓDIGO],MATCH(Movimientos!$G216,Lista_Precios[PRODUCTO],0)),"")</f>
        <v/>
      </c>
      <c r="G216" s="107"/>
      <c r="H216" s="108"/>
      <c r="I216" s="40"/>
    </row>
    <row r="217" spans="2:9" ht="15.5" x14ac:dyDescent="0.35">
      <c r="B217" s="105"/>
      <c r="C217" s="106" t="str">
        <f t="shared" si="4"/>
        <v/>
      </c>
      <c r="D217" s="107"/>
      <c r="E217" s="107"/>
      <c r="F217" s="106" t="str">
        <f>IFERROR(INDEX(Lista_Precios[CÓDIGO],MATCH(Movimientos!$G217,Lista_Precios[PRODUCTO],0)),"")</f>
        <v/>
      </c>
      <c r="G217" s="107"/>
      <c r="H217" s="108"/>
      <c r="I217" s="40"/>
    </row>
    <row r="218" spans="2:9" ht="15.5" x14ac:dyDescent="0.35">
      <c r="B218" s="105"/>
      <c r="C218" s="106" t="str">
        <f t="shared" si="4"/>
        <v/>
      </c>
      <c r="D218" s="107"/>
      <c r="E218" s="107"/>
      <c r="F218" s="106" t="str">
        <f>IFERROR(INDEX(Lista_Precios[CÓDIGO],MATCH(Movimientos!$G218,Lista_Precios[PRODUCTO],0)),"")</f>
        <v/>
      </c>
      <c r="G218" s="107"/>
      <c r="H218" s="108"/>
      <c r="I218" s="40"/>
    </row>
    <row r="219" spans="2:9" ht="15.5" x14ac:dyDescent="0.35">
      <c r="B219" s="105"/>
      <c r="C219" s="106" t="str">
        <f t="shared" si="4"/>
        <v/>
      </c>
      <c r="D219" s="107"/>
      <c r="E219" s="107"/>
      <c r="F219" s="106" t="str">
        <f>IFERROR(INDEX(Lista_Precios[CÓDIGO],MATCH(Movimientos!$G219,Lista_Precios[PRODUCTO],0)),"")</f>
        <v/>
      </c>
      <c r="G219" s="107"/>
      <c r="H219" s="108"/>
      <c r="I219" s="40"/>
    </row>
    <row r="220" spans="2:9" ht="15.5" x14ac:dyDescent="0.35">
      <c r="B220" s="105"/>
      <c r="C220" s="106" t="str">
        <f t="shared" si="4"/>
        <v/>
      </c>
      <c r="D220" s="107"/>
      <c r="E220" s="107"/>
      <c r="F220" s="106" t="str">
        <f>IFERROR(INDEX(Lista_Precios[CÓDIGO],MATCH(Movimientos!$G220,Lista_Precios[PRODUCTO],0)),"")</f>
        <v/>
      </c>
      <c r="G220" s="107"/>
      <c r="H220" s="108"/>
      <c r="I220" s="40"/>
    </row>
    <row r="221" spans="2:9" ht="15.5" x14ac:dyDescent="0.35">
      <c r="B221" s="105"/>
      <c r="C221" s="106" t="str">
        <f t="shared" si="4"/>
        <v/>
      </c>
      <c r="D221" s="107"/>
      <c r="E221" s="107"/>
      <c r="F221" s="106" t="str">
        <f>IFERROR(INDEX(Lista_Precios[CÓDIGO],MATCH(Movimientos!$G221,Lista_Precios[PRODUCTO],0)),"")</f>
        <v/>
      </c>
      <c r="G221" s="107"/>
      <c r="H221" s="108"/>
      <c r="I221" s="40"/>
    </row>
    <row r="222" spans="2:9" ht="15.5" x14ac:dyDescent="0.35">
      <c r="B222" s="105"/>
      <c r="C222" s="106" t="str">
        <f t="shared" si="4"/>
        <v/>
      </c>
      <c r="D222" s="107"/>
      <c r="E222" s="107"/>
      <c r="F222" s="106" t="str">
        <f>IFERROR(INDEX(Lista_Precios[CÓDIGO],MATCH(Movimientos!$G222,Lista_Precios[PRODUCTO],0)),"")</f>
        <v/>
      </c>
      <c r="G222" s="107"/>
      <c r="H222" s="108"/>
      <c r="I222" s="40"/>
    </row>
    <row r="223" spans="2:9" ht="15.5" x14ac:dyDescent="0.35">
      <c r="B223" s="105"/>
      <c r="C223" s="106" t="str">
        <f t="shared" si="4"/>
        <v/>
      </c>
      <c r="D223" s="107"/>
      <c r="E223" s="107"/>
      <c r="F223" s="106" t="str">
        <f>IFERROR(INDEX(Lista_Precios[CÓDIGO],MATCH(Movimientos!$G223,Lista_Precios[PRODUCTO],0)),"")</f>
        <v/>
      </c>
      <c r="G223" s="107"/>
      <c r="H223" s="108"/>
      <c r="I223" s="40"/>
    </row>
    <row r="224" spans="2:9" ht="15.5" x14ac:dyDescent="0.35">
      <c r="B224" s="105"/>
      <c r="C224" s="106" t="str">
        <f t="shared" si="4"/>
        <v/>
      </c>
      <c r="D224" s="107"/>
      <c r="E224" s="107"/>
      <c r="F224" s="106" t="str">
        <f>IFERROR(INDEX(Lista_Precios[CÓDIGO],MATCH(Movimientos!$G224,Lista_Precios[PRODUCTO],0)),"")</f>
        <v/>
      </c>
      <c r="G224" s="107"/>
      <c r="H224" s="108"/>
      <c r="I224" s="40"/>
    </row>
    <row r="225" spans="2:9" ht="15.5" x14ac:dyDescent="0.35">
      <c r="B225" s="105"/>
      <c r="C225" s="106" t="str">
        <f t="shared" si="4"/>
        <v/>
      </c>
      <c r="D225" s="107"/>
      <c r="E225" s="107"/>
      <c r="F225" s="106" t="str">
        <f>IFERROR(INDEX(Lista_Precios[CÓDIGO],MATCH(Movimientos!$G225,Lista_Precios[PRODUCTO],0)),"")</f>
        <v/>
      </c>
      <c r="G225" s="107"/>
      <c r="H225" s="108"/>
      <c r="I225" s="40"/>
    </row>
    <row r="226" spans="2:9" ht="15.5" x14ac:dyDescent="0.35">
      <c r="B226" s="105"/>
      <c r="C226" s="106" t="str">
        <f t="shared" si="4"/>
        <v/>
      </c>
      <c r="D226" s="107"/>
      <c r="E226" s="107"/>
      <c r="F226" s="106" t="str">
        <f>IFERROR(INDEX(Lista_Precios[CÓDIGO],MATCH(Movimientos!$G226,Lista_Precios[PRODUCTO],0)),"")</f>
        <v/>
      </c>
      <c r="G226" s="107"/>
      <c r="H226" s="108"/>
      <c r="I226" s="40"/>
    </row>
    <row r="227" spans="2:9" ht="15.5" x14ac:dyDescent="0.35">
      <c r="B227" s="105"/>
      <c r="C227" s="106" t="str">
        <f t="shared" si="4"/>
        <v/>
      </c>
      <c r="D227" s="107"/>
      <c r="E227" s="107"/>
      <c r="F227" s="106" t="str">
        <f>IFERROR(INDEX(Lista_Precios[CÓDIGO],MATCH(Movimientos!$G227,Lista_Precios[PRODUCTO],0)),"")</f>
        <v/>
      </c>
      <c r="G227" s="107"/>
      <c r="H227" s="108"/>
      <c r="I227" s="40"/>
    </row>
    <row r="228" spans="2:9" ht="15.5" x14ac:dyDescent="0.35">
      <c r="B228" s="105"/>
      <c r="C228" s="106" t="str">
        <f t="shared" si="4"/>
        <v/>
      </c>
      <c r="D228" s="107"/>
      <c r="E228" s="107"/>
      <c r="F228" s="106" t="str">
        <f>IFERROR(INDEX(Lista_Precios[CÓDIGO],MATCH(Movimientos!$G228,Lista_Precios[PRODUCTO],0)),"")</f>
        <v/>
      </c>
      <c r="G228" s="107"/>
      <c r="H228" s="108"/>
      <c r="I228" s="40"/>
    </row>
    <row r="229" spans="2:9" ht="15.5" x14ac:dyDescent="0.35">
      <c r="B229" s="105"/>
      <c r="C229" s="106" t="str">
        <f t="shared" si="4"/>
        <v/>
      </c>
      <c r="D229" s="107"/>
      <c r="E229" s="107"/>
      <c r="F229" s="106" t="str">
        <f>IFERROR(INDEX(Lista_Precios[CÓDIGO],MATCH(Movimientos!$G229,Lista_Precios[PRODUCTO],0)),"")</f>
        <v/>
      </c>
      <c r="G229" s="107"/>
      <c r="H229" s="108"/>
      <c r="I229" s="40"/>
    </row>
    <row r="230" spans="2:9" ht="15.5" x14ac:dyDescent="0.35">
      <c r="B230" s="105"/>
      <c r="C230" s="106" t="str">
        <f t="shared" si="4"/>
        <v/>
      </c>
      <c r="D230" s="107"/>
      <c r="E230" s="107"/>
      <c r="F230" s="106" t="str">
        <f>IFERROR(INDEX(Lista_Precios[CÓDIGO],MATCH(Movimientos!$G230,Lista_Precios[PRODUCTO],0)),"")</f>
        <v/>
      </c>
      <c r="G230" s="107"/>
      <c r="H230" s="108"/>
      <c r="I230" s="40"/>
    </row>
    <row r="231" spans="2:9" ht="15.5" x14ac:dyDescent="0.35">
      <c r="B231" s="105"/>
      <c r="C231" s="106" t="str">
        <f t="shared" ref="C231:C294" si="5">IF(B231="","",TEXT(B231,"Mmmm"))</f>
        <v/>
      </c>
      <c r="D231" s="107"/>
      <c r="E231" s="107"/>
      <c r="F231" s="106" t="str">
        <f>IFERROR(INDEX(Lista_Precios[CÓDIGO],MATCH(Movimientos!$G231,Lista_Precios[PRODUCTO],0)),"")</f>
        <v/>
      </c>
      <c r="G231" s="107"/>
      <c r="H231" s="108"/>
      <c r="I231" s="40"/>
    </row>
    <row r="232" spans="2:9" ht="15.5" x14ac:dyDescent="0.35">
      <c r="B232" s="105"/>
      <c r="C232" s="106" t="str">
        <f t="shared" si="5"/>
        <v/>
      </c>
      <c r="D232" s="107"/>
      <c r="E232" s="107"/>
      <c r="F232" s="106" t="str">
        <f>IFERROR(INDEX(Lista_Precios[CÓDIGO],MATCH(Movimientos!$G232,Lista_Precios[PRODUCTO],0)),"")</f>
        <v/>
      </c>
      <c r="G232" s="107"/>
      <c r="H232" s="108"/>
      <c r="I232" s="40"/>
    </row>
    <row r="233" spans="2:9" ht="15.5" x14ac:dyDescent="0.35">
      <c r="B233" s="105"/>
      <c r="C233" s="106" t="str">
        <f t="shared" si="5"/>
        <v/>
      </c>
      <c r="D233" s="107"/>
      <c r="E233" s="107"/>
      <c r="F233" s="106" t="str">
        <f>IFERROR(INDEX(Lista_Precios[CÓDIGO],MATCH(Movimientos!$G233,Lista_Precios[PRODUCTO],0)),"")</f>
        <v/>
      </c>
      <c r="G233" s="107"/>
      <c r="H233" s="108"/>
      <c r="I233" s="40"/>
    </row>
    <row r="234" spans="2:9" ht="15.5" x14ac:dyDescent="0.35">
      <c r="B234" s="105"/>
      <c r="C234" s="106" t="str">
        <f t="shared" si="5"/>
        <v/>
      </c>
      <c r="D234" s="107"/>
      <c r="E234" s="107"/>
      <c r="F234" s="106" t="str">
        <f>IFERROR(INDEX(Lista_Precios[CÓDIGO],MATCH(Movimientos!$G234,Lista_Precios[PRODUCTO],0)),"")</f>
        <v/>
      </c>
      <c r="G234" s="107"/>
      <c r="H234" s="108"/>
      <c r="I234" s="40"/>
    </row>
    <row r="235" spans="2:9" ht="15.5" x14ac:dyDescent="0.35">
      <c r="B235" s="105"/>
      <c r="C235" s="106" t="str">
        <f t="shared" si="5"/>
        <v/>
      </c>
      <c r="D235" s="107"/>
      <c r="E235" s="107"/>
      <c r="F235" s="106" t="str">
        <f>IFERROR(INDEX(Lista_Precios[CÓDIGO],MATCH(Movimientos!$G235,Lista_Precios[PRODUCTO],0)),"")</f>
        <v/>
      </c>
      <c r="G235" s="107"/>
      <c r="H235" s="108"/>
      <c r="I235" s="40"/>
    </row>
    <row r="236" spans="2:9" ht="15.5" x14ac:dyDescent="0.35">
      <c r="B236" s="105"/>
      <c r="C236" s="106" t="str">
        <f t="shared" si="5"/>
        <v/>
      </c>
      <c r="D236" s="107"/>
      <c r="E236" s="107"/>
      <c r="F236" s="106" t="str">
        <f>IFERROR(INDEX(Lista_Precios[CÓDIGO],MATCH(Movimientos!$G236,Lista_Precios[PRODUCTO],0)),"")</f>
        <v/>
      </c>
      <c r="G236" s="107"/>
      <c r="H236" s="108"/>
      <c r="I236" s="40"/>
    </row>
    <row r="237" spans="2:9" ht="15.5" x14ac:dyDescent="0.35">
      <c r="B237" s="105"/>
      <c r="C237" s="106" t="str">
        <f t="shared" si="5"/>
        <v/>
      </c>
      <c r="D237" s="107"/>
      <c r="E237" s="107"/>
      <c r="F237" s="106" t="str">
        <f>IFERROR(INDEX(Lista_Precios[CÓDIGO],MATCH(Movimientos!$G237,Lista_Precios[PRODUCTO],0)),"")</f>
        <v/>
      </c>
      <c r="G237" s="107"/>
      <c r="H237" s="108"/>
      <c r="I237" s="40"/>
    </row>
    <row r="238" spans="2:9" ht="15.5" x14ac:dyDescent="0.35">
      <c r="B238" s="105"/>
      <c r="C238" s="106" t="str">
        <f t="shared" si="5"/>
        <v/>
      </c>
      <c r="D238" s="107"/>
      <c r="E238" s="107"/>
      <c r="F238" s="106" t="str">
        <f>IFERROR(INDEX(Lista_Precios[CÓDIGO],MATCH(Movimientos!$G238,Lista_Precios[PRODUCTO],0)),"")</f>
        <v/>
      </c>
      <c r="G238" s="107"/>
      <c r="H238" s="108"/>
      <c r="I238" s="40"/>
    </row>
    <row r="239" spans="2:9" ht="15.5" x14ac:dyDescent="0.35">
      <c r="B239" s="105"/>
      <c r="C239" s="106" t="str">
        <f t="shared" si="5"/>
        <v/>
      </c>
      <c r="D239" s="107"/>
      <c r="E239" s="107"/>
      <c r="F239" s="106" t="str">
        <f>IFERROR(INDEX(Lista_Precios[CÓDIGO],MATCH(Movimientos!$G239,Lista_Precios[PRODUCTO],0)),"")</f>
        <v/>
      </c>
      <c r="G239" s="107"/>
      <c r="H239" s="108"/>
      <c r="I239" s="40"/>
    </row>
    <row r="240" spans="2:9" ht="15.5" x14ac:dyDescent="0.35">
      <c r="B240" s="105"/>
      <c r="C240" s="106" t="str">
        <f t="shared" si="5"/>
        <v/>
      </c>
      <c r="D240" s="107"/>
      <c r="E240" s="107"/>
      <c r="F240" s="106" t="str">
        <f>IFERROR(INDEX(Lista_Precios[CÓDIGO],MATCH(Movimientos!$G240,Lista_Precios[PRODUCTO],0)),"")</f>
        <v/>
      </c>
      <c r="G240" s="107"/>
      <c r="H240" s="108"/>
      <c r="I240" s="40"/>
    </row>
    <row r="241" spans="2:9" ht="15.5" x14ac:dyDescent="0.35">
      <c r="B241" s="105"/>
      <c r="C241" s="106" t="str">
        <f t="shared" si="5"/>
        <v/>
      </c>
      <c r="D241" s="107"/>
      <c r="E241" s="107"/>
      <c r="F241" s="106" t="str">
        <f>IFERROR(INDEX(Lista_Precios[CÓDIGO],MATCH(Movimientos!$G241,Lista_Precios[PRODUCTO],0)),"")</f>
        <v/>
      </c>
      <c r="G241" s="107"/>
      <c r="H241" s="108"/>
      <c r="I241" s="40"/>
    </row>
    <row r="242" spans="2:9" ht="15.5" x14ac:dyDescent="0.35">
      <c r="B242" s="105"/>
      <c r="C242" s="106" t="str">
        <f t="shared" si="5"/>
        <v/>
      </c>
      <c r="D242" s="107"/>
      <c r="E242" s="107"/>
      <c r="F242" s="106" t="str">
        <f>IFERROR(INDEX(Lista_Precios[CÓDIGO],MATCH(Movimientos!$G242,Lista_Precios[PRODUCTO],0)),"")</f>
        <v/>
      </c>
      <c r="G242" s="107"/>
      <c r="H242" s="108"/>
      <c r="I242" s="40"/>
    </row>
    <row r="243" spans="2:9" ht="15.5" x14ac:dyDescent="0.35">
      <c r="B243" s="105"/>
      <c r="C243" s="106" t="str">
        <f t="shared" si="5"/>
        <v/>
      </c>
      <c r="D243" s="107"/>
      <c r="E243" s="107"/>
      <c r="F243" s="106" t="str">
        <f>IFERROR(INDEX(Lista_Precios[CÓDIGO],MATCH(Movimientos!$G243,Lista_Precios[PRODUCTO],0)),"")</f>
        <v/>
      </c>
      <c r="G243" s="107"/>
      <c r="H243" s="108"/>
      <c r="I243" s="40"/>
    </row>
    <row r="244" spans="2:9" ht="15.5" x14ac:dyDescent="0.35">
      <c r="B244" s="105"/>
      <c r="C244" s="106" t="str">
        <f t="shared" si="5"/>
        <v/>
      </c>
      <c r="D244" s="107"/>
      <c r="E244" s="107"/>
      <c r="F244" s="106" t="str">
        <f>IFERROR(INDEX(Lista_Precios[CÓDIGO],MATCH(Movimientos!$G244,Lista_Precios[PRODUCTO],0)),"")</f>
        <v/>
      </c>
      <c r="G244" s="107"/>
      <c r="H244" s="108"/>
      <c r="I244" s="40"/>
    </row>
    <row r="245" spans="2:9" ht="15.5" x14ac:dyDescent="0.35">
      <c r="B245" s="105"/>
      <c r="C245" s="106" t="str">
        <f t="shared" si="5"/>
        <v/>
      </c>
      <c r="D245" s="107"/>
      <c r="E245" s="107"/>
      <c r="F245" s="106" t="str">
        <f>IFERROR(INDEX(Lista_Precios[CÓDIGO],MATCH(Movimientos!$G245,Lista_Precios[PRODUCTO],0)),"")</f>
        <v/>
      </c>
      <c r="G245" s="107"/>
      <c r="H245" s="108"/>
      <c r="I245" s="40"/>
    </row>
    <row r="246" spans="2:9" ht="15.5" x14ac:dyDescent="0.35">
      <c r="B246" s="105"/>
      <c r="C246" s="106" t="str">
        <f t="shared" si="5"/>
        <v/>
      </c>
      <c r="D246" s="107"/>
      <c r="E246" s="107"/>
      <c r="F246" s="106" t="str">
        <f>IFERROR(INDEX(Lista_Precios[CÓDIGO],MATCH(Movimientos!$G246,Lista_Precios[PRODUCTO],0)),"")</f>
        <v/>
      </c>
      <c r="G246" s="107"/>
      <c r="H246" s="108"/>
      <c r="I246" s="40"/>
    </row>
    <row r="247" spans="2:9" ht="15.5" x14ac:dyDescent="0.35">
      <c r="B247" s="105"/>
      <c r="C247" s="106" t="str">
        <f t="shared" si="5"/>
        <v/>
      </c>
      <c r="D247" s="107"/>
      <c r="E247" s="107"/>
      <c r="F247" s="106" t="str">
        <f>IFERROR(INDEX(Lista_Precios[CÓDIGO],MATCH(Movimientos!$G247,Lista_Precios[PRODUCTO],0)),"")</f>
        <v/>
      </c>
      <c r="G247" s="107"/>
      <c r="H247" s="108"/>
      <c r="I247" s="40"/>
    </row>
    <row r="248" spans="2:9" ht="15.5" x14ac:dyDescent="0.35">
      <c r="B248" s="105"/>
      <c r="C248" s="106" t="str">
        <f t="shared" si="5"/>
        <v/>
      </c>
      <c r="D248" s="107"/>
      <c r="E248" s="107"/>
      <c r="F248" s="106" t="str">
        <f>IFERROR(INDEX(Lista_Precios[CÓDIGO],MATCH(Movimientos!$G248,Lista_Precios[PRODUCTO],0)),"")</f>
        <v/>
      </c>
      <c r="G248" s="107"/>
      <c r="H248" s="108"/>
      <c r="I248" s="40"/>
    </row>
    <row r="249" spans="2:9" ht="15.5" x14ac:dyDescent="0.35">
      <c r="B249" s="105"/>
      <c r="C249" s="106" t="str">
        <f t="shared" si="5"/>
        <v/>
      </c>
      <c r="D249" s="107"/>
      <c r="E249" s="107"/>
      <c r="F249" s="106" t="str">
        <f>IFERROR(INDEX(Lista_Precios[CÓDIGO],MATCH(Movimientos!$G249,Lista_Precios[PRODUCTO],0)),"")</f>
        <v/>
      </c>
      <c r="G249" s="107"/>
      <c r="H249" s="108"/>
      <c r="I249" s="40"/>
    </row>
    <row r="250" spans="2:9" ht="15.5" x14ac:dyDescent="0.35">
      <c r="B250" s="105"/>
      <c r="C250" s="106" t="str">
        <f t="shared" si="5"/>
        <v/>
      </c>
      <c r="D250" s="107"/>
      <c r="E250" s="107"/>
      <c r="F250" s="106" t="str">
        <f>IFERROR(INDEX(Lista_Precios[CÓDIGO],MATCH(Movimientos!$G250,Lista_Precios[PRODUCTO],0)),"")</f>
        <v/>
      </c>
      <c r="G250" s="107"/>
      <c r="H250" s="108"/>
      <c r="I250" s="40"/>
    </row>
    <row r="251" spans="2:9" ht="15.5" x14ac:dyDescent="0.35">
      <c r="B251" s="105"/>
      <c r="C251" s="106" t="str">
        <f t="shared" si="5"/>
        <v/>
      </c>
      <c r="D251" s="107"/>
      <c r="E251" s="107"/>
      <c r="F251" s="106" t="str">
        <f>IFERROR(INDEX(Lista_Precios[CÓDIGO],MATCH(Movimientos!$G251,Lista_Precios[PRODUCTO],0)),"")</f>
        <v/>
      </c>
      <c r="G251" s="107"/>
      <c r="H251" s="108"/>
      <c r="I251" s="40"/>
    </row>
    <row r="252" spans="2:9" ht="15.5" x14ac:dyDescent="0.35">
      <c r="B252" s="105"/>
      <c r="C252" s="106" t="str">
        <f t="shared" si="5"/>
        <v/>
      </c>
      <c r="D252" s="107"/>
      <c r="E252" s="107"/>
      <c r="F252" s="106" t="str">
        <f>IFERROR(INDEX(Lista_Precios[CÓDIGO],MATCH(Movimientos!$G252,Lista_Precios[PRODUCTO],0)),"")</f>
        <v/>
      </c>
      <c r="G252" s="107"/>
      <c r="H252" s="108"/>
      <c r="I252" s="40"/>
    </row>
    <row r="253" spans="2:9" ht="15.5" x14ac:dyDescent="0.35">
      <c r="B253" s="105"/>
      <c r="C253" s="106" t="str">
        <f t="shared" si="5"/>
        <v/>
      </c>
      <c r="D253" s="107"/>
      <c r="E253" s="107"/>
      <c r="F253" s="106" t="str">
        <f>IFERROR(INDEX(Lista_Precios[CÓDIGO],MATCH(Movimientos!$G253,Lista_Precios[PRODUCTO],0)),"")</f>
        <v/>
      </c>
      <c r="G253" s="107"/>
      <c r="H253" s="108"/>
      <c r="I253" s="40"/>
    </row>
    <row r="254" spans="2:9" ht="15.5" x14ac:dyDescent="0.35">
      <c r="B254" s="105"/>
      <c r="C254" s="106" t="str">
        <f t="shared" si="5"/>
        <v/>
      </c>
      <c r="D254" s="107"/>
      <c r="E254" s="107"/>
      <c r="F254" s="106" t="str">
        <f>IFERROR(INDEX(Lista_Precios[CÓDIGO],MATCH(Movimientos!$G254,Lista_Precios[PRODUCTO],0)),"")</f>
        <v/>
      </c>
      <c r="G254" s="107"/>
      <c r="H254" s="108"/>
      <c r="I254" s="40"/>
    </row>
    <row r="255" spans="2:9" ht="15.5" x14ac:dyDescent="0.35">
      <c r="B255" s="105"/>
      <c r="C255" s="106" t="str">
        <f t="shared" si="5"/>
        <v/>
      </c>
      <c r="D255" s="107"/>
      <c r="E255" s="107"/>
      <c r="F255" s="106" t="str">
        <f>IFERROR(INDEX(Lista_Precios[CÓDIGO],MATCH(Movimientos!$G255,Lista_Precios[PRODUCTO],0)),"")</f>
        <v/>
      </c>
      <c r="G255" s="107"/>
      <c r="H255" s="108"/>
      <c r="I255" s="40"/>
    </row>
    <row r="256" spans="2:9" ht="15.5" x14ac:dyDescent="0.35">
      <c r="B256" s="105"/>
      <c r="C256" s="106" t="str">
        <f t="shared" si="5"/>
        <v/>
      </c>
      <c r="D256" s="107"/>
      <c r="E256" s="107"/>
      <c r="F256" s="106" t="str">
        <f>IFERROR(INDEX(Lista_Precios[CÓDIGO],MATCH(Movimientos!$G256,Lista_Precios[PRODUCTO],0)),"")</f>
        <v/>
      </c>
      <c r="G256" s="107"/>
      <c r="H256" s="108"/>
      <c r="I256" s="40"/>
    </row>
    <row r="257" spans="2:9" ht="15.5" x14ac:dyDescent="0.35">
      <c r="B257" s="105"/>
      <c r="C257" s="106" t="str">
        <f t="shared" si="5"/>
        <v/>
      </c>
      <c r="D257" s="107"/>
      <c r="E257" s="107"/>
      <c r="F257" s="106" t="str">
        <f>IFERROR(INDEX(Lista_Precios[CÓDIGO],MATCH(Movimientos!$G257,Lista_Precios[PRODUCTO],0)),"")</f>
        <v/>
      </c>
      <c r="G257" s="107"/>
      <c r="H257" s="108"/>
      <c r="I257" s="40"/>
    </row>
    <row r="258" spans="2:9" ht="15.5" x14ac:dyDescent="0.35">
      <c r="B258" s="105"/>
      <c r="C258" s="106" t="str">
        <f t="shared" si="5"/>
        <v/>
      </c>
      <c r="D258" s="107"/>
      <c r="E258" s="107"/>
      <c r="F258" s="106" t="str">
        <f>IFERROR(INDEX(Lista_Precios[CÓDIGO],MATCH(Movimientos!$G258,Lista_Precios[PRODUCTO],0)),"")</f>
        <v/>
      </c>
      <c r="G258" s="107"/>
      <c r="H258" s="108"/>
      <c r="I258" s="40"/>
    </row>
    <row r="259" spans="2:9" ht="15.5" x14ac:dyDescent="0.35">
      <c r="B259" s="105"/>
      <c r="C259" s="106" t="str">
        <f t="shared" si="5"/>
        <v/>
      </c>
      <c r="D259" s="107"/>
      <c r="E259" s="107"/>
      <c r="F259" s="106" t="str">
        <f>IFERROR(INDEX(Lista_Precios[CÓDIGO],MATCH(Movimientos!$G259,Lista_Precios[PRODUCTO],0)),"")</f>
        <v/>
      </c>
      <c r="G259" s="107"/>
      <c r="H259" s="108"/>
      <c r="I259" s="40"/>
    </row>
    <row r="260" spans="2:9" ht="15.5" x14ac:dyDescent="0.35">
      <c r="B260" s="105"/>
      <c r="C260" s="106" t="str">
        <f t="shared" si="5"/>
        <v/>
      </c>
      <c r="D260" s="107"/>
      <c r="E260" s="107"/>
      <c r="F260" s="106" t="str">
        <f>IFERROR(INDEX(Lista_Precios[CÓDIGO],MATCH(Movimientos!$G260,Lista_Precios[PRODUCTO],0)),"")</f>
        <v/>
      </c>
      <c r="G260" s="107"/>
      <c r="H260" s="108"/>
      <c r="I260" s="40"/>
    </row>
    <row r="261" spans="2:9" ht="15.5" x14ac:dyDescent="0.35">
      <c r="B261" s="105"/>
      <c r="C261" s="106" t="str">
        <f t="shared" si="5"/>
        <v/>
      </c>
      <c r="D261" s="107"/>
      <c r="E261" s="107"/>
      <c r="F261" s="106" t="str">
        <f>IFERROR(INDEX(Lista_Precios[CÓDIGO],MATCH(Movimientos!$G261,Lista_Precios[PRODUCTO],0)),"")</f>
        <v/>
      </c>
      <c r="G261" s="107"/>
      <c r="H261" s="108"/>
      <c r="I261" s="40"/>
    </row>
    <row r="262" spans="2:9" ht="15.5" x14ac:dyDescent="0.35">
      <c r="B262" s="105"/>
      <c r="C262" s="106" t="str">
        <f t="shared" si="5"/>
        <v/>
      </c>
      <c r="D262" s="107"/>
      <c r="E262" s="107"/>
      <c r="F262" s="106" t="str">
        <f>IFERROR(INDEX(Lista_Precios[CÓDIGO],MATCH(Movimientos!$G262,Lista_Precios[PRODUCTO],0)),"")</f>
        <v/>
      </c>
      <c r="G262" s="107"/>
      <c r="H262" s="108"/>
      <c r="I262" s="40"/>
    </row>
    <row r="263" spans="2:9" ht="15.5" x14ac:dyDescent="0.35">
      <c r="B263" s="105"/>
      <c r="C263" s="106" t="str">
        <f t="shared" si="5"/>
        <v/>
      </c>
      <c r="D263" s="107"/>
      <c r="E263" s="107"/>
      <c r="F263" s="106" t="str">
        <f>IFERROR(INDEX(Lista_Precios[CÓDIGO],MATCH(Movimientos!$G263,Lista_Precios[PRODUCTO],0)),"")</f>
        <v/>
      </c>
      <c r="G263" s="107"/>
      <c r="H263" s="108"/>
      <c r="I263" s="40"/>
    </row>
    <row r="264" spans="2:9" ht="15.5" x14ac:dyDescent="0.35">
      <c r="B264" s="105"/>
      <c r="C264" s="106" t="str">
        <f t="shared" si="5"/>
        <v/>
      </c>
      <c r="D264" s="107"/>
      <c r="E264" s="107"/>
      <c r="F264" s="106" t="str">
        <f>IFERROR(INDEX(Lista_Precios[CÓDIGO],MATCH(Movimientos!$G264,Lista_Precios[PRODUCTO],0)),"")</f>
        <v/>
      </c>
      <c r="G264" s="107"/>
      <c r="H264" s="108"/>
      <c r="I264" s="40"/>
    </row>
    <row r="265" spans="2:9" ht="15.5" x14ac:dyDescent="0.35">
      <c r="B265" s="105"/>
      <c r="C265" s="106" t="str">
        <f t="shared" si="5"/>
        <v/>
      </c>
      <c r="D265" s="107"/>
      <c r="E265" s="107"/>
      <c r="F265" s="106" t="str">
        <f>IFERROR(INDEX(Lista_Precios[CÓDIGO],MATCH(Movimientos!$G265,Lista_Precios[PRODUCTO],0)),"")</f>
        <v/>
      </c>
      <c r="G265" s="107"/>
      <c r="H265" s="108"/>
      <c r="I265" s="40"/>
    </row>
    <row r="266" spans="2:9" ht="15.5" x14ac:dyDescent="0.35">
      <c r="B266" s="105"/>
      <c r="C266" s="106" t="str">
        <f t="shared" si="5"/>
        <v/>
      </c>
      <c r="D266" s="107"/>
      <c r="E266" s="107"/>
      <c r="F266" s="106" t="str">
        <f>IFERROR(INDEX(Lista_Precios[CÓDIGO],MATCH(Movimientos!$G266,Lista_Precios[PRODUCTO],0)),"")</f>
        <v/>
      </c>
      <c r="G266" s="107"/>
      <c r="H266" s="108"/>
      <c r="I266" s="40"/>
    </row>
    <row r="267" spans="2:9" ht="15.5" x14ac:dyDescent="0.35">
      <c r="B267" s="105"/>
      <c r="C267" s="106" t="str">
        <f t="shared" si="5"/>
        <v/>
      </c>
      <c r="D267" s="107"/>
      <c r="E267" s="107"/>
      <c r="F267" s="106" t="str">
        <f>IFERROR(INDEX(Lista_Precios[CÓDIGO],MATCH(Movimientos!$G267,Lista_Precios[PRODUCTO],0)),"")</f>
        <v/>
      </c>
      <c r="G267" s="107"/>
      <c r="H267" s="108"/>
      <c r="I267" s="40"/>
    </row>
    <row r="268" spans="2:9" ht="15.5" x14ac:dyDescent="0.35">
      <c r="B268" s="105"/>
      <c r="C268" s="106" t="str">
        <f t="shared" si="5"/>
        <v/>
      </c>
      <c r="D268" s="107"/>
      <c r="E268" s="107"/>
      <c r="F268" s="106" t="str">
        <f>IFERROR(INDEX(Lista_Precios[CÓDIGO],MATCH(Movimientos!$G268,Lista_Precios[PRODUCTO],0)),"")</f>
        <v/>
      </c>
      <c r="G268" s="107"/>
      <c r="H268" s="108"/>
      <c r="I268" s="40"/>
    </row>
    <row r="269" spans="2:9" ht="15.5" x14ac:dyDescent="0.35">
      <c r="B269" s="105"/>
      <c r="C269" s="106" t="str">
        <f t="shared" si="5"/>
        <v/>
      </c>
      <c r="D269" s="107"/>
      <c r="E269" s="107"/>
      <c r="F269" s="106" t="str">
        <f>IFERROR(INDEX(Lista_Precios[CÓDIGO],MATCH(Movimientos!$G269,Lista_Precios[PRODUCTO],0)),"")</f>
        <v/>
      </c>
      <c r="G269" s="107"/>
      <c r="H269" s="108"/>
      <c r="I269" s="40"/>
    </row>
    <row r="270" spans="2:9" ht="15.5" x14ac:dyDescent="0.35">
      <c r="B270" s="105"/>
      <c r="C270" s="106" t="str">
        <f t="shared" si="5"/>
        <v/>
      </c>
      <c r="D270" s="107"/>
      <c r="E270" s="107"/>
      <c r="F270" s="106" t="str">
        <f>IFERROR(INDEX(Lista_Precios[CÓDIGO],MATCH(Movimientos!$G270,Lista_Precios[PRODUCTO],0)),"")</f>
        <v/>
      </c>
      <c r="G270" s="107"/>
      <c r="H270" s="108"/>
      <c r="I270" s="40"/>
    </row>
    <row r="271" spans="2:9" ht="15.5" x14ac:dyDescent="0.35">
      <c r="B271" s="105"/>
      <c r="C271" s="106" t="str">
        <f t="shared" si="5"/>
        <v/>
      </c>
      <c r="D271" s="107"/>
      <c r="E271" s="107"/>
      <c r="F271" s="106" t="str">
        <f>IFERROR(INDEX(Lista_Precios[CÓDIGO],MATCH(Movimientos!$G271,Lista_Precios[PRODUCTO],0)),"")</f>
        <v/>
      </c>
      <c r="G271" s="107"/>
      <c r="H271" s="108"/>
      <c r="I271" s="40"/>
    </row>
    <row r="272" spans="2:9" ht="15.5" x14ac:dyDescent="0.35">
      <c r="B272" s="105"/>
      <c r="C272" s="106" t="str">
        <f t="shared" si="5"/>
        <v/>
      </c>
      <c r="D272" s="107"/>
      <c r="E272" s="107"/>
      <c r="F272" s="106" t="str">
        <f>IFERROR(INDEX(Lista_Precios[CÓDIGO],MATCH(Movimientos!$G272,Lista_Precios[PRODUCTO],0)),"")</f>
        <v/>
      </c>
      <c r="G272" s="107"/>
      <c r="H272" s="108"/>
      <c r="I272" s="40"/>
    </row>
    <row r="273" spans="2:9" ht="15.5" x14ac:dyDescent="0.35">
      <c r="B273" s="105"/>
      <c r="C273" s="106" t="str">
        <f t="shared" si="5"/>
        <v/>
      </c>
      <c r="D273" s="107"/>
      <c r="E273" s="107"/>
      <c r="F273" s="106" t="str">
        <f>IFERROR(INDEX(Lista_Precios[CÓDIGO],MATCH(Movimientos!$G273,Lista_Precios[PRODUCTO],0)),"")</f>
        <v/>
      </c>
      <c r="G273" s="107"/>
      <c r="H273" s="108"/>
      <c r="I273" s="40"/>
    </row>
    <row r="274" spans="2:9" ht="15.5" x14ac:dyDescent="0.35">
      <c r="B274" s="105"/>
      <c r="C274" s="106" t="str">
        <f t="shared" si="5"/>
        <v/>
      </c>
      <c r="D274" s="107"/>
      <c r="E274" s="107"/>
      <c r="F274" s="106" t="str">
        <f>IFERROR(INDEX(Lista_Precios[CÓDIGO],MATCH(Movimientos!$G274,Lista_Precios[PRODUCTO],0)),"")</f>
        <v/>
      </c>
      <c r="G274" s="107"/>
      <c r="H274" s="108"/>
      <c r="I274" s="40"/>
    </row>
    <row r="275" spans="2:9" ht="15.5" x14ac:dyDescent="0.35">
      <c r="B275" s="105"/>
      <c r="C275" s="106" t="str">
        <f t="shared" si="5"/>
        <v/>
      </c>
      <c r="D275" s="107"/>
      <c r="E275" s="107"/>
      <c r="F275" s="106" t="str">
        <f>IFERROR(INDEX(Lista_Precios[CÓDIGO],MATCH(Movimientos!$G275,Lista_Precios[PRODUCTO],0)),"")</f>
        <v/>
      </c>
      <c r="G275" s="107"/>
      <c r="H275" s="108"/>
      <c r="I275" s="40"/>
    </row>
    <row r="276" spans="2:9" ht="15.5" x14ac:dyDescent="0.35">
      <c r="B276" s="105"/>
      <c r="C276" s="106" t="str">
        <f t="shared" si="5"/>
        <v/>
      </c>
      <c r="D276" s="107"/>
      <c r="E276" s="107"/>
      <c r="F276" s="106" t="str">
        <f>IFERROR(INDEX(Lista_Precios[CÓDIGO],MATCH(Movimientos!$G276,Lista_Precios[PRODUCTO],0)),"")</f>
        <v/>
      </c>
      <c r="G276" s="107"/>
      <c r="H276" s="108"/>
      <c r="I276" s="40"/>
    </row>
    <row r="277" spans="2:9" ht="15.5" x14ac:dyDescent="0.35">
      <c r="B277" s="105"/>
      <c r="C277" s="106" t="str">
        <f t="shared" si="5"/>
        <v/>
      </c>
      <c r="D277" s="107"/>
      <c r="E277" s="107"/>
      <c r="F277" s="106" t="str">
        <f>IFERROR(INDEX(Lista_Precios[CÓDIGO],MATCH(Movimientos!$G277,Lista_Precios[PRODUCTO],0)),"")</f>
        <v/>
      </c>
      <c r="G277" s="107"/>
      <c r="H277" s="108"/>
      <c r="I277" s="40"/>
    </row>
    <row r="278" spans="2:9" ht="15.5" x14ac:dyDescent="0.35">
      <c r="B278" s="105"/>
      <c r="C278" s="106" t="str">
        <f t="shared" si="5"/>
        <v/>
      </c>
      <c r="D278" s="107"/>
      <c r="E278" s="107"/>
      <c r="F278" s="106" t="str">
        <f>IFERROR(INDEX(Lista_Precios[CÓDIGO],MATCH(Movimientos!$G278,Lista_Precios[PRODUCTO],0)),"")</f>
        <v/>
      </c>
      <c r="G278" s="107"/>
      <c r="H278" s="108"/>
      <c r="I278" s="40"/>
    </row>
    <row r="279" spans="2:9" ht="15.5" x14ac:dyDescent="0.35">
      <c r="B279" s="105"/>
      <c r="C279" s="106" t="str">
        <f t="shared" si="5"/>
        <v/>
      </c>
      <c r="D279" s="107"/>
      <c r="E279" s="107"/>
      <c r="F279" s="106" t="str">
        <f>IFERROR(INDEX(Lista_Precios[CÓDIGO],MATCH(Movimientos!$G279,Lista_Precios[PRODUCTO],0)),"")</f>
        <v/>
      </c>
      <c r="G279" s="107"/>
      <c r="H279" s="108"/>
      <c r="I279" s="40"/>
    </row>
    <row r="280" spans="2:9" ht="15.5" x14ac:dyDescent="0.35">
      <c r="B280" s="105"/>
      <c r="C280" s="106" t="str">
        <f t="shared" si="5"/>
        <v/>
      </c>
      <c r="D280" s="107"/>
      <c r="E280" s="107"/>
      <c r="F280" s="106" t="str">
        <f>IFERROR(INDEX(Lista_Precios[CÓDIGO],MATCH(Movimientos!$G280,Lista_Precios[PRODUCTO],0)),"")</f>
        <v/>
      </c>
      <c r="G280" s="107"/>
      <c r="H280" s="108"/>
      <c r="I280" s="40"/>
    </row>
    <row r="281" spans="2:9" ht="15.5" x14ac:dyDescent="0.35">
      <c r="B281" s="105"/>
      <c r="C281" s="106" t="str">
        <f t="shared" si="5"/>
        <v/>
      </c>
      <c r="D281" s="107"/>
      <c r="E281" s="107"/>
      <c r="F281" s="106" t="str">
        <f>IFERROR(INDEX(Lista_Precios[CÓDIGO],MATCH(Movimientos!$G281,Lista_Precios[PRODUCTO],0)),"")</f>
        <v/>
      </c>
      <c r="G281" s="107"/>
      <c r="H281" s="108"/>
      <c r="I281" s="40"/>
    </row>
    <row r="282" spans="2:9" ht="15.5" x14ac:dyDescent="0.35">
      <c r="B282" s="105"/>
      <c r="C282" s="106" t="str">
        <f t="shared" si="5"/>
        <v/>
      </c>
      <c r="D282" s="107"/>
      <c r="E282" s="107"/>
      <c r="F282" s="106" t="str">
        <f>IFERROR(INDEX(Lista_Precios[CÓDIGO],MATCH(Movimientos!$G282,Lista_Precios[PRODUCTO],0)),"")</f>
        <v/>
      </c>
      <c r="G282" s="107"/>
      <c r="H282" s="108"/>
      <c r="I282" s="40"/>
    </row>
    <row r="283" spans="2:9" ht="15.5" x14ac:dyDescent="0.35">
      <c r="B283" s="105"/>
      <c r="C283" s="106" t="str">
        <f t="shared" si="5"/>
        <v/>
      </c>
      <c r="D283" s="107"/>
      <c r="E283" s="107"/>
      <c r="F283" s="106" t="str">
        <f>IFERROR(INDEX(Lista_Precios[CÓDIGO],MATCH(Movimientos!$G283,Lista_Precios[PRODUCTO],0)),"")</f>
        <v/>
      </c>
      <c r="G283" s="107"/>
      <c r="H283" s="108"/>
      <c r="I283" s="40"/>
    </row>
    <row r="284" spans="2:9" ht="15.5" x14ac:dyDescent="0.35">
      <c r="B284" s="105"/>
      <c r="C284" s="106" t="str">
        <f t="shared" si="5"/>
        <v/>
      </c>
      <c r="D284" s="107"/>
      <c r="E284" s="107"/>
      <c r="F284" s="106" t="str">
        <f>IFERROR(INDEX(Lista_Precios[CÓDIGO],MATCH(Movimientos!$G284,Lista_Precios[PRODUCTO],0)),"")</f>
        <v/>
      </c>
      <c r="G284" s="107"/>
      <c r="H284" s="108"/>
      <c r="I284" s="40"/>
    </row>
    <row r="285" spans="2:9" ht="15.5" x14ac:dyDescent="0.35">
      <c r="B285" s="105"/>
      <c r="C285" s="106" t="str">
        <f t="shared" si="5"/>
        <v/>
      </c>
      <c r="D285" s="107"/>
      <c r="E285" s="107"/>
      <c r="F285" s="106" t="str">
        <f>IFERROR(INDEX(Lista_Precios[CÓDIGO],MATCH(Movimientos!$G285,Lista_Precios[PRODUCTO],0)),"")</f>
        <v/>
      </c>
      <c r="G285" s="107"/>
      <c r="H285" s="108"/>
      <c r="I285" s="40"/>
    </row>
    <row r="286" spans="2:9" ht="15.5" x14ac:dyDescent="0.35">
      <c r="B286" s="105"/>
      <c r="C286" s="106" t="str">
        <f t="shared" si="5"/>
        <v/>
      </c>
      <c r="D286" s="107"/>
      <c r="E286" s="107"/>
      <c r="F286" s="106" t="str">
        <f>IFERROR(INDEX(Lista_Precios[CÓDIGO],MATCH(Movimientos!$G286,Lista_Precios[PRODUCTO],0)),"")</f>
        <v/>
      </c>
      <c r="G286" s="107"/>
      <c r="H286" s="108"/>
      <c r="I286" s="40"/>
    </row>
    <row r="287" spans="2:9" ht="15.5" x14ac:dyDescent="0.35">
      <c r="B287" s="105"/>
      <c r="C287" s="106" t="str">
        <f t="shared" si="5"/>
        <v/>
      </c>
      <c r="D287" s="107"/>
      <c r="E287" s="107"/>
      <c r="F287" s="106" t="str">
        <f>IFERROR(INDEX(Lista_Precios[CÓDIGO],MATCH(Movimientos!$G287,Lista_Precios[PRODUCTO],0)),"")</f>
        <v/>
      </c>
      <c r="G287" s="107"/>
      <c r="H287" s="108"/>
      <c r="I287" s="40"/>
    </row>
    <row r="288" spans="2:9" ht="15.5" x14ac:dyDescent="0.35">
      <c r="B288" s="105"/>
      <c r="C288" s="106" t="str">
        <f t="shared" si="5"/>
        <v/>
      </c>
      <c r="D288" s="107"/>
      <c r="E288" s="107"/>
      <c r="F288" s="106" t="str">
        <f>IFERROR(INDEX(Lista_Precios[CÓDIGO],MATCH(Movimientos!$G288,Lista_Precios[PRODUCTO],0)),"")</f>
        <v/>
      </c>
      <c r="G288" s="107"/>
      <c r="H288" s="108"/>
      <c r="I288" s="40"/>
    </row>
    <row r="289" spans="2:9" ht="15.5" x14ac:dyDescent="0.35">
      <c r="B289" s="105"/>
      <c r="C289" s="106" t="str">
        <f t="shared" si="5"/>
        <v/>
      </c>
      <c r="D289" s="107"/>
      <c r="E289" s="107"/>
      <c r="F289" s="106" t="str">
        <f>IFERROR(INDEX(Lista_Precios[CÓDIGO],MATCH(Movimientos!$G289,Lista_Precios[PRODUCTO],0)),"")</f>
        <v/>
      </c>
      <c r="G289" s="107"/>
      <c r="H289" s="108"/>
      <c r="I289" s="40"/>
    </row>
    <row r="290" spans="2:9" ht="15.5" x14ac:dyDescent="0.35">
      <c r="B290" s="105"/>
      <c r="C290" s="106" t="str">
        <f t="shared" si="5"/>
        <v/>
      </c>
      <c r="D290" s="107"/>
      <c r="E290" s="107"/>
      <c r="F290" s="106" t="str">
        <f>IFERROR(INDEX(Lista_Precios[CÓDIGO],MATCH(Movimientos!$G290,Lista_Precios[PRODUCTO],0)),"")</f>
        <v/>
      </c>
      <c r="G290" s="107"/>
      <c r="H290" s="108"/>
      <c r="I290" s="40"/>
    </row>
    <row r="291" spans="2:9" ht="15.5" x14ac:dyDescent="0.35">
      <c r="B291" s="105"/>
      <c r="C291" s="106" t="str">
        <f t="shared" si="5"/>
        <v/>
      </c>
      <c r="D291" s="107"/>
      <c r="E291" s="107"/>
      <c r="F291" s="106" t="str">
        <f>IFERROR(INDEX(Lista_Precios[CÓDIGO],MATCH(Movimientos!$G291,Lista_Precios[PRODUCTO],0)),"")</f>
        <v/>
      </c>
      <c r="G291" s="107"/>
      <c r="H291" s="108"/>
      <c r="I291" s="40"/>
    </row>
    <row r="292" spans="2:9" ht="15.5" x14ac:dyDescent="0.35">
      <c r="B292" s="105"/>
      <c r="C292" s="106" t="str">
        <f t="shared" si="5"/>
        <v/>
      </c>
      <c r="D292" s="107"/>
      <c r="E292" s="107"/>
      <c r="F292" s="106" t="str">
        <f>IFERROR(INDEX(Lista_Precios[CÓDIGO],MATCH(Movimientos!$G292,Lista_Precios[PRODUCTO],0)),"")</f>
        <v/>
      </c>
      <c r="G292" s="107"/>
      <c r="H292" s="108"/>
      <c r="I292" s="40"/>
    </row>
    <row r="293" spans="2:9" ht="15.5" x14ac:dyDescent="0.35">
      <c r="B293" s="105"/>
      <c r="C293" s="106" t="str">
        <f t="shared" si="5"/>
        <v/>
      </c>
      <c r="D293" s="107"/>
      <c r="E293" s="107"/>
      <c r="F293" s="106" t="str">
        <f>IFERROR(INDEX(Lista_Precios[CÓDIGO],MATCH(Movimientos!$G293,Lista_Precios[PRODUCTO],0)),"")</f>
        <v/>
      </c>
      <c r="G293" s="107"/>
      <c r="H293" s="108"/>
      <c r="I293" s="40"/>
    </row>
    <row r="294" spans="2:9" ht="15.5" x14ac:dyDescent="0.35">
      <c r="B294" s="105"/>
      <c r="C294" s="106" t="str">
        <f t="shared" si="5"/>
        <v/>
      </c>
      <c r="D294" s="107"/>
      <c r="E294" s="107"/>
      <c r="F294" s="106" t="str">
        <f>IFERROR(INDEX(Lista_Precios[CÓDIGO],MATCH(Movimientos!$G294,Lista_Precios[PRODUCTO],0)),"")</f>
        <v/>
      </c>
      <c r="G294" s="107"/>
      <c r="H294" s="108"/>
      <c r="I294" s="40"/>
    </row>
    <row r="295" spans="2:9" ht="15.5" x14ac:dyDescent="0.35">
      <c r="B295" s="105"/>
      <c r="C295" s="106" t="str">
        <f t="shared" ref="C295:C358" si="6">IF(B295="","",TEXT(B295,"Mmmm"))</f>
        <v/>
      </c>
      <c r="D295" s="107"/>
      <c r="E295" s="107"/>
      <c r="F295" s="106" t="str">
        <f>IFERROR(INDEX(Lista_Precios[CÓDIGO],MATCH(Movimientos!$G295,Lista_Precios[PRODUCTO],0)),"")</f>
        <v/>
      </c>
      <c r="G295" s="107"/>
      <c r="H295" s="108"/>
      <c r="I295" s="40"/>
    </row>
    <row r="296" spans="2:9" ht="15.5" x14ac:dyDescent="0.35">
      <c r="B296" s="105"/>
      <c r="C296" s="106" t="str">
        <f t="shared" si="6"/>
        <v/>
      </c>
      <c r="D296" s="107"/>
      <c r="E296" s="107"/>
      <c r="F296" s="106" t="str">
        <f>IFERROR(INDEX(Lista_Precios[CÓDIGO],MATCH(Movimientos!$G296,Lista_Precios[PRODUCTO],0)),"")</f>
        <v/>
      </c>
      <c r="G296" s="107"/>
      <c r="H296" s="108"/>
      <c r="I296" s="40"/>
    </row>
    <row r="297" spans="2:9" ht="15.5" x14ac:dyDescent="0.35">
      <c r="B297" s="105"/>
      <c r="C297" s="106" t="str">
        <f t="shared" si="6"/>
        <v/>
      </c>
      <c r="D297" s="107"/>
      <c r="E297" s="107"/>
      <c r="F297" s="106" t="str">
        <f>IFERROR(INDEX(Lista_Precios[CÓDIGO],MATCH(Movimientos!$G297,Lista_Precios[PRODUCTO],0)),"")</f>
        <v/>
      </c>
      <c r="G297" s="107"/>
      <c r="H297" s="108"/>
      <c r="I297" s="40"/>
    </row>
    <row r="298" spans="2:9" ht="15.5" x14ac:dyDescent="0.35">
      <c r="B298" s="105"/>
      <c r="C298" s="106" t="str">
        <f t="shared" si="6"/>
        <v/>
      </c>
      <c r="D298" s="107"/>
      <c r="E298" s="107"/>
      <c r="F298" s="106" t="str">
        <f>IFERROR(INDEX(Lista_Precios[CÓDIGO],MATCH(Movimientos!$G298,Lista_Precios[PRODUCTO],0)),"")</f>
        <v/>
      </c>
      <c r="G298" s="107"/>
      <c r="H298" s="108"/>
      <c r="I298" s="40"/>
    </row>
    <row r="299" spans="2:9" ht="15.5" x14ac:dyDescent="0.35">
      <c r="B299" s="105"/>
      <c r="C299" s="106" t="str">
        <f t="shared" si="6"/>
        <v/>
      </c>
      <c r="D299" s="107"/>
      <c r="E299" s="107"/>
      <c r="F299" s="106" t="str">
        <f>IFERROR(INDEX(Lista_Precios[CÓDIGO],MATCH(Movimientos!$G299,Lista_Precios[PRODUCTO],0)),"")</f>
        <v/>
      </c>
      <c r="G299" s="107"/>
      <c r="H299" s="108"/>
      <c r="I299" s="40"/>
    </row>
    <row r="300" spans="2:9" ht="15.5" x14ac:dyDescent="0.35">
      <c r="B300" s="105"/>
      <c r="C300" s="106" t="str">
        <f t="shared" si="6"/>
        <v/>
      </c>
      <c r="D300" s="107"/>
      <c r="E300" s="107"/>
      <c r="F300" s="106" t="str">
        <f>IFERROR(INDEX(Lista_Precios[CÓDIGO],MATCH(Movimientos!$G300,Lista_Precios[PRODUCTO],0)),"")</f>
        <v/>
      </c>
      <c r="G300" s="107"/>
      <c r="H300" s="108"/>
      <c r="I300" s="40"/>
    </row>
    <row r="301" spans="2:9" ht="15.5" x14ac:dyDescent="0.35">
      <c r="B301" s="105"/>
      <c r="C301" s="106" t="str">
        <f t="shared" si="6"/>
        <v/>
      </c>
      <c r="D301" s="107"/>
      <c r="E301" s="107"/>
      <c r="F301" s="106" t="str">
        <f>IFERROR(INDEX(Lista_Precios[CÓDIGO],MATCH(Movimientos!$G301,Lista_Precios[PRODUCTO],0)),"")</f>
        <v/>
      </c>
      <c r="G301" s="107"/>
      <c r="H301" s="108"/>
      <c r="I301" s="40"/>
    </row>
    <row r="302" spans="2:9" ht="15.5" x14ac:dyDescent="0.35">
      <c r="B302" s="105"/>
      <c r="C302" s="106" t="str">
        <f t="shared" si="6"/>
        <v/>
      </c>
      <c r="D302" s="107"/>
      <c r="E302" s="107"/>
      <c r="F302" s="106" t="str">
        <f>IFERROR(INDEX(Lista_Precios[CÓDIGO],MATCH(Movimientos!$G302,Lista_Precios[PRODUCTO],0)),"")</f>
        <v/>
      </c>
      <c r="G302" s="107"/>
      <c r="H302" s="108"/>
      <c r="I302" s="40"/>
    </row>
    <row r="303" spans="2:9" ht="15.5" x14ac:dyDescent="0.35">
      <c r="B303" s="105"/>
      <c r="C303" s="106" t="str">
        <f t="shared" si="6"/>
        <v/>
      </c>
      <c r="D303" s="107"/>
      <c r="E303" s="107"/>
      <c r="F303" s="106" t="str">
        <f>IFERROR(INDEX(Lista_Precios[CÓDIGO],MATCH(Movimientos!$G303,Lista_Precios[PRODUCTO],0)),"")</f>
        <v/>
      </c>
      <c r="G303" s="107"/>
      <c r="H303" s="108"/>
      <c r="I303" s="40"/>
    </row>
    <row r="304" spans="2:9" ht="15.5" x14ac:dyDescent="0.35">
      <c r="B304" s="105"/>
      <c r="C304" s="106" t="str">
        <f t="shared" si="6"/>
        <v/>
      </c>
      <c r="D304" s="107"/>
      <c r="E304" s="107"/>
      <c r="F304" s="106" t="str">
        <f>IFERROR(INDEX(Lista_Precios[CÓDIGO],MATCH(Movimientos!$G304,Lista_Precios[PRODUCTO],0)),"")</f>
        <v/>
      </c>
      <c r="G304" s="107"/>
      <c r="H304" s="108"/>
      <c r="I304" s="40"/>
    </row>
    <row r="305" spans="2:9" ht="15.5" x14ac:dyDescent="0.35">
      <c r="B305" s="105"/>
      <c r="C305" s="106" t="str">
        <f t="shared" si="6"/>
        <v/>
      </c>
      <c r="D305" s="107"/>
      <c r="E305" s="107"/>
      <c r="F305" s="106" t="str">
        <f>IFERROR(INDEX(Lista_Precios[CÓDIGO],MATCH(Movimientos!$G305,Lista_Precios[PRODUCTO],0)),"")</f>
        <v/>
      </c>
      <c r="G305" s="107"/>
      <c r="H305" s="108"/>
      <c r="I305" s="40"/>
    </row>
    <row r="306" spans="2:9" ht="15.5" x14ac:dyDescent="0.35">
      <c r="B306" s="105"/>
      <c r="C306" s="106" t="str">
        <f t="shared" si="6"/>
        <v/>
      </c>
      <c r="D306" s="107"/>
      <c r="E306" s="107"/>
      <c r="F306" s="106" t="str">
        <f>IFERROR(INDEX(Lista_Precios[CÓDIGO],MATCH(Movimientos!$G306,Lista_Precios[PRODUCTO],0)),"")</f>
        <v/>
      </c>
      <c r="G306" s="107"/>
      <c r="H306" s="108"/>
      <c r="I306" s="40"/>
    </row>
    <row r="307" spans="2:9" ht="15.5" x14ac:dyDescent="0.35">
      <c r="B307" s="105"/>
      <c r="C307" s="106" t="str">
        <f t="shared" si="6"/>
        <v/>
      </c>
      <c r="D307" s="107"/>
      <c r="E307" s="107"/>
      <c r="F307" s="106" t="str">
        <f>IFERROR(INDEX(Lista_Precios[CÓDIGO],MATCH(Movimientos!$G307,Lista_Precios[PRODUCTO],0)),"")</f>
        <v/>
      </c>
      <c r="G307" s="107"/>
      <c r="H307" s="108"/>
      <c r="I307" s="40"/>
    </row>
    <row r="308" spans="2:9" ht="15.5" x14ac:dyDescent="0.35">
      <c r="B308" s="105"/>
      <c r="C308" s="106" t="str">
        <f t="shared" si="6"/>
        <v/>
      </c>
      <c r="D308" s="107"/>
      <c r="E308" s="107"/>
      <c r="F308" s="106" t="str">
        <f>IFERROR(INDEX(Lista_Precios[CÓDIGO],MATCH(Movimientos!$G308,Lista_Precios[PRODUCTO],0)),"")</f>
        <v/>
      </c>
      <c r="G308" s="107"/>
      <c r="H308" s="108"/>
      <c r="I308" s="40"/>
    </row>
    <row r="309" spans="2:9" ht="15.5" x14ac:dyDescent="0.35">
      <c r="B309" s="105"/>
      <c r="C309" s="106" t="str">
        <f t="shared" si="6"/>
        <v/>
      </c>
      <c r="D309" s="107"/>
      <c r="E309" s="107"/>
      <c r="F309" s="106" t="str">
        <f>IFERROR(INDEX(Lista_Precios[CÓDIGO],MATCH(Movimientos!$G309,Lista_Precios[PRODUCTO],0)),"")</f>
        <v/>
      </c>
      <c r="G309" s="107"/>
      <c r="H309" s="108"/>
      <c r="I309" s="40"/>
    </row>
    <row r="310" spans="2:9" ht="15.5" x14ac:dyDescent="0.35">
      <c r="B310" s="105"/>
      <c r="C310" s="106" t="str">
        <f t="shared" si="6"/>
        <v/>
      </c>
      <c r="D310" s="107"/>
      <c r="E310" s="107"/>
      <c r="F310" s="106" t="str">
        <f>IFERROR(INDEX(Lista_Precios[CÓDIGO],MATCH(Movimientos!$G310,Lista_Precios[PRODUCTO],0)),"")</f>
        <v/>
      </c>
      <c r="G310" s="107"/>
      <c r="H310" s="108"/>
      <c r="I310" s="40"/>
    </row>
    <row r="311" spans="2:9" ht="15.5" x14ac:dyDescent="0.35">
      <c r="B311" s="105"/>
      <c r="C311" s="106" t="str">
        <f t="shared" si="6"/>
        <v/>
      </c>
      <c r="D311" s="107"/>
      <c r="E311" s="107"/>
      <c r="F311" s="106" t="str">
        <f>IFERROR(INDEX(Lista_Precios[CÓDIGO],MATCH(Movimientos!$G311,Lista_Precios[PRODUCTO],0)),"")</f>
        <v/>
      </c>
      <c r="G311" s="107"/>
      <c r="H311" s="108"/>
      <c r="I311" s="40"/>
    </row>
    <row r="312" spans="2:9" ht="15.5" x14ac:dyDescent="0.35">
      <c r="B312" s="105"/>
      <c r="C312" s="106" t="str">
        <f t="shared" si="6"/>
        <v/>
      </c>
      <c r="D312" s="107"/>
      <c r="E312" s="107"/>
      <c r="F312" s="106" t="str">
        <f>IFERROR(INDEX(Lista_Precios[CÓDIGO],MATCH(Movimientos!$G312,Lista_Precios[PRODUCTO],0)),"")</f>
        <v/>
      </c>
      <c r="G312" s="107"/>
      <c r="H312" s="108"/>
      <c r="I312" s="40"/>
    </row>
    <row r="313" spans="2:9" ht="15.5" x14ac:dyDescent="0.35">
      <c r="B313" s="105"/>
      <c r="C313" s="106" t="str">
        <f t="shared" si="6"/>
        <v/>
      </c>
      <c r="D313" s="107"/>
      <c r="E313" s="107"/>
      <c r="F313" s="106" t="str">
        <f>IFERROR(INDEX(Lista_Precios[CÓDIGO],MATCH(Movimientos!$G313,Lista_Precios[PRODUCTO],0)),"")</f>
        <v/>
      </c>
      <c r="G313" s="107"/>
      <c r="H313" s="108"/>
      <c r="I313" s="40"/>
    </row>
    <row r="314" spans="2:9" ht="15.5" x14ac:dyDescent="0.35">
      <c r="B314" s="105"/>
      <c r="C314" s="106" t="str">
        <f t="shared" si="6"/>
        <v/>
      </c>
      <c r="D314" s="107"/>
      <c r="E314" s="107"/>
      <c r="F314" s="106" t="str">
        <f>IFERROR(INDEX(Lista_Precios[CÓDIGO],MATCH(Movimientos!$G314,Lista_Precios[PRODUCTO],0)),"")</f>
        <v/>
      </c>
      <c r="G314" s="107"/>
      <c r="H314" s="108"/>
      <c r="I314" s="40"/>
    </row>
    <row r="315" spans="2:9" ht="15.5" x14ac:dyDescent="0.35">
      <c r="B315" s="105"/>
      <c r="C315" s="106" t="str">
        <f t="shared" si="6"/>
        <v/>
      </c>
      <c r="D315" s="107"/>
      <c r="E315" s="107"/>
      <c r="F315" s="106" t="str">
        <f>IFERROR(INDEX(Lista_Precios[CÓDIGO],MATCH(Movimientos!$G315,Lista_Precios[PRODUCTO],0)),"")</f>
        <v/>
      </c>
      <c r="G315" s="107"/>
      <c r="H315" s="108"/>
      <c r="I315" s="40"/>
    </row>
    <row r="316" spans="2:9" ht="15.5" x14ac:dyDescent="0.35">
      <c r="B316" s="105"/>
      <c r="C316" s="106" t="str">
        <f t="shared" si="6"/>
        <v/>
      </c>
      <c r="D316" s="107"/>
      <c r="E316" s="107"/>
      <c r="F316" s="106" t="str">
        <f>IFERROR(INDEX(Lista_Precios[CÓDIGO],MATCH(Movimientos!$G316,Lista_Precios[PRODUCTO],0)),"")</f>
        <v/>
      </c>
      <c r="G316" s="107"/>
      <c r="H316" s="108"/>
      <c r="I316" s="40"/>
    </row>
    <row r="317" spans="2:9" ht="15.5" x14ac:dyDescent="0.35">
      <c r="B317" s="105"/>
      <c r="C317" s="106" t="str">
        <f t="shared" si="6"/>
        <v/>
      </c>
      <c r="D317" s="107"/>
      <c r="E317" s="107"/>
      <c r="F317" s="106" t="str">
        <f>IFERROR(INDEX(Lista_Precios[CÓDIGO],MATCH(Movimientos!$G317,Lista_Precios[PRODUCTO],0)),"")</f>
        <v/>
      </c>
      <c r="G317" s="107"/>
      <c r="H317" s="108"/>
      <c r="I317" s="40"/>
    </row>
    <row r="318" spans="2:9" ht="15.5" x14ac:dyDescent="0.35">
      <c r="B318" s="105"/>
      <c r="C318" s="106" t="str">
        <f t="shared" si="6"/>
        <v/>
      </c>
      <c r="D318" s="107"/>
      <c r="E318" s="107"/>
      <c r="F318" s="106" t="str">
        <f>IFERROR(INDEX(Lista_Precios[CÓDIGO],MATCH(Movimientos!$G318,Lista_Precios[PRODUCTO],0)),"")</f>
        <v/>
      </c>
      <c r="G318" s="107"/>
      <c r="H318" s="108"/>
      <c r="I318" s="40"/>
    </row>
    <row r="319" spans="2:9" ht="15.5" x14ac:dyDescent="0.35">
      <c r="B319" s="105"/>
      <c r="C319" s="106" t="str">
        <f t="shared" si="6"/>
        <v/>
      </c>
      <c r="D319" s="107"/>
      <c r="E319" s="107"/>
      <c r="F319" s="106" t="str">
        <f>IFERROR(INDEX(Lista_Precios[CÓDIGO],MATCH(Movimientos!$G319,Lista_Precios[PRODUCTO],0)),"")</f>
        <v/>
      </c>
      <c r="G319" s="107"/>
      <c r="H319" s="108"/>
      <c r="I319" s="40"/>
    </row>
    <row r="320" spans="2:9" ht="15.5" x14ac:dyDescent="0.35">
      <c r="B320" s="105"/>
      <c r="C320" s="106" t="str">
        <f t="shared" si="6"/>
        <v/>
      </c>
      <c r="D320" s="107"/>
      <c r="E320" s="107"/>
      <c r="F320" s="106" t="str">
        <f>IFERROR(INDEX(Lista_Precios[CÓDIGO],MATCH(Movimientos!$G320,Lista_Precios[PRODUCTO],0)),"")</f>
        <v/>
      </c>
      <c r="G320" s="107"/>
      <c r="H320" s="108"/>
      <c r="I320" s="40"/>
    </row>
    <row r="321" spans="2:9" ht="15.5" x14ac:dyDescent="0.35">
      <c r="B321" s="105"/>
      <c r="C321" s="106" t="str">
        <f t="shared" si="6"/>
        <v/>
      </c>
      <c r="D321" s="107"/>
      <c r="E321" s="107"/>
      <c r="F321" s="106" t="str">
        <f>IFERROR(INDEX(Lista_Precios[CÓDIGO],MATCH(Movimientos!$G321,Lista_Precios[PRODUCTO],0)),"")</f>
        <v/>
      </c>
      <c r="G321" s="107"/>
      <c r="H321" s="108"/>
      <c r="I321" s="40"/>
    </row>
    <row r="322" spans="2:9" ht="15.5" x14ac:dyDescent="0.35">
      <c r="B322" s="105"/>
      <c r="C322" s="106" t="str">
        <f t="shared" si="6"/>
        <v/>
      </c>
      <c r="D322" s="107"/>
      <c r="E322" s="107"/>
      <c r="F322" s="106" t="str">
        <f>IFERROR(INDEX(Lista_Precios[CÓDIGO],MATCH(Movimientos!$G322,Lista_Precios[PRODUCTO],0)),"")</f>
        <v/>
      </c>
      <c r="G322" s="107"/>
      <c r="H322" s="108"/>
      <c r="I322" s="40"/>
    </row>
    <row r="323" spans="2:9" ht="15.5" x14ac:dyDescent="0.35">
      <c r="B323" s="105"/>
      <c r="C323" s="106" t="str">
        <f t="shared" si="6"/>
        <v/>
      </c>
      <c r="D323" s="107"/>
      <c r="E323" s="107"/>
      <c r="F323" s="106" t="str">
        <f>IFERROR(INDEX(Lista_Precios[CÓDIGO],MATCH(Movimientos!$G323,Lista_Precios[PRODUCTO],0)),"")</f>
        <v/>
      </c>
      <c r="G323" s="107"/>
      <c r="H323" s="108"/>
      <c r="I323" s="40"/>
    </row>
    <row r="324" spans="2:9" ht="15.5" x14ac:dyDescent="0.35">
      <c r="B324" s="105"/>
      <c r="C324" s="106" t="str">
        <f t="shared" si="6"/>
        <v/>
      </c>
      <c r="D324" s="107"/>
      <c r="E324" s="107"/>
      <c r="F324" s="106" t="str">
        <f>IFERROR(INDEX(Lista_Precios[CÓDIGO],MATCH(Movimientos!$G324,Lista_Precios[PRODUCTO],0)),"")</f>
        <v/>
      </c>
      <c r="G324" s="107"/>
      <c r="H324" s="108"/>
      <c r="I324" s="40"/>
    </row>
    <row r="325" spans="2:9" ht="15.5" x14ac:dyDescent="0.35">
      <c r="B325" s="105"/>
      <c r="C325" s="106" t="str">
        <f t="shared" si="6"/>
        <v/>
      </c>
      <c r="D325" s="107"/>
      <c r="E325" s="107"/>
      <c r="F325" s="106" t="str">
        <f>IFERROR(INDEX(Lista_Precios[CÓDIGO],MATCH(Movimientos!$G325,Lista_Precios[PRODUCTO],0)),"")</f>
        <v/>
      </c>
      <c r="G325" s="107"/>
      <c r="H325" s="108"/>
      <c r="I325" s="40"/>
    </row>
    <row r="326" spans="2:9" ht="15.5" x14ac:dyDescent="0.35">
      <c r="B326" s="105"/>
      <c r="C326" s="106" t="str">
        <f t="shared" si="6"/>
        <v/>
      </c>
      <c r="D326" s="107"/>
      <c r="E326" s="107"/>
      <c r="F326" s="106" t="str">
        <f>IFERROR(INDEX(Lista_Precios[CÓDIGO],MATCH(Movimientos!$G326,Lista_Precios[PRODUCTO],0)),"")</f>
        <v/>
      </c>
      <c r="G326" s="107"/>
      <c r="H326" s="108"/>
      <c r="I326" s="40"/>
    </row>
    <row r="327" spans="2:9" ht="15.5" x14ac:dyDescent="0.35">
      <c r="B327" s="105"/>
      <c r="C327" s="106" t="str">
        <f t="shared" si="6"/>
        <v/>
      </c>
      <c r="D327" s="107"/>
      <c r="E327" s="107"/>
      <c r="F327" s="106" t="str">
        <f>IFERROR(INDEX(Lista_Precios[CÓDIGO],MATCH(Movimientos!$G327,Lista_Precios[PRODUCTO],0)),"")</f>
        <v/>
      </c>
      <c r="G327" s="107"/>
      <c r="H327" s="108"/>
      <c r="I327" s="40"/>
    </row>
    <row r="328" spans="2:9" ht="15.5" x14ac:dyDescent="0.35">
      <c r="B328" s="105"/>
      <c r="C328" s="106" t="str">
        <f t="shared" si="6"/>
        <v/>
      </c>
      <c r="D328" s="107"/>
      <c r="E328" s="107"/>
      <c r="F328" s="106" t="str">
        <f>IFERROR(INDEX(Lista_Precios[CÓDIGO],MATCH(Movimientos!$G328,Lista_Precios[PRODUCTO],0)),"")</f>
        <v/>
      </c>
      <c r="G328" s="107"/>
      <c r="H328" s="108"/>
      <c r="I328" s="40"/>
    </row>
    <row r="329" spans="2:9" ht="15.5" x14ac:dyDescent="0.35">
      <c r="B329" s="105"/>
      <c r="C329" s="106" t="str">
        <f t="shared" si="6"/>
        <v/>
      </c>
      <c r="D329" s="107"/>
      <c r="E329" s="107"/>
      <c r="F329" s="106" t="str">
        <f>IFERROR(INDEX(Lista_Precios[CÓDIGO],MATCH(Movimientos!$G329,Lista_Precios[PRODUCTO],0)),"")</f>
        <v/>
      </c>
      <c r="G329" s="107"/>
      <c r="H329" s="108"/>
      <c r="I329" s="40"/>
    </row>
    <row r="330" spans="2:9" ht="15.5" x14ac:dyDescent="0.35">
      <c r="B330" s="105"/>
      <c r="C330" s="106" t="str">
        <f t="shared" si="6"/>
        <v/>
      </c>
      <c r="D330" s="107"/>
      <c r="E330" s="107"/>
      <c r="F330" s="106" t="str">
        <f>IFERROR(INDEX(Lista_Precios[CÓDIGO],MATCH(Movimientos!$G330,Lista_Precios[PRODUCTO],0)),"")</f>
        <v/>
      </c>
      <c r="G330" s="107"/>
      <c r="H330" s="108"/>
      <c r="I330" s="40"/>
    </row>
    <row r="331" spans="2:9" ht="15.5" x14ac:dyDescent="0.35">
      <c r="B331" s="105"/>
      <c r="C331" s="106" t="str">
        <f t="shared" si="6"/>
        <v/>
      </c>
      <c r="D331" s="107"/>
      <c r="E331" s="107"/>
      <c r="F331" s="106" t="str">
        <f>IFERROR(INDEX(Lista_Precios[CÓDIGO],MATCH(Movimientos!$G331,Lista_Precios[PRODUCTO],0)),"")</f>
        <v/>
      </c>
      <c r="G331" s="107"/>
      <c r="H331" s="108"/>
      <c r="I331" s="40"/>
    </row>
    <row r="332" spans="2:9" ht="15.5" x14ac:dyDescent="0.35">
      <c r="B332" s="105"/>
      <c r="C332" s="106" t="str">
        <f t="shared" si="6"/>
        <v/>
      </c>
      <c r="D332" s="107"/>
      <c r="E332" s="107"/>
      <c r="F332" s="106" t="str">
        <f>IFERROR(INDEX(Lista_Precios[CÓDIGO],MATCH(Movimientos!$G332,Lista_Precios[PRODUCTO],0)),"")</f>
        <v/>
      </c>
      <c r="G332" s="107"/>
      <c r="H332" s="108"/>
      <c r="I332" s="40"/>
    </row>
    <row r="333" spans="2:9" ht="15.5" x14ac:dyDescent="0.35">
      <c r="B333" s="105"/>
      <c r="C333" s="106" t="str">
        <f t="shared" si="6"/>
        <v/>
      </c>
      <c r="D333" s="107"/>
      <c r="E333" s="107"/>
      <c r="F333" s="106" t="str">
        <f>IFERROR(INDEX(Lista_Precios[CÓDIGO],MATCH(Movimientos!$G333,Lista_Precios[PRODUCTO],0)),"")</f>
        <v/>
      </c>
      <c r="G333" s="107"/>
      <c r="H333" s="108"/>
      <c r="I333" s="40"/>
    </row>
    <row r="334" spans="2:9" ht="15.5" x14ac:dyDescent="0.35">
      <c r="B334" s="105"/>
      <c r="C334" s="106" t="str">
        <f t="shared" si="6"/>
        <v/>
      </c>
      <c r="D334" s="107"/>
      <c r="E334" s="107"/>
      <c r="F334" s="106" t="str">
        <f>IFERROR(INDEX(Lista_Precios[CÓDIGO],MATCH(Movimientos!$G334,Lista_Precios[PRODUCTO],0)),"")</f>
        <v/>
      </c>
      <c r="G334" s="107"/>
      <c r="H334" s="108"/>
      <c r="I334" s="40"/>
    </row>
    <row r="335" spans="2:9" ht="15.5" x14ac:dyDescent="0.35">
      <c r="B335" s="105"/>
      <c r="C335" s="106" t="str">
        <f t="shared" si="6"/>
        <v/>
      </c>
      <c r="D335" s="107"/>
      <c r="E335" s="107"/>
      <c r="F335" s="106" t="str">
        <f>IFERROR(INDEX(Lista_Precios[CÓDIGO],MATCH(Movimientos!$G335,Lista_Precios[PRODUCTO],0)),"")</f>
        <v/>
      </c>
      <c r="G335" s="107"/>
      <c r="H335" s="108"/>
      <c r="I335" s="40"/>
    </row>
    <row r="336" spans="2:9" ht="15.5" x14ac:dyDescent="0.35">
      <c r="B336" s="105"/>
      <c r="C336" s="106" t="str">
        <f t="shared" si="6"/>
        <v/>
      </c>
      <c r="D336" s="107"/>
      <c r="E336" s="107"/>
      <c r="F336" s="106" t="str">
        <f>IFERROR(INDEX(Lista_Precios[CÓDIGO],MATCH(Movimientos!$G336,Lista_Precios[PRODUCTO],0)),"")</f>
        <v/>
      </c>
      <c r="G336" s="107"/>
      <c r="H336" s="108"/>
      <c r="I336" s="40"/>
    </row>
    <row r="337" spans="2:9" ht="15.5" x14ac:dyDescent="0.35">
      <c r="B337" s="105"/>
      <c r="C337" s="106" t="str">
        <f t="shared" si="6"/>
        <v/>
      </c>
      <c r="D337" s="107"/>
      <c r="E337" s="107"/>
      <c r="F337" s="106" t="str">
        <f>IFERROR(INDEX(Lista_Precios[CÓDIGO],MATCH(Movimientos!$G337,Lista_Precios[PRODUCTO],0)),"")</f>
        <v/>
      </c>
      <c r="G337" s="107"/>
      <c r="H337" s="108"/>
      <c r="I337" s="40"/>
    </row>
    <row r="338" spans="2:9" ht="15.5" x14ac:dyDescent="0.35">
      <c r="B338" s="105"/>
      <c r="C338" s="106" t="str">
        <f t="shared" si="6"/>
        <v/>
      </c>
      <c r="D338" s="107"/>
      <c r="E338" s="107"/>
      <c r="F338" s="106" t="str">
        <f>IFERROR(INDEX(Lista_Precios[CÓDIGO],MATCH(Movimientos!$G338,Lista_Precios[PRODUCTO],0)),"")</f>
        <v/>
      </c>
      <c r="G338" s="107"/>
      <c r="H338" s="108"/>
      <c r="I338" s="40"/>
    </row>
    <row r="339" spans="2:9" ht="15.5" x14ac:dyDescent="0.35">
      <c r="B339" s="105"/>
      <c r="C339" s="106" t="str">
        <f t="shared" si="6"/>
        <v/>
      </c>
      <c r="D339" s="107"/>
      <c r="E339" s="107"/>
      <c r="F339" s="106" t="str">
        <f>IFERROR(INDEX(Lista_Precios[CÓDIGO],MATCH(Movimientos!$G339,Lista_Precios[PRODUCTO],0)),"")</f>
        <v/>
      </c>
      <c r="G339" s="107"/>
      <c r="H339" s="108"/>
      <c r="I339" s="40"/>
    </row>
    <row r="340" spans="2:9" ht="15.5" x14ac:dyDescent="0.35">
      <c r="B340" s="105"/>
      <c r="C340" s="106" t="str">
        <f t="shared" si="6"/>
        <v/>
      </c>
      <c r="D340" s="107"/>
      <c r="E340" s="107"/>
      <c r="F340" s="106" t="str">
        <f>IFERROR(INDEX(Lista_Precios[CÓDIGO],MATCH(Movimientos!$G340,Lista_Precios[PRODUCTO],0)),"")</f>
        <v/>
      </c>
      <c r="G340" s="107"/>
      <c r="H340" s="108"/>
      <c r="I340" s="40"/>
    </row>
    <row r="341" spans="2:9" ht="15.5" x14ac:dyDescent="0.35">
      <c r="B341" s="105"/>
      <c r="C341" s="106" t="str">
        <f t="shared" si="6"/>
        <v/>
      </c>
      <c r="D341" s="107"/>
      <c r="E341" s="107"/>
      <c r="F341" s="106" t="str">
        <f>IFERROR(INDEX(Lista_Precios[CÓDIGO],MATCH(Movimientos!$G341,Lista_Precios[PRODUCTO],0)),"")</f>
        <v/>
      </c>
      <c r="G341" s="107"/>
      <c r="H341" s="108"/>
      <c r="I341" s="40"/>
    </row>
    <row r="342" spans="2:9" ht="15.5" x14ac:dyDescent="0.35">
      <c r="B342" s="105"/>
      <c r="C342" s="106" t="str">
        <f t="shared" si="6"/>
        <v/>
      </c>
      <c r="D342" s="107"/>
      <c r="E342" s="107"/>
      <c r="F342" s="106" t="str">
        <f>IFERROR(INDEX(Lista_Precios[CÓDIGO],MATCH(Movimientos!$G342,Lista_Precios[PRODUCTO],0)),"")</f>
        <v/>
      </c>
      <c r="G342" s="107"/>
      <c r="H342" s="108"/>
      <c r="I342" s="40"/>
    </row>
    <row r="343" spans="2:9" ht="15.5" x14ac:dyDescent="0.35">
      <c r="B343" s="105"/>
      <c r="C343" s="106" t="str">
        <f t="shared" si="6"/>
        <v/>
      </c>
      <c r="D343" s="107"/>
      <c r="E343" s="107"/>
      <c r="F343" s="106" t="str">
        <f>IFERROR(INDEX(Lista_Precios[CÓDIGO],MATCH(Movimientos!$G343,Lista_Precios[PRODUCTO],0)),"")</f>
        <v/>
      </c>
      <c r="G343" s="107"/>
      <c r="H343" s="108"/>
      <c r="I343" s="40"/>
    </row>
    <row r="344" spans="2:9" ht="15.5" x14ac:dyDescent="0.35">
      <c r="B344" s="105"/>
      <c r="C344" s="106" t="str">
        <f t="shared" si="6"/>
        <v/>
      </c>
      <c r="D344" s="107"/>
      <c r="E344" s="107"/>
      <c r="F344" s="106" t="str">
        <f>IFERROR(INDEX(Lista_Precios[CÓDIGO],MATCH(Movimientos!$G344,Lista_Precios[PRODUCTO],0)),"")</f>
        <v/>
      </c>
      <c r="G344" s="107"/>
      <c r="H344" s="108"/>
      <c r="I344" s="40"/>
    </row>
    <row r="345" spans="2:9" ht="15.5" x14ac:dyDescent="0.35">
      <c r="B345" s="105"/>
      <c r="C345" s="106" t="str">
        <f t="shared" si="6"/>
        <v/>
      </c>
      <c r="D345" s="107"/>
      <c r="E345" s="107"/>
      <c r="F345" s="106" t="str">
        <f>IFERROR(INDEX(Lista_Precios[CÓDIGO],MATCH(Movimientos!$G345,Lista_Precios[PRODUCTO],0)),"")</f>
        <v/>
      </c>
      <c r="G345" s="107"/>
      <c r="H345" s="108"/>
      <c r="I345" s="40"/>
    </row>
    <row r="346" spans="2:9" ht="15.5" x14ac:dyDescent="0.35">
      <c r="B346" s="105"/>
      <c r="C346" s="106" t="str">
        <f t="shared" si="6"/>
        <v/>
      </c>
      <c r="D346" s="107"/>
      <c r="E346" s="107"/>
      <c r="F346" s="106" t="str">
        <f>IFERROR(INDEX(Lista_Precios[CÓDIGO],MATCH(Movimientos!$G346,Lista_Precios[PRODUCTO],0)),"")</f>
        <v/>
      </c>
      <c r="G346" s="107"/>
      <c r="H346" s="108"/>
      <c r="I346" s="40"/>
    </row>
    <row r="347" spans="2:9" ht="15.5" x14ac:dyDescent="0.35">
      <c r="B347" s="105"/>
      <c r="C347" s="106" t="str">
        <f t="shared" si="6"/>
        <v/>
      </c>
      <c r="D347" s="107"/>
      <c r="E347" s="107"/>
      <c r="F347" s="106" t="str">
        <f>IFERROR(INDEX(Lista_Precios[CÓDIGO],MATCH(Movimientos!$G347,Lista_Precios[PRODUCTO],0)),"")</f>
        <v/>
      </c>
      <c r="G347" s="107"/>
      <c r="H347" s="108"/>
      <c r="I347" s="40"/>
    </row>
    <row r="348" spans="2:9" ht="15.5" x14ac:dyDescent="0.35">
      <c r="B348" s="105"/>
      <c r="C348" s="106" t="str">
        <f t="shared" si="6"/>
        <v/>
      </c>
      <c r="D348" s="107"/>
      <c r="E348" s="107"/>
      <c r="F348" s="106" t="str">
        <f>IFERROR(INDEX(Lista_Precios[CÓDIGO],MATCH(Movimientos!$G348,Lista_Precios[PRODUCTO],0)),"")</f>
        <v/>
      </c>
      <c r="G348" s="107"/>
      <c r="H348" s="108"/>
      <c r="I348" s="40"/>
    </row>
    <row r="349" spans="2:9" ht="15.5" x14ac:dyDescent="0.35">
      <c r="B349" s="105"/>
      <c r="C349" s="106" t="str">
        <f t="shared" si="6"/>
        <v/>
      </c>
      <c r="D349" s="107"/>
      <c r="E349" s="107"/>
      <c r="F349" s="106" t="str">
        <f>IFERROR(INDEX(Lista_Precios[CÓDIGO],MATCH(Movimientos!$G349,Lista_Precios[PRODUCTO],0)),"")</f>
        <v/>
      </c>
      <c r="G349" s="107"/>
      <c r="H349" s="108"/>
      <c r="I349" s="40"/>
    </row>
    <row r="350" spans="2:9" ht="15.5" x14ac:dyDescent="0.35">
      <c r="B350" s="105"/>
      <c r="C350" s="106" t="str">
        <f t="shared" si="6"/>
        <v/>
      </c>
      <c r="D350" s="107"/>
      <c r="E350" s="107"/>
      <c r="F350" s="106" t="str">
        <f>IFERROR(INDEX(Lista_Precios[CÓDIGO],MATCH(Movimientos!$G350,Lista_Precios[PRODUCTO],0)),"")</f>
        <v/>
      </c>
      <c r="G350" s="107"/>
      <c r="H350" s="108"/>
      <c r="I350" s="40"/>
    </row>
    <row r="351" spans="2:9" ht="15.5" x14ac:dyDescent="0.35">
      <c r="B351" s="105"/>
      <c r="C351" s="106" t="str">
        <f t="shared" si="6"/>
        <v/>
      </c>
      <c r="D351" s="107"/>
      <c r="E351" s="107"/>
      <c r="F351" s="106" t="str">
        <f>IFERROR(INDEX(Lista_Precios[CÓDIGO],MATCH(Movimientos!$G351,Lista_Precios[PRODUCTO],0)),"")</f>
        <v/>
      </c>
      <c r="G351" s="107"/>
      <c r="H351" s="108"/>
      <c r="I351" s="40"/>
    </row>
    <row r="352" spans="2:9" ht="15.5" x14ac:dyDescent="0.35">
      <c r="B352" s="105"/>
      <c r="C352" s="106" t="str">
        <f t="shared" si="6"/>
        <v/>
      </c>
      <c r="D352" s="107"/>
      <c r="E352" s="107"/>
      <c r="F352" s="106" t="str">
        <f>IFERROR(INDEX(Lista_Precios[CÓDIGO],MATCH(Movimientos!$G352,Lista_Precios[PRODUCTO],0)),"")</f>
        <v/>
      </c>
      <c r="G352" s="107"/>
      <c r="H352" s="108"/>
      <c r="I352" s="40"/>
    </row>
    <row r="353" spans="2:9" ht="15.5" x14ac:dyDescent="0.35">
      <c r="B353" s="105"/>
      <c r="C353" s="106" t="str">
        <f t="shared" si="6"/>
        <v/>
      </c>
      <c r="D353" s="107"/>
      <c r="E353" s="107"/>
      <c r="F353" s="106" t="str">
        <f>IFERROR(INDEX(Lista_Precios[CÓDIGO],MATCH(Movimientos!$G353,Lista_Precios[PRODUCTO],0)),"")</f>
        <v/>
      </c>
      <c r="G353" s="107"/>
      <c r="H353" s="108"/>
      <c r="I353" s="40"/>
    </row>
    <row r="354" spans="2:9" ht="15.5" x14ac:dyDescent="0.35">
      <c r="B354" s="105"/>
      <c r="C354" s="106" t="str">
        <f t="shared" si="6"/>
        <v/>
      </c>
      <c r="D354" s="107"/>
      <c r="E354" s="107"/>
      <c r="F354" s="106" t="str">
        <f>IFERROR(INDEX(Lista_Precios[CÓDIGO],MATCH(Movimientos!$G354,Lista_Precios[PRODUCTO],0)),"")</f>
        <v/>
      </c>
      <c r="G354" s="107"/>
      <c r="H354" s="108"/>
      <c r="I354" s="40"/>
    </row>
    <row r="355" spans="2:9" ht="15.5" x14ac:dyDescent="0.35">
      <c r="B355" s="105"/>
      <c r="C355" s="106" t="str">
        <f t="shared" si="6"/>
        <v/>
      </c>
      <c r="D355" s="107"/>
      <c r="E355" s="107"/>
      <c r="F355" s="106" t="str">
        <f>IFERROR(INDEX(Lista_Precios[CÓDIGO],MATCH(Movimientos!$G355,Lista_Precios[PRODUCTO],0)),"")</f>
        <v/>
      </c>
      <c r="G355" s="107"/>
      <c r="H355" s="108"/>
      <c r="I355" s="40"/>
    </row>
    <row r="356" spans="2:9" ht="15.5" x14ac:dyDescent="0.35">
      <c r="B356" s="105"/>
      <c r="C356" s="106" t="str">
        <f t="shared" si="6"/>
        <v/>
      </c>
      <c r="D356" s="107"/>
      <c r="E356" s="107"/>
      <c r="F356" s="106" t="str">
        <f>IFERROR(INDEX(Lista_Precios[CÓDIGO],MATCH(Movimientos!$G356,Lista_Precios[PRODUCTO],0)),"")</f>
        <v/>
      </c>
      <c r="G356" s="107"/>
      <c r="H356" s="108"/>
      <c r="I356" s="40"/>
    </row>
    <row r="357" spans="2:9" ht="15.5" x14ac:dyDescent="0.35">
      <c r="B357" s="105"/>
      <c r="C357" s="106" t="str">
        <f t="shared" si="6"/>
        <v/>
      </c>
      <c r="D357" s="107"/>
      <c r="E357" s="107"/>
      <c r="F357" s="106" t="str">
        <f>IFERROR(INDEX(Lista_Precios[CÓDIGO],MATCH(Movimientos!$G357,Lista_Precios[PRODUCTO],0)),"")</f>
        <v/>
      </c>
      <c r="G357" s="107"/>
      <c r="H357" s="108"/>
      <c r="I357" s="40"/>
    </row>
    <row r="358" spans="2:9" ht="15.5" x14ac:dyDescent="0.35">
      <c r="B358" s="105"/>
      <c r="C358" s="106" t="str">
        <f t="shared" si="6"/>
        <v/>
      </c>
      <c r="D358" s="107"/>
      <c r="E358" s="107"/>
      <c r="F358" s="106" t="str">
        <f>IFERROR(INDEX(Lista_Precios[CÓDIGO],MATCH(Movimientos!$G358,Lista_Precios[PRODUCTO],0)),"")</f>
        <v/>
      </c>
      <c r="G358" s="107"/>
      <c r="H358" s="108"/>
      <c r="I358" s="40"/>
    </row>
    <row r="359" spans="2:9" ht="15.5" x14ac:dyDescent="0.35">
      <c r="B359" s="105"/>
      <c r="C359" s="106" t="str">
        <f t="shared" ref="C359:C422" si="7">IF(B359="","",TEXT(B359,"Mmmm"))</f>
        <v/>
      </c>
      <c r="D359" s="107"/>
      <c r="E359" s="107"/>
      <c r="F359" s="106" t="str">
        <f>IFERROR(INDEX(Lista_Precios[CÓDIGO],MATCH(Movimientos!$G359,Lista_Precios[PRODUCTO],0)),"")</f>
        <v/>
      </c>
      <c r="G359" s="107"/>
      <c r="H359" s="108"/>
      <c r="I359" s="40"/>
    </row>
    <row r="360" spans="2:9" ht="15.5" x14ac:dyDescent="0.35">
      <c r="B360" s="105"/>
      <c r="C360" s="106" t="str">
        <f t="shared" si="7"/>
        <v/>
      </c>
      <c r="D360" s="107"/>
      <c r="E360" s="107"/>
      <c r="F360" s="106" t="str">
        <f>IFERROR(INDEX(Lista_Precios[CÓDIGO],MATCH(Movimientos!$G360,Lista_Precios[PRODUCTO],0)),"")</f>
        <v/>
      </c>
      <c r="G360" s="107"/>
      <c r="H360" s="108"/>
      <c r="I360" s="40"/>
    </row>
    <row r="361" spans="2:9" ht="15.5" x14ac:dyDescent="0.35">
      <c r="B361" s="105"/>
      <c r="C361" s="106" t="str">
        <f t="shared" si="7"/>
        <v/>
      </c>
      <c r="D361" s="107"/>
      <c r="E361" s="107"/>
      <c r="F361" s="106" t="str">
        <f>IFERROR(INDEX(Lista_Precios[CÓDIGO],MATCH(Movimientos!$G361,Lista_Precios[PRODUCTO],0)),"")</f>
        <v/>
      </c>
      <c r="G361" s="107"/>
      <c r="H361" s="108"/>
      <c r="I361" s="40"/>
    </row>
    <row r="362" spans="2:9" ht="15.5" x14ac:dyDescent="0.35">
      <c r="B362" s="105"/>
      <c r="C362" s="106" t="str">
        <f t="shared" si="7"/>
        <v/>
      </c>
      <c r="D362" s="107"/>
      <c r="E362" s="107"/>
      <c r="F362" s="106" t="str">
        <f>IFERROR(INDEX(Lista_Precios[CÓDIGO],MATCH(Movimientos!$G362,Lista_Precios[PRODUCTO],0)),"")</f>
        <v/>
      </c>
      <c r="G362" s="107"/>
      <c r="H362" s="108"/>
      <c r="I362" s="40"/>
    </row>
    <row r="363" spans="2:9" ht="15.5" x14ac:dyDescent="0.35">
      <c r="B363" s="105"/>
      <c r="C363" s="106" t="str">
        <f t="shared" si="7"/>
        <v/>
      </c>
      <c r="D363" s="107"/>
      <c r="E363" s="107"/>
      <c r="F363" s="106" t="str">
        <f>IFERROR(INDEX(Lista_Precios[CÓDIGO],MATCH(Movimientos!$G363,Lista_Precios[PRODUCTO],0)),"")</f>
        <v/>
      </c>
      <c r="G363" s="107"/>
      <c r="H363" s="108"/>
      <c r="I363" s="40"/>
    </row>
    <row r="364" spans="2:9" ht="15.5" x14ac:dyDescent="0.35">
      <c r="B364" s="105"/>
      <c r="C364" s="106" t="str">
        <f t="shared" si="7"/>
        <v/>
      </c>
      <c r="D364" s="107"/>
      <c r="E364" s="107"/>
      <c r="F364" s="106" t="str">
        <f>IFERROR(INDEX(Lista_Precios[CÓDIGO],MATCH(Movimientos!$G364,Lista_Precios[PRODUCTO],0)),"")</f>
        <v/>
      </c>
      <c r="G364" s="107"/>
      <c r="H364" s="108"/>
      <c r="I364" s="40"/>
    </row>
    <row r="365" spans="2:9" ht="15.5" x14ac:dyDescent="0.35">
      <c r="B365" s="105"/>
      <c r="C365" s="106" t="str">
        <f t="shared" si="7"/>
        <v/>
      </c>
      <c r="D365" s="107"/>
      <c r="E365" s="107"/>
      <c r="F365" s="106" t="str">
        <f>IFERROR(INDEX(Lista_Precios[CÓDIGO],MATCH(Movimientos!$G365,Lista_Precios[PRODUCTO],0)),"")</f>
        <v/>
      </c>
      <c r="G365" s="107"/>
      <c r="H365" s="108"/>
      <c r="I365" s="40"/>
    </row>
    <row r="366" spans="2:9" ht="15.5" x14ac:dyDescent="0.35">
      <c r="B366" s="105"/>
      <c r="C366" s="106" t="str">
        <f t="shared" si="7"/>
        <v/>
      </c>
      <c r="D366" s="107"/>
      <c r="E366" s="107"/>
      <c r="F366" s="106" t="str">
        <f>IFERROR(INDEX(Lista_Precios[CÓDIGO],MATCH(Movimientos!$G366,Lista_Precios[PRODUCTO],0)),"")</f>
        <v/>
      </c>
      <c r="G366" s="107"/>
      <c r="H366" s="108"/>
      <c r="I366" s="40"/>
    </row>
    <row r="367" spans="2:9" ht="15.5" x14ac:dyDescent="0.35">
      <c r="B367" s="105"/>
      <c r="C367" s="106" t="str">
        <f t="shared" si="7"/>
        <v/>
      </c>
      <c r="D367" s="107"/>
      <c r="E367" s="107"/>
      <c r="F367" s="106" t="str">
        <f>IFERROR(INDEX(Lista_Precios[CÓDIGO],MATCH(Movimientos!$G367,Lista_Precios[PRODUCTO],0)),"")</f>
        <v/>
      </c>
      <c r="G367" s="107"/>
      <c r="H367" s="108"/>
      <c r="I367" s="40"/>
    </row>
    <row r="368" spans="2:9" ht="15.5" x14ac:dyDescent="0.35">
      <c r="B368" s="105"/>
      <c r="C368" s="106" t="str">
        <f t="shared" si="7"/>
        <v/>
      </c>
      <c r="D368" s="107"/>
      <c r="E368" s="107"/>
      <c r="F368" s="106" t="str">
        <f>IFERROR(INDEX(Lista_Precios[CÓDIGO],MATCH(Movimientos!$G368,Lista_Precios[PRODUCTO],0)),"")</f>
        <v/>
      </c>
      <c r="G368" s="107"/>
      <c r="H368" s="108"/>
      <c r="I368" s="40"/>
    </row>
    <row r="369" spans="2:9" ht="15.5" x14ac:dyDescent="0.35">
      <c r="B369" s="105"/>
      <c r="C369" s="106" t="str">
        <f t="shared" si="7"/>
        <v/>
      </c>
      <c r="D369" s="107"/>
      <c r="E369" s="107"/>
      <c r="F369" s="106" t="str">
        <f>IFERROR(INDEX(Lista_Precios[CÓDIGO],MATCH(Movimientos!$G369,Lista_Precios[PRODUCTO],0)),"")</f>
        <v/>
      </c>
      <c r="G369" s="107"/>
      <c r="H369" s="108"/>
      <c r="I369" s="40"/>
    </row>
    <row r="370" spans="2:9" ht="15.5" x14ac:dyDescent="0.35">
      <c r="B370" s="105"/>
      <c r="C370" s="106" t="str">
        <f t="shared" si="7"/>
        <v/>
      </c>
      <c r="D370" s="107"/>
      <c r="E370" s="107"/>
      <c r="F370" s="106" t="str">
        <f>IFERROR(INDEX(Lista_Precios[CÓDIGO],MATCH(Movimientos!$G370,Lista_Precios[PRODUCTO],0)),"")</f>
        <v/>
      </c>
      <c r="G370" s="107"/>
      <c r="H370" s="108"/>
      <c r="I370" s="40"/>
    </row>
    <row r="371" spans="2:9" ht="15.5" x14ac:dyDescent="0.35">
      <c r="B371" s="105"/>
      <c r="C371" s="106" t="str">
        <f t="shared" si="7"/>
        <v/>
      </c>
      <c r="D371" s="107"/>
      <c r="E371" s="107"/>
      <c r="F371" s="106" t="str">
        <f>IFERROR(INDEX(Lista_Precios[CÓDIGO],MATCH(Movimientos!$G371,Lista_Precios[PRODUCTO],0)),"")</f>
        <v/>
      </c>
      <c r="G371" s="107"/>
      <c r="H371" s="108"/>
      <c r="I371" s="40"/>
    </row>
    <row r="372" spans="2:9" ht="15.5" x14ac:dyDescent="0.35">
      <c r="B372" s="105"/>
      <c r="C372" s="106" t="str">
        <f t="shared" si="7"/>
        <v/>
      </c>
      <c r="D372" s="107"/>
      <c r="E372" s="107"/>
      <c r="F372" s="106" t="str">
        <f>IFERROR(INDEX(Lista_Precios[CÓDIGO],MATCH(Movimientos!$G372,Lista_Precios[PRODUCTO],0)),"")</f>
        <v/>
      </c>
      <c r="G372" s="107"/>
      <c r="H372" s="108"/>
      <c r="I372" s="40"/>
    </row>
    <row r="373" spans="2:9" ht="15.5" x14ac:dyDescent="0.35">
      <c r="B373" s="105"/>
      <c r="C373" s="106" t="str">
        <f t="shared" si="7"/>
        <v/>
      </c>
      <c r="D373" s="107"/>
      <c r="E373" s="107"/>
      <c r="F373" s="106" t="str">
        <f>IFERROR(INDEX(Lista_Precios[CÓDIGO],MATCH(Movimientos!$G373,Lista_Precios[PRODUCTO],0)),"")</f>
        <v/>
      </c>
      <c r="G373" s="107"/>
      <c r="H373" s="108"/>
      <c r="I373" s="40"/>
    </row>
    <row r="374" spans="2:9" ht="15.5" x14ac:dyDescent="0.35">
      <c r="B374" s="105"/>
      <c r="C374" s="106" t="str">
        <f t="shared" si="7"/>
        <v/>
      </c>
      <c r="D374" s="107"/>
      <c r="E374" s="107"/>
      <c r="F374" s="106" t="str">
        <f>IFERROR(INDEX(Lista_Precios[CÓDIGO],MATCH(Movimientos!$G374,Lista_Precios[PRODUCTO],0)),"")</f>
        <v/>
      </c>
      <c r="G374" s="107"/>
      <c r="H374" s="108"/>
      <c r="I374" s="40"/>
    </row>
    <row r="375" spans="2:9" ht="15.5" x14ac:dyDescent="0.35">
      <c r="B375" s="105"/>
      <c r="C375" s="106" t="str">
        <f t="shared" si="7"/>
        <v/>
      </c>
      <c r="D375" s="107"/>
      <c r="E375" s="107"/>
      <c r="F375" s="106" t="str">
        <f>IFERROR(INDEX(Lista_Precios[CÓDIGO],MATCH(Movimientos!$G375,Lista_Precios[PRODUCTO],0)),"")</f>
        <v/>
      </c>
      <c r="G375" s="107"/>
      <c r="H375" s="108"/>
      <c r="I375" s="40"/>
    </row>
    <row r="376" spans="2:9" ht="15.5" x14ac:dyDescent="0.35">
      <c r="B376" s="105"/>
      <c r="C376" s="106" t="str">
        <f t="shared" si="7"/>
        <v/>
      </c>
      <c r="D376" s="107"/>
      <c r="E376" s="107"/>
      <c r="F376" s="106" t="str">
        <f>IFERROR(INDEX(Lista_Precios[CÓDIGO],MATCH(Movimientos!$G376,Lista_Precios[PRODUCTO],0)),"")</f>
        <v/>
      </c>
      <c r="G376" s="107"/>
      <c r="H376" s="108"/>
      <c r="I376" s="40"/>
    </row>
    <row r="377" spans="2:9" ht="15.5" x14ac:dyDescent="0.35">
      <c r="B377" s="105"/>
      <c r="C377" s="106" t="str">
        <f t="shared" si="7"/>
        <v/>
      </c>
      <c r="D377" s="107"/>
      <c r="E377" s="107"/>
      <c r="F377" s="106" t="str">
        <f>IFERROR(INDEX(Lista_Precios[CÓDIGO],MATCH(Movimientos!$G377,Lista_Precios[PRODUCTO],0)),"")</f>
        <v/>
      </c>
      <c r="G377" s="107"/>
      <c r="H377" s="108"/>
      <c r="I377" s="40"/>
    </row>
    <row r="378" spans="2:9" ht="15.5" x14ac:dyDescent="0.35">
      <c r="B378" s="105"/>
      <c r="C378" s="106" t="str">
        <f t="shared" si="7"/>
        <v/>
      </c>
      <c r="D378" s="107"/>
      <c r="E378" s="107"/>
      <c r="F378" s="106" t="str">
        <f>IFERROR(INDEX(Lista_Precios[CÓDIGO],MATCH(Movimientos!$G378,Lista_Precios[PRODUCTO],0)),"")</f>
        <v/>
      </c>
      <c r="G378" s="107"/>
      <c r="H378" s="108"/>
      <c r="I378" s="40"/>
    </row>
    <row r="379" spans="2:9" ht="15.5" x14ac:dyDescent="0.35">
      <c r="B379" s="105"/>
      <c r="C379" s="106" t="str">
        <f t="shared" si="7"/>
        <v/>
      </c>
      <c r="D379" s="107"/>
      <c r="E379" s="107"/>
      <c r="F379" s="106" t="str">
        <f>IFERROR(INDEX(Lista_Precios[CÓDIGO],MATCH(Movimientos!$G379,Lista_Precios[PRODUCTO],0)),"")</f>
        <v/>
      </c>
      <c r="G379" s="107"/>
      <c r="H379" s="108"/>
      <c r="I379" s="40"/>
    </row>
    <row r="380" spans="2:9" ht="15.5" x14ac:dyDescent="0.35">
      <c r="B380" s="105"/>
      <c r="C380" s="106" t="str">
        <f t="shared" si="7"/>
        <v/>
      </c>
      <c r="D380" s="107"/>
      <c r="E380" s="107"/>
      <c r="F380" s="106" t="str">
        <f>IFERROR(INDEX(Lista_Precios[CÓDIGO],MATCH(Movimientos!$G380,Lista_Precios[PRODUCTO],0)),"")</f>
        <v/>
      </c>
      <c r="G380" s="107"/>
      <c r="H380" s="108"/>
      <c r="I380" s="40"/>
    </row>
    <row r="381" spans="2:9" ht="15.5" x14ac:dyDescent="0.35">
      <c r="B381" s="105"/>
      <c r="C381" s="106" t="str">
        <f t="shared" si="7"/>
        <v/>
      </c>
      <c r="D381" s="107"/>
      <c r="E381" s="107"/>
      <c r="F381" s="106" t="str">
        <f>IFERROR(INDEX(Lista_Precios[CÓDIGO],MATCH(Movimientos!$G381,Lista_Precios[PRODUCTO],0)),"")</f>
        <v/>
      </c>
      <c r="G381" s="107"/>
      <c r="H381" s="108"/>
      <c r="I381" s="40"/>
    </row>
    <row r="382" spans="2:9" ht="15.5" x14ac:dyDescent="0.35">
      <c r="B382" s="105"/>
      <c r="C382" s="106" t="str">
        <f t="shared" si="7"/>
        <v/>
      </c>
      <c r="D382" s="107"/>
      <c r="E382" s="107"/>
      <c r="F382" s="106" t="str">
        <f>IFERROR(INDEX(Lista_Precios[CÓDIGO],MATCH(Movimientos!$G382,Lista_Precios[PRODUCTO],0)),"")</f>
        <v/>
      </c>
      <c r="G382" s="107"/>
      <c r="H382" s="108"/>
      <c r="I382" s="40"/>
    </row>
    <row r="383" spans="2:9" ht="15.5" x14ac:dyDescent="0.35">
      <c r="B383" s="105"/>
      <c r="C383" s="106" t="str">
        <f t="shared" si="7"/>
        <v/>
      </c>
      <c r="D383" s="107"/>
      <c r="E383" s="107"/>
      <c r="F383" s="106" t="str">
        <f>IFERROR(INDEX(Lista_Precios[CÓDIGO],MATCH(Movimientos!$G383,Lista_Precios[PRODUCTO],0)),"")</f>
        <v/>
      </c>
      <c r="G383" s="107"/>
      <c r="H383" s="108"/>
      <c r="I383" s="40"/>
    </row>
    <row r="384" spans="2:9" ht="15.5" x14ac:dyDescent="0.35">
      <c r="B384" s="105"/>
      <c r="C384" s="106" t="str">
        <f t="shared" si="7"/>
        <v/>
      </c>
      <c r="D384" s="107"/>
      <c r="E384" s="107"/>
      <c r="F384" s="106" t="str">
        <f>IFERROR(INDEX(Lista_Precios[CÓDIGO],MATCH(Movimientos!$G384,Lista_Precios[PRODUCTO],0)),"")</f>
        <v/>
      </c>
      <c r="G384" s="107"/>
      <c r="H384" s="108"/>
      <c r="I384" s="40"/>
    </row>
    <row r="385" spans="2:9" ht="15.5" x14ac:dyDescent="0.35">
      <c r="B385" s="105"/>
      <c r="C385" s="106" t="str">
        <f t="shared" si="7"/>
        <v/>
      </c>
      <c r="D385" s="107"/>
      <c r="E385" s="107"/>
      <c r="F385" s="106" t="str">
        <f>IFERROR(INDEX(Lista_Precios[CÓDIGO],MATCH(Movimientos!$G385,Lista_Precios[PRODUCTO],0)),"")</f>
        <v/>
      </c>
      <c r="G385" s="107"/>
      <c r="H385" s="108"/>
      <c r="I385" s="40"/>
    </row>
    <row r="386" spans="2:9" ht="15.5" x14ac:dyDescent="0.35">
      <c r="B386" s="105"/>
      <c r="C386" s="106" t="str">
        <f t="shared" si="7"/>
        <v/>
      </c>
      <c r="D386" s="107"/>
      <c r="E386" s="107"/>
      <c r="F386" s="106" t="str">
        <f>IFERROR(INDEX(Lista_Precios[CÓDIGO],MATCH(Movimientos!$G386,Lista_Precios[PRODUCTO],0)),"")</f>
        <v/>
      </c>
      <c r="G386" s="107"/>
      <c r="H386" s="108"/>
      <c r="I386" s="40"/>
    </row>
    <row r="387" spans="2:9" ht="15.5" x14ac:dyDescent="0.35">
      <c r="B387" s="105"/>
      <c r="C387" s="106" t="str">
        <f t="shared" si="7"/>
        <v/>
      </c>
      <c r="D387" s="107"/>
      <c r="E387" s="107"/>
      <c r="F387" s="106" t="str">
        <f>IFERROR(INDEX(Lista_Precios[CÓDIGO],MATCH(Movimientos!$G387,Lista_Precios[PRODUCTO],0)),"")</f>
        <v/>
      </c>
      <c r="G387" s="107"/>
      <c r="H387" s="108"/>
      <c r="I387" s="40"/>
    </row>
    <row r="388" spans="2:9" ht="15.5" x14ac:dyDescent="0.35">
      <c r="B388" s="105"/>
      <c r="C388" s="106" t="str">
        <f t="shared" si="7"/>
        <v/>
      </c>
      <c r="D388" s="107"/>
      <c r="E388" s="107"/>
      <c r="F388" s="106" t="str">
        <f>IFERROR(INDEX(Lista_Precios[CÓDIGO],MATCH(Movimientos!$G388,Lista_Precios[PRODUCTO],0)),"")</f>
        <v/>
      </c>
      <c r="G388" s="107"/>
      <c r="H388" s="108"/>
      <c r="I388" s="40"/>
    </row>
    <row r="389" spans="2:9" ht="15.5" x14ac:dyDescent="0.35">
      <c r="B389" s="105"/>
      <c r="C389" s="106" t="str">
        <f t="shared" si="7"/>
        <v/>
      </c>
      <c r="D389" s="107"/>
      <c r="E389" s="107"/>
      <c r="F389" s="106" t="str">
        <f>IFERROR(INDEX(Lista_Precios[CÓDIGO],MATCH(Movimientos!$G389,Lista_Precios[PRODUCTO],0)),"")</f>
        <v/>
      </c>
      <c r="G389" s="107"/>
      <c r="H389" s="108"/>
      <c r="I389" s="40"/>
    </row>
    <row r="390" spans="2:9" ht="15.5" x14ac:dyDescent="0.35">
      <c r="B390" s="105"/>
      <c r="C390" s="106" t="str">
        <f t="shared" si="7"/>
        <v/>
      </c>
      <c r="D390" s="107"/>
      <c r="E390" s="107"/>
      <c r="F390" s="106" t="str">
        <f>IFERROR(INDEX(Lista_Precios[CÓDIGO],MATCH(Movimientos!$G390,Lista_Precios[PRODUCTO],0)),"")</f>
        <v/>
      </c>
      <c r="G390" s="107"/>
      <c r="H390" s="108"/>
      <c r="I390" s="40"/>
    </row>
    <row r="391" spans="2:9" ht="15.5" x14ac:dyDescent="0.35">
      <c r="B391" s="105"/>
      <c r="C391" s="106" t="str">
        <f t="shared" si="7"/>
        <v/>
      </c>
      <c r="D391" s="107"/>
      <c r="E391" s="107"/>
      <c r="F391" s="106" t="str">
        <f>IFERROR(INDEX(Lista_Precios[CÓDIGO],MATCH(Movimientos!$G391,Lista_Precios[PRODUCTO],0)),"")</f>
        <v/>
      </c>
      <c r="G391" s="107"/>
      <c r="H391" s="108"/>
      <c r="I391" s="40"/>
    </row>
    <row r="392" spans="2:9" ht="15.5" x14ac:dyDescent="0.35">
      <c r="B392" s="105"/>
      <c r="C392" s="106" t="str">
        <f t="shared" si="7"/>
        <v/>
      </c>
      <c r="D392" s="107"/>
      <c r="E392" s="107"/>
      <c r="F392" s="106" t="str">
        <f>IFERROR(INDEX(Lista_Precios[CÓDIGO],MATCH(Movimientos!$G392,Lista_Precios[PRODUCTO],0)),"")</f>
        <v/>
      </c>
      <c r="G392" s="107"/>
      <c r="H392" s="108"/>
      <c r="I392" s="40"/>
    </row>
    <row r="393" spans="2:9" ht="15.5" x14ac:dyDescent="0.35">
      <c r="B393" s="105"/>
      <c r="C393" s="106" t="str">
        <f t="shared" si="7"/>
        <v/>
      </c>
      <c r="D393" s="107"/>
      <c r="E393" s="107"/>
      <c r="F393" s="106" t="str">
        <f>IFERROR(INDEX(Lista_Precios[CÓDIGO],MATCH(Movimientos!$G393,Lista_Precios[PRODUCTO],0)),"")</f>
        <v/>
      </c>
      <c r="G393" s="107"/>
      <c r="H393" s="108"/>
      <c r="I393" s="40"/>
    </row>
    <row r="394" spans="2:9" ht="15.5" x14ac:dyDescent="0.35">
      <c r="B394" s="105"/>
      <c r="C394" s="106" t="str">
        <f t="shared" si="7"/>
        <v/>
      </c>
      <c r="D394" s="107"/>
      <c r="E394" s="107"/>
      <c r="F394" s="106" t="str">
        <f>IFERROR(INDEX(Lista_Precios[CÓDIGO],MATCH(Movimientos!$G394,Lista_Precios[PRODUCTO],0)),"")</f>
        <v/>
      </c>
      <c r="G394" s="107"/>
      <c r="H394" s="108"/>
      <c r="I394" s="40"/>
    </row>
    <row r="395" spans="2:9" ht="15.5" x14ac:dyDescent="0.35">
      <c r="B395" s="105"/>
      <c r="C395" s="106" t="str">
        <f t="shared" si="7"/>
        <v/>
      </c>
      <c r="D395" s="107"/>
      <c r="E395" s="107"/>
      <c r="F395" s="106" t="str">
        <f>IFERROR(INDEX(Lista_Precios[CÓDIGO],MATCH(Movimientos!$G395,Lista_Precios[PRODUCTO],0)),"")</f>
        <v/>
      </c>
      <c r="G395" s="107"/>
      <c r="H395" s="108"/>
      <c r="I395" s="40"/>
    </row>
    <row r="396" spans="2:9" ht="15.5" x14ac:dyDescent="0.35">
      <c r="B396" s="105"/>
      <c r="C396" s="106" t="str">
        <f t="shared" si="7"/>
        <v/>
      </c>
      <c r="D396" s="107"/>
      <c r="E396" s="107"/>
      <c r="F396" s="106" t="str">
        <f>IFERROR(INDEX(Lista_Precios[CÓDIGO],MATCH(Movimientos!$G396,Lista_Precios[PRODUCTO],0)),"")</f>
        <v/>
      </c>
      <c r="G396" s="107"/>
      <c r="H396" s="108"/>
      <c r="I396" s="40"/>
    </row>
    <row r="397" spans="2:9" ht="15.5" x14ac:dyDescent="0.35">
      <c r="B397" s="105"/>
      <c r="C397" s="106" t="str">
        <f t="shared" si="7"/>
        <v/>
      </c>
      <c r="D397" s="107"/>
      <c r="E397" s="107"/>
      <c r="F397" s="106" t="str">
        <f>IFERROR(INDEX(Lista_Precios[CÓDIGO],MATCH(Movimientos!$G397,Lista_Precios[PRODUCTO],0)),"")</f>
        <v/>
      </c>
      <c r="G397" s="107"/>
      <c r="H397" s="108"/>
      <c r="I397" s="40"/>
    </row>
    <row r="398" spans="2:9" ht="15.5" x14ac:dyDescent="0.35">
      <c r="B398" s="105"/>
      <c r="C398" s="106" t="str">
        <f t="shared" si="7"/>
        <v/>
      </c>
      <c r="D398" s="107"/>
      <c r="E398" s="107"/>
      <c r="F398" s="106" t="str">
        <f>IFERROR(INDEX(Lista_Precios[CÓDIGO],MATCH(Movimientos!$G398,Lista_Precios[PRODUCTO],0)),"")</f>
        <v/>
      </c>
      <c r="G398" s="107"/>
      <c r="H398" s="108"/>
      <c r="I398" s="40"/>
    </row>
    <row r="399" spans="2:9" ht="15.5" x14ac:dyDescent="0.35">
      <c r="B399" s="105"/>
      <c r="C399" s="106" t="str">
        <f t="shared" si="7"/>
        <v/>
      </c>
      <c r="D399" s="107"/>
      <c r="E399" s="107"/>
      <c r="F399" s="106" t="str">
        <f>IFERROR(INDEX(Lista_Precios[CÓDIGO],MATCH(Movimientos!$G399,Lista_Precios[PRODUCTO],0)),"")</f>
        <v/>
      </c>
      <c r="G399" s="107"/>
      <c r="H399" s="108"/>
      <c r="I399" s="40"/>
    </row>
    <row r="400" spans="2:9" ht="15.5" x14ac:dyDescent="0.35">
      <c r="B400" s="105"/>
      <c r="C400" s="106" t="str">
        <f t="shared" si="7"/>
        <v/>
      </c>
      <c r="D400" s="107"/>
      <c r="E400" s="107"/>
      <c r="F400" s="106" t="str">
        <f>IFERROR(INDEX(Lista_Precios[CÓDIGO],MATCH(Movimientos!$G400,Lista_Precios[PRODUCTO],0)),"")</f>
        <v/>
      </c>
      <c r="G400" s="107"/>
      <c r="H400" s="108"/>
      <c r="I400" s="40"/>
    </row>
    <row r="401" spans="2:9" ht="15.5" x14ac:dyDescent="0.35">
      <c r="B401" s="105"/>
      <c r="C401" s="106" t="str">
        <f t="shared" si="7"/>
        <v/>
      </c>
      <c r="D401" s="107"/>
      <c r="E401" s="107"/>
      <c r="F401" s="106" t="str">
        <f>IFERROR(INDEX(Lista_Precios[CÓDIGO],MATCH(Movimientos!$G401,Lista_Precios[PRODUCTO],0)),"")</f>
        <v/>
      </c>
      <c r="G401" s="107"/>
      <c r="H401" s="108"/>
      <c r="I401" s="40"/>
    </row>
    <row r="402" spans="2:9" ht="15.5" x14ac:dyDescent="0.35">
      <c r="B402" s="105"/>
      <c r="C402" s="106" t="str">
        <f t="shared" si="7"/>
        <v/>
      </c>
      <c r="D402" s="107"/>
      <c r="E402" s="107"/>
      <c r="F402" s="106" t="str">
        <f>IFERROR(INDEX(Lista_Precios[CÓDIGO],MATCH(Movimientos!$G402,Lista_Precios[PRODUCTO],0)),"")</f>
        <v/>
      </c>
      <c r="G402" s="107"/>
      <c r="H402" s="108"/>
      <c r="I402" s="40"/>
    </row>
    <row r="403" spans="2:9" ht="15.5" x14ac:dyDescent="0.35">
      <c r="B403" s="105"/>
      <c r="C403" s="106" t="str">
        <f t="shared" si="7"/>
        <v/>
      </c>
      <c r="D403" s="107"/>
      <c r="E403" s="107"/>
      <c r="F403" s="106" t="str">
        <f>IFERROR(INDEX(Lista_Precios[CÓDIGO],MATCH(Movimientos!$G403,Lista_Precios[PRODUCTO],0)),"")</f>
        <v/>
      </c>
      <c r="G403" s="107"/>
      <c r="H403" s="108"/>
      <c r="I403" s="40"/>
    </row>
    <row r="404" spans="2:9" ht="15.5" x14ac:dyDescent="0.35">
      <c r="B404" s="105"/>
      <c r="C404" s="106" t="str">
        <f t="shared" si="7"/>
        <v/>
      </c>
      <c r="D404" s="107"/>
      <c r="E404" s="107"/>
      <c r="F404" s="106" t="str">
        <f>IFERROR(INDEX(Lista_Precios[CÓDIGO],MATCH(Movimientos!$G404,Lista_Precios[PRODUCTO],0)),"")</f>
        <v/>
      </c>
      <c r="G404" s="107"/>
      <c r="H404" s="108"/>
      <c r="I404" s="40"/>
    </row>
    <row r="405" spans="2:9" ht="15.5" x14ac:dyDescent="0.35">
      <c r="B405" s="105"/>
      <c r="C405" s="106" t="str">
        <f t="shared" si="7"/>
        <v/>
      </c>
      <c r="D405" s="107"/>
      <c r="E405" s="107"/>
      <c r="F405" s="106" t="str">
        <f>IFERROR(INDEX(Lista_Precios[CÓDIGO],MATCH(Movimientos!$G405,Lista_Precios[PRODUCTO],0)),"")</f>
        <v/>
      </c>
      <c r="G405" s="107"/>
      <c r="H405" s="108"/>
      <c r="I405" s="40"/>
    </row>
    <row r="406" spans="2:9" ht="15.5" x14ac:dyDescent="0.35">
      <c r="B406" s="105"/>
      <c r="C406" s="106" t="str">
        <f t="shared" si="7"/>
        <v/>
      </c>
      <c r="D406" s="107"/>
      <c r="E406" s="107"/>
      <c r="F406" s="106" t="str">
        <f>IFERROR(INDEX(Lista_Precios[CÓDIGO],MATCH(Movimientos!$G406,Lista_Precios[PRODUCTO],0)),"")</f>
        <v/>
      </c>
      <c r="G406" s="107"/>
      <c r="H406" s="108"/>
      <c r="I406" s="40"/>
    </row>
    <row r="407" spans="2:9" ht="15.5" x14ac:dyDescent="0.35">
      <c r="B407" s="105"/>
      <c r="C407" s="106" t="str">
        <f t="shared" si="7"/>
        <v/>
      </c>
      <c r="D407" s="107"/>
      <c r="E407" s="107"/>
      <c r="F407" s="106" t="str">
        <f>IFERROR(INDEX(Lista_Precios[CÓDIGO],MATCH(Movimientos!$G407,Lista_Precios[PRODUCTO],0)),"")</f>
        <v/>
      </c>
      <c r="G407" s="107"/>
      <c r="H407" s="108"/>
      <c r="I407" s="40"/>
    </row>
    <row r="408" spans="2:9" ht="15.5" x14ac:dyDescent="0.35">
      <c r="B408" s="105"/>
      <c r="C408" s="106" t="str">
        <f t="shared" si="7"/>
        <v/>
      </c>
      <c r="D408" s="107"/>
      <c r="E408" s="107"/>
      <c r="F408" s="106" t="str">
        <f>IFERROR(INDEX(Lista_Precios[CÓDIGO],MATCH(Movimientos!$G408,Lista_Precios[PRODUCTO],0)),"")</f>
        <v/>
      </c>
      <c r="G408" s="107"/>
      <c r="H408" s="108"/>
      <c r="I408" s="40"/>
    </row>
    <row r="409" spans="2:9" ht="15.5" x14ac:dyDescent="0.35">
      <c r="B409" s="105"/>
      <c r="C409" s="106" t="str">
        <f t="shared" si="7"/>
        <v/>
      </c>
      <c r="D409" s="107"/>
      <c r="E409" s="107"/>
      <c r="F409" s="106" t="str">
        <f>IFERROR(INDEX(Lista_Precios[CÓDIGO],MATCH(Movimientos!$G409,Lista_Precios[PRODUCTO],0)),"")</f>
        <v/>
      </c>
      <c r="G409" s="107"/>
      <c r="H409" s="108"/>
      <c r="I409" s="40"/>
    </row>
    <row r="410" spans="2:9" ht="15.5" x14ac:dyDescent="0.35">
      <c r="B410" s="105"/>
      <c r="C410" s="106" t="str">
        <f t="shared" si="7"/>
        <v/>
      </c>
      <c r="D410" s="107"/>
      <c r="E410" s="107"/>
      <c r="F410" s="106" t="str">
        <f>IFERROR(INDEX(Lista_Precios[CÓDIGO],MATCH(Movimientos!$G410,Lista_Precios[PRODUCTO],0)),"")</f>
        <v/>
      </c>
      <c r="G410" s="107"/>
      <c r="H410" s="108"/>
      <c r="I410" s="40"/>
    </row>
    <row r="411" spans="2:9" ht="15.5" x14ac:dyDescent="0.35">
      <c r="B411" s="105"/>
      <c r="C411" s="106" t="str">
        <f t="shared" si="7"/>
        <v/>
      </c>
      <c r="D411" s="107"/>
      <c r="E411" s="107"/>
      <c r="F411" s="106" t="str">
        <f>IFERROR(INDEX(Lista_Precios[CÓDIGO],MATCH(Movimientos!$G411,Lista_Precios[PRODUCTO],0)),"")</f>
        <v/>
      </c>
      <c r="G411" s="107"/>
      <c r="H411" s="108"/>
      <c r="I411" s="40"/>
    </row>
    <row r="412" spans="2:9" ht="15.5" x14ac:dyDescent="0.35">
      <c r="B412" s="105"/>
      <c r="C412" s="106" t="str">
        <f t="shared" si="7"/>
        <v/>
      </c>
      <c r="D412" s="107"/>
      <c r="E412" s="107"/>
      <c r="F412" s="106" t="str">
        <f>IFERROR(INDEX(Lista_Precios[CÓDIGO],MATCH(Movimientos!$G412,Lista_Precios[PRODUCTO],0)),"")</f>
        <v/>
      </c>
      <c r="G412" s="107"/>
      <c r="H412" s="108"/>
      <c r="I412" s="40"/>
    </row>
    <row r="413" spans="2:9" ht="15.5" x14ac:dyDescent="0.35">
      <c r="B413" s="105"/>
      <c r="C413" s="106" t="str">
        <f t="shared" si="7"/>
        <v/>
      </c>
      <c r="D413" s="107"/>
      <c r="E413" s="107"/>
      <c r="F413" s="106" t="str">
        <f>IFERROR(INDEX(Lista_Precios[CÓDIGO],MATCH(Movimientos!$G413,Lista_Precios[PRODUCTO],0)),"")</f>
        <v/>
      </c>
      <c r="G413" s="107"/>
      <c r="H413" s="108"/>
      <c r="I413" s="40"/>
    </row>
    <row r="414" spans="2:9" ht="15.5" x14ac:dyDescent="0.35">
      <c r="B414" s="105"/>
      <c r="C414" s="106" t="str">
        <f t="shared" si="7"/>
        <v/>
      </c>
      <c r="D414" s="107"/>
      <c r="E414" s="107"/>
      <c r="F414" s="106" t="str">
        <f>IFERROR(INDEX(Lista_Precios[CÓDIGO],MATCH(Movimientos!$G414,Lista_Precios[PRODUCTO],0)),"")</f>
        <v/>
      </c>
      <c r="G414" s="107"/>
      <c r="H414" s="108"/>
      <c r="I414" s="40"/>
    </row>
    <row r="415" spans="2:9" ht="15.5" x14ac:dyDescent="0.35">
      <c r="B415" s="105"/>
      <c r="C415" s="106" t="str">
        <f t="shared" si="7"/>
        <v/>
      </c>
      <c r="D415" s="107"/>
      <c r="E415" s="107"/>
      <c r="F415" s="106" t="str">
        <f>IFERROR(INDEX(Lista_Precios[CÓDIGO],MATCH(Movimientos!$G415,Lista_Precios[PRODUCTO],0)),"")</f>
        <v/>
      </c>
      <c r="G415" s="107"/>
      <c r="H415" s="108"/>
      <c r="I415" s="40"/>
    </row>
    <row r="416" spans="2:9" ht="15.5" x14ac:dyDescent="0.35">
      <c r="B416" s="105"/>
      <c r="C416" s="106" t="str">
        <f t="shared" si="7"/>
        <v/>
      </c>
      <c r="D416" s="107"/>
      <c r="E416" s="107"/>
      <c r="F416" s="106" t="str">
        <f>IFERROR(INDEX(Lista_Precios[CÓDIGO],MATCH(Movimientos!$G416,Lista_Precios[PRODUCTO],0)),"")</f>
        <v/>
      </c>
      <c r="G416" s="107"/>
      <c r="H416" s="108"/>
      <c r="I416" s="40"/>
    </row>
    <row r="417" spans="2:9" ht="15.5" x14ac:dyDescent="0.35">
      <c r="B417" s="105"/>
      <c r="C417" s="106" t="str">
        <f t="shared" si="7"/>
        <v/>
      </c>
      <c r="D417" s="107"/>
      <c r="E417" s="107"/>
      <c r="F417" s="106" t="str">
        <f>IFERROR(INDEX(Lista_Precios[CÓDIGO],MATCH(Movimientos!$G417,Lista_Precios[PRODUCTO],0)),"")</f>
        <v/>
      </c>
      <c r="G417" s="107"/>
      <c r="H417" s="108"/>
      <c r="I417" s="40"/>
    </row>
    <row r="418" spans="2:9" ht="15.5" x14ac:dyDescent="0.35">
      <c r="B418" s="105"/>
      <c r="C418" s="106" t="str">
        <f t="shared" si="7"/>
        <v/>
      </c>
      <c r="D418" s="107"/>
      <c r="E418" s="107"/>
      <c r="F418" s="106" t="str">
        <f>IFERROR(INDEX(Lista_Precios[CÓDIGO],MATCH(Movimientos!$G418,Lista_Precios[PRODUCTO],0)),"")</f>
        <v/>
      </c>
      <c r="G418" s="107"/>
      <c r="H418" s="108"/>
      <c r="I418" s="40"/>
    </row>
    <row r="419" spans="2:9" ht="15.5" x14ac:dyDescent="0.35">
      <c r="B419" s="105"/>
      <c r="C419" s="106" t="str">
        <f t="shared" si="7"/>
        <v/>
      </c>
      <c r="D419" s="107"/>
      <c r="E419" s="107"/>
      <c r="F419" s="106" t="str">
        <f>IFERROR(INDEX(Lista_Precios[CÓDIGO],MATCH(Movimientos!$G419,Lista_Precios[PRODUCTO],0)),"")</f>
        <v/>
      </c>
      <c r="G419" s="107"/>
      <c r="H419" s="108"/>
      <c r="I419" s="40"/>
    </row>
    <row r="420" spans="2:9" ht="15.5" x14ac:dyDescent="0.35">
      <c r="B420" s="105"/>
      <c r="C420" s="106" t="str">
        <f t="shared" si="7"/>
        <v/>
      </c>
      <c r="D420" s="107"/>
      <c r="E420" s="107"/>
      <c r="F420" s="106" t="str">
        <f>IFERROR(INDEX(Lista_Precios[CÓDIGO],MATCH(Movimientos!$G420,Lista_Precios[PRODUCTO],0)),"")</f>
        <v/>
      </c>
      <c r="G420" s="107"/>
      <c r="H420" s="108"/>
      <c r="I420" s="40"/>
    </row>
    <row r="421" spans="2:9" ht="15.5" x14ac:dyDescent="0.35">
      <c r="B421" s="105"/>
      <c r="C421" s="106" t="str">
        <f t="shared" si="7"/>
        <v/>
      </c>
      <c r="D421" s="107"/>
      <c r="E421" s="107"/>
      <c r="F421" s="106" t="str">
        <f>IFERROR(INDEX(Lista_Precios[CÓDIGO],MATCH(Movimientos!$G421,Lista_Precios[PRODUCTO],0)),"")</f>
        <v/>
      </c>
      <c r="G421" s="107"/>
      <c r="H421" s="108"/>
      <c r="I421" s="40"/>
    </row>
    <row r="422" spans="2:9" ht="15.5" x14ac:dyDescent="0.35">
      <c r="B422" s="105"/>
      <c r="C422" s="106" t="str">
        <f t="shared" si="7"/>
        <v/>
      </c>
      <c r="D422" s="107"/>
      <c r="E422" s="107"/>
      <c r="F422" s="106" t="str">
        <f>IFERROR(INDEX(Lista_Precios[CÓDIGO],MATCH(Movimientos!$G422,Lista_Precios[PRODUCTO],0)),"")</f>
        <v/>
      </c>
      <c r="G422" s="107"/>
      <c r="H422" s="108"/>
      <c r="I422" s="40"/>
    </row>
    <row r="423" spans="2:9" ht="15.5" x14ac:dyDescent="0.35">
      <c r="B423" s="105"/>
      <c r="C423" s="106" t="str">
        <f t="shared" ref="C423:C486" si="8">IF(B423="","",TEXT(B423,"Mmmm"))</f>
        <v/>
      </c>
      <c r="D423" s="107"/>
      <c r="E423" s="107"/>
      <c r="F423" s="106" t="str">
        <f>IFERROR(INDEX(Lista_Precios[CÓDIGO],MATCH(Movimientos!$G423,Lista_Precios[PRODUCTO],0)),"")</f>
        <v/>
      </c>
      <c r="G423" s="107"/>
      <c r="H423" s="108"/>
      <c r="I423" s="40"/>
    </row>
    <row r="424" spans="2:9" ht="15.5" x14ac:dyDescent="0.35">
      <c r="B424" s="105"/>
      <c r="C424" s="106" t="str">
        <f t="shared" si="8"/>
        <v/>
      </c>
      <c r="D424" s="107"/>
      <c r="E424" s="107"/>
      <c r="F424" s="106" t="str">
        <f>IFERROR(INDEX(Lista_Precios[CÓDIGO],MATCH(Movimientos!$G424,Lista_Precios[PRODUCTO],0)),"")</f>
        <v/>
      </c>
      <c r="G424" s="107"/>
      <c r="H424" s="108"/>
      <c r="I424" s="40"/>
    </row>
    <row r="425" spans="2:9" ht="15.5" x14ac:dyDescent="0.35">
      <c r="B425" s="105"/>
      <c r="C425" s="106" t="str">
        <f t="shared" si="8"/>
        <v/>
      </c>
      <c r="D425" s="107"/>
      <c r="E425" s="107"/>
      <c r="F425" s="106" t="str">
        <f>IFERROR(INDEX(Lista_Precios[CÓDIGO],MATCH(Movimientos!$G425,Lista_Precios[PRODUCTO],0)),"")</f>
        <v/>
      </c>
      <c r="G425" s="107"/>
      <c r="H425" s="108"/>
      <c r="I425" s="40"/>
    </row>
    <row r="426" spans="2:9" ht="15.5" x14ac:dyDescent="0.35">
      <c r="B426" s="105"/>
      <c r="C426" s="106" t="str">
        <f t="shared" si="8"/>
        <v/>
      </c>
      <c r="D426" s="107"/>
      <c r="E426" s="107"/>
      <c r="F426" s="106" t="str">
        <f>IFERROR(INDEX(Lista_Precios[CÓDIGO],MATCH(Movimientos!$G426,Lista_Precios[PRODUCTO],0)),"")</f>
        <v/>
      </c>
      <c r="G426" s="107"/>
      <c r="H426" s="108"/>
      <c r="I426" s="40"/>
    </row>
    <row r="427" spans="2:9" ht="15.5" x14ac:dyDescent="0.35">
      <c r="B427" s="105"/>
      <c r="C427" s="106" t="str">
        <f t="shared" si="8"/>
        <v/>
      </c>
      <c r="D427" s="107"/>
      <c r="E427" s="107"/>
      <c r="F427" s="106" t="str">
        <f>IFERROR(INDEX(Lista_Precios[CÓDIGO],MATCH(Movimientos!$G427,Lista_Precios[PRODUCTO],0)),"")</f>
        <v/>
      </c>
      <c r="G427" s="107"/>
      <c r="H427" s="108"/>
      <c r="I427" s="40"/>
    </row>
    <row r="428" spans="2:9" ht="15.5" x14ac:dyDescent="0.35">
      <c r="B428" s="105"/>
      <c r="C428" s="106" t="str">
        <f t="shared" si="8"/>
        <v/>
      </c>
      <c r="D428" s="107"/>
      <c r="E428" s="107"/>
      <c r="F428" s="106" t="str">
        <f>IFERROR(INDEX(Lista_Precios[CÓDIGO],MATCH(Movimientos!$G428,Lista_Precios[PRODUCTO],0)),"")</f>
        <v/>
      </c>
      <c r="G428" s="107"/>
      <c r="H428" s="108"/>
      <c r="I428" s="40"/>
    </row>
    <row r="429" spans="2:9" ht="15.5" x14ac:dyDescent="0.35">
      <c r="B429" s="105"/>
      <c r="C429" s="106" t="str">
        <f t="shared" si="8"/>
        <v/>
      </c>
      <c r="D429" s="107"/>
      <c r="E429" s="107"/>
      <c r="F429" s="106" t="str">
        <f>IFERROR(INDEX(Lista_Precios[CÓDIGO],MATCH(Movimientos!$G429,Lista_Precios[PRODUCTO],0)),"")</f>
        <v/>
      </c>
      <c r="G429" s="107"/>
      <c r="H429" s="108"/>
      <c r="I429" s="40"/>
    </row>
    <row r="430" spans="2:9" ht="15.5" x14ac:dyDescent="0.35">
      <c r="B430" s="105"/>
      <c r="C430" s="106" t="str">
        <f t="shared" si="8"/>
        <v/>
      </c>
      <c r="D430" s="107"/>
      <c r="E430" s="107"/>
      <c r="F430" s="106" t="str">
        <f>IFERROR(INDEX(Lista_Precios[CÓDIGO],MATCH(Movimientos!$G430,Lista_Precios[PRODUCTO],0)),"")</f>
        <v/>
      </c>
      <c r="G430" s="107"/>
      <c r="H430" s="108"/>
      <c r="I430" s="40"/>
    </row>
    <row r="431" spans="2:9" ht="15.5" x14ac:dyDescent="0.35">
      <c r="B431" s="105"/>
      <c r="C431" s="106" t="str">
        <f t="shared" si="8"/>
        <v/>
      </c>
      <c r="D431" s="107"/>
      <c r="E431" s="107"/>
      <c r="F431" s="106" t="str">
        <f>IFERROR(INDEX(Lista_Precios[CÓDIGO],MATCH(Movimientos!$G431,Lista_Precios[PRODUCTO],0)),"")</f>
        <v/>
      </c>
      <c r="G431" s="107"/>
      <c r="H431" s="108"/>
      <c r="I431" s="40"/>
    </row>
    <row r="432" spans="2:9" ht="15.5" x14ac:dyDescent="0.35">
      <c r="B432" s="105"/>
      <c r="C432" s="106" t="str">
        <f t="shared" si="8"/>
        <v/>
      </c>
      <c r="D432" s="107"/>
      <c r="E432" s="107"/>
      <c r="F432" s="106" t="str">
        <f>IFERROR(INDEX(Lista_Precios[CÓDIGO],MATCH(Movimientos!$G432,Lista_Precios[PRODUCTO],0)),"")</f>
        <v/>
      </c>
      <c r="G432" s="107"/>
      <c r="H432" s="108"/>
      <c r="I432" s="40"/>
    </row>
    <row r="433" spans="2:9" ht="15.5" x14ac:dyDescent="0.35">
      <c r="B433" s="105"/>
      <c r="C433" s="106" t="str">
        <f t="shared" si="8"/>
        <v/>
      </c>
      <c r="D433" s="107"/>
      <c r="E433" s="107"/>
      <c r="F433" s="106" t="str">
        <f>IFERROR(INDEX(Lista_Precios[CÓDIGO],MATCH(Movimientos!$G433,Lista_Precios[PRODUCTO],0)),"")</f>
        <v/>
      </c>
      <c r="G433" s="107"/>
      <c r="H433" s="108"/>
      <c r="I433" s="40"/>
    </row>
    <row r="434" spans="2:9" ht="15.5" x14ac:dyDescent="0.35">
      <c r="B434" s="105"/>
      <c r="C434" s="106" t="str">
        <f t="shared" si="8"/>
        <v/>
      </c>
      <c r="D434" s="107"/>
      <c r="E434" s="107"/>
      <c r="F434" s="106" t="str">
        <f>IFERROR(INDEX(Lista_Precios[CÓDIGO],MATCH(Movimientos!$G434,Lista_Precios[PRODUCTO],0)),"")</f>
        <v/>
      </c>
      <c r="G434" s="107"/>
      <c r="H434" s="108"/>
      <c r="I434" s="40"/>
    </row>
    <row r="435" spans="2:9" ht="15.5" x14ac:dyDescent="0.35">
      <c r="B435" s="105"/>
      <c r="C435" s="106" t="str">
        <f t="shared" si="8"/>
        <v/>
      </c>
      <c r="D435" s="107"/>
      <c r="E435" s="107"/>
      <c r="F435" s="106" t="str">
        <f>IFERROR(INDEX(Lista_Precios[CÓDIGO],MATCH(Movimientos!$G435,Lista_Precios[PRODUCTO],0)),"")</f>
        <v/>
      </c>
      <c r="G435" s="107"/>
      <c r="H435" s="108"/>
      <c r="I435" s="40"/>
    </row>
    <row r="436" spans="2:9" ht="15.5" x14ac:dyDescent="0.35">
      <c r="B436" s="105"/>
      <c r="C436" s="106" t="str">
        <f t="shared" si="8"/>
        <v/>
      </c>
      <c r="D436" s="107"/>
      <c r="E436" s="107"/>
      <c r="F436" s="106" t="str">
        <f>IFERROR(INDEX(Lista_Precios[CÓDIGO],MATCH(Movimientos!$G436,Lista_Precios[PRODUCTO],0)),"")</f>
        <v/>
      </c>
      <c r="G436" s="107"/>
      <c r="H436" s="108"/>
      <c r="I436" s="40"/>
    </row>
    <row r="437" spans="2:9" ht="15.5" x14ac:dyDescent="0.35">
      <c r="B437" s="105"/>
      <c r="C437" s="106" t="str">
        <f t="shared" si="8"/>
        <v/>
      </c>
      <c r="D437" s="107"/>
      <c r="E437" s="107"/>
      <c r="F437" s="106" t="str">
        <f>IFERROR(INDEX(Lista_Precios[CÓDIGO],MATCH(Movimientos!$G437,Lista_Precios[PRODUCTO],0)),"")</f>
        <v/>
      </c>
      <c r="G437" s="107"/>
      <c r="H437" s="108"/>
      <c r="I437" s="40"/>
    </row>
    <row r="438" spans="2:9" ht="15.5" x14ac:dyDescent="0.35">
      <c r="B438" s="105"/>
      <c r="C438" s="106" t="str">
        <f t="shared" si="8"/>
        <v/>
      </c>
      <c r="D438" s="107"/>
      <c r="E438" s="107"/>
      <c r="F438" s="106" t="str">
        <f>IFERROR(INDEX(Lista_Precios[CÓDIGO],MATCH(Movimientos!$G438,Lista_Precios[PRODUCTO],0)),"")</f>
        <v/>
      </c>
      <c r="G438" s="107"/>
      <c r="H438" s="108"/>
      <c r="I438" s="40"/>
    </row>
    <row r="439" spans="2:9" ht="15.5" x14ac:dyDescent="0.35">
      <c r="B439" s="105"/>
      <c r="C439" s="106" t="str">
        <f t="shared" si="8"/>
        <v/>
      </c>
      <c r="D439" s="107"/>
      <c r="E439" s="107"/>
      <c r="F439" s="106" t="str">
        <f>IFERROR(INDEX(Lista_Precios[CÓDIGO],MATCH(Movimientos!$G439,Lista_Precios[PRODUCTO],0)),"")</f>
        <v/>
      </c>
      <c r="G439" s="107"/>
      <c r="H439" s="108"/>
      <c r="I439" s="40"/>
    </row>
    <row r="440" spans="2:9" ht="15.5" x14ac:dyDescent="0.35">
      <c r="B440" s="105"/>
      <c r="C440" s="106" t="str">
        <f t="shared" si="8"/>
        <v/>
      </c>
      <c r="D440" s="107"/>
      <c r="E440" s="107"/>
      <c r="F440" s="106" t="str">
        <f>IFERROR(INDEX(Lista_Precios[CÓDIGO],MATCH(Movimientos!$G440,Lista_Precios[PRODUCTO],0)),"")</f>
        <v/>
      </c>
      <c r="G440" s="107"/>
      <c r="H440" s="108"/>
      <c r="I440" s="40"/>
    </row>
    <row r="441" spans="2:9" ht="15.5" x14ac:dyDescent="0.35">
      <c r="B441" s="105"/>
      <c r="C441" s="106" t="str">
        <f t="shared" si="8"/>
        <v/>
      </c>
      <c r="D441" s="107"/>
      <c r="E441" s="107"/>
      <c r="F441" s="106" t="str">
        <f>IFERROR(INDEX(Lista_Precios[CÓDIGO],MATCH(Movimientos!$G441,Lista_Precios[PRODUCTO],0)),"")</f>
        <v/>
      </c>
      <c r="G441" s="107"/>
      <c r="H441" s="108"/>
      <c r="I441" s="40"/>
    </row>
    <row r="442" spans="2:9" ht="15.5" x14ac:dyDescent="0.35">
      <c r="B442" s="105"/>
      <c r="C442" s="106" t="str">
        <f t="shared" si="8"/>
        <v/>
      </c>
      <c r="D442" s="107"/>
      <c r="E442" s="107"/>
      <c r="F442" s="106" t="str">
        <f>IFERROR(INDEX(Lista_Precios[CÓDIGO],MATCH(Movimientos!$G442,Lista_Precios[PRODUCTO],0)),"")</f>
        <v/>
      </c>
      <c r="G442" s="107"/>
      <c r="H442" s="108"/>
      <c r="I442" s="40"/>
    </row>
    <row r="443" spans="2:9" ht="15.5" x14ac:dyDescent="0.35">
      <c r="B443" s="105"/>
      <c r="C443" s="106" t="str">
        <f t="shared" si="8"/>
        <v/>
      </c>
      <c r="D443" s="107"/>
      <c r="E443" s="107"/>
      <c r="F443" s="106" t="str">
        <f>IFERROR(INDEX(Lista_Precios[CÓDIGO],MATCH(Movimientos!$G443,Lista_Precios[PRODUCTO],0)),"")</f>
        <v/>
      </c>
      <c r="G443" s="107"/>
      <c r="H443" s="108"/>
      <c r="I443" s="40"/>
    </row>
    <row r="444" spans="2:9" ht="15.5" x14ac:dyDescent="0.35">
      <c r="B444" s="105"/>
      <c r="C444" s="106" t="str">
        <f t="shared" si="8"/>
        <v/>
      </c>
      <c r="D444" s="107"/>
      <c r="E444" s="107"/>
      <c r="F444" s="106" t="str">
        <f>IFERROR(INDEX(Lista_Precios[CÓDIGO],MATCH(Movimientos!$G444,Lista_Precios[PRODUCTO],0)),"")</f>
        <v/>
      </c>
      <c r="G444" s="107"/>
      <c r="H444" s="108"/>
      <c r="I444" s="40"/>
    </row>
    <row r="445" spans="2:9" ht="15.5" x14ac:dyDescent="0.35">
      <c r="B445" s="105"/>
      <c r="C445" s="106" t="str">
        <f t="shared" si="8"/>
        <v/>
      </c>
      <c r="D445" s="107"/>
      <c r="E445" s="107"/>
      <c r="F445" s="106" t="str">
        <f>IFERROR(INDEX(Lista_Precios[CÓDIGO],MATCH(Movimientos!$G445,Lista_Precios[PRODUCTO],0)),"")</f>
        <v/>
      </c>
      <c r="G445" s="107"/>
      <c r="H445" s="108"/>
      <c r="I445" s="40"/>
    </row>
    <row r="446" spans="2:9" ht="15.5" x14ac:dyDescent="0.35">
      <c r="B446" s="105"/>
      <c r="C446" s="106" t="str">
        <f t="shared" si="8"/>
        <v/>
      </c>
      <c r="D446" s="107"/>
      <c r="E446" s="107"/>
      <c r="F446" s="106" t="str">
        <f>IFERROR(INDEX(Lista_Precios[CÓDIGO],MATCH(Movimientos!$G446,Lista_Precios[PRODUCTO],0)),"")</f>
        <v/>
      </c>
      <c r="G446" s="107"/>
      <c r="H446" s="108"/>
      <c r="I446" s="40"/>
    </row>
    <row r="447" spans="2:9" ht="15.5" x14ac:dyDescent="0.35">
      <c r="B447" s="105"/>
      <c r="C447" s="106" t="str">
        <f t="shared" si="8"/>
        <v/>
      </c>
      <c r="D447" s="107"/>
      <c r="E447" s="107"/>
      <c r="F447" s="106" t="str">
        <f>IFERROR(INDEX(Lista_Precios[CÓDIGO],MATCH(Movimientos!$G447,Lista_Precios[PRODUCTO],0)),"")</f>
        <v/>
      </c>
      <c r="G447" s="107"/>
      <c r="H447" s="108"/>
      <c r="I447" s="40"/>
    </row>
    <row r="448" spans="2:9" ht="15.5" x14ac:dyDescent="0.35">
      <c r="B448" s="105"/>
      <c r="C448" s="106" t="str">
        <f t="shared" si="8"/>
        <v/>
      </c>
      <c r="D448" s="107"/>
      <c r="E448" s="107"/>
      <c r="F448" s="106" t="str">
        <f>IFERROR(INDEX(Lista_Precios[CÓDIGO],MATCH(Movimientos!$G448,Lista_Precios[PRODUCTO],0)),"")</f>
        <v/>
      </c>
      <c r="G448" s="107"/>
      <c r="H448" s="108"/>
      <c r="I448" s="40"/>
    </row>
    <row r="449" spans="2:9" ht="15.5" x14ac:dyDescent="0.35">
      <c r="B449" s="105"/>
      <c r="C449" s="106" t="str">
        <f t="shared" si="8"/>
        <v/>
      </c>
      <c r="D449" s="107"/>
      <c r="E449" s="107"/>
      <c r="F449" s="106" t="str">
        <f>IFERROR(INDEX(Lista_Precios[CÓDIGO],MATCH(Movimientos!$G449,Lista_Precios[PRODUCTO],0)),"")</f>
        <v/>
      </c>
      <c r="G449" s="107"/>
      <c r="H449" s="108"/>
      <c r="I449" s="40"/>
    </row>
    <row r="450" spans="2:9" ht="15.5" x14ac:dyDescent="0.35">
      <c r="B450" s="105"/>
      <c r="C450" s="106" t="str">
        <f t="shared" si="8"/>
        <v/>
      </c>
      <c r="D450" s="107"/>
      <c r="E450" s="107"/>
      <c r="F450" s="106" t="str">
        <f>IFERROR(INDEX(Lista_Precios[CÓDIGO],MATCH(Movimientos!$G450,Lista_Precios[PRODUCTO],0)),"")</f>
        <v/>
      </c>
      <c r="G450" s="107"/>
      <c r="H450" s="108"/>
      <c r="I450" s="40"/>
    </row>
    <row r="451" spans="2:9" ht="15.5" x14ac:dyDescent="0.35">
      <c r="B451" s="105"/>
      <c r="C451" s="106" t="str">
        <f t="shared" si="8"/>
        <v/>
      </c>
      <c r="D451" s="107"/>
      <c r="E451" s="107"/>
      <c r="F451" s="106" t="str">
        <f>IFERROR(INDEX(Lista_Precios[CÓDIGO],MATCH(Movimientos!$G451,Lista_Precios[PRODUCTO],0)),"")</f>
        <v/>
      </c>
      <c r="G451" s="107"/>
      <c r="H451" s="108"/>
      <c r="I451" s="40"/>
    </row>
    <row r="452" spans="2:9" ht="15.5" x14ac:dyDescent="0.35">
      <c r="B452" s="105"/>
      <c r="C452" s="106" t="str">
        <f t="shared" si="8"/>
        <v/>
      </c>
      <c r="D452" s="107"/>
      <c r="E452" s="107"/>
      <c r="F452" s="106" t="str">
        <f>IFERROR(INDEX(Lista_Precios[CÓDIGO],MATCH(Movimientos!$G452,Lista_Precios[PRODUCTO],0)),"")</f>
        <v/>
      </c>
      <c r="G452" s="107"/>
      <c r="H452" s="108"/>
      <c r="I452" s="40"/>
    </row>
    <row r="453" spans="2:9" ht="15.5" x14ac:dyDescent="0.35">
      <c r="B453" s="105"/>
      <c r="C453" s="106" t="str">
        <f t="shared" si="8"/>
        <v/>
      </c>
      <c r="D453" s="107"/>
      <c r="E453" s="107"/>
      <c r="F453" s="106" t="str">
        <f>IFERROR(INDEX(Lista_Precios[CÓDIGO],MATCH(Movimientos!$G453,Lista_Precios[PRODUCTO],0)),"")</f>
        <v/>
      </c>
      <c r="G453" s="107"/>
      <c r="H453" s="108"/>
      <c r="I453" s="40"/>
    </row>
    <row r="454" spans="2:9" ht="15.5" x14ac:dyDescent="0.35">
      <c r="B454" s="105"/>
      <c r="C454" s="106" t="str">
        <f t="shared" si="8"/>
        <v/>
      </c>
      <c r="D454" s="107"/>
      <c r="E454" s="107"/>
      <c r="F454" s="106" t="str">
        <f>IFERROR(INDEX(Lista_Precios[CÓDIGO],MATCH(Movimientos!$G454,Lista_Precios[PRODUCTO],0)),"")</f>
        <v/>
      </c>
      <c r="G454" s="107"/>
      <c r="H454" s="108"/>
      <c r="I454" s="40"/>
    </row>
    <row r="455" spans="2:9" ht="15.5" x14ac:dyDescent="0.35">
      <c r="B455" s="105"/>
      <c r="C455" s="106" t="str">
        <f t="shared" si="8"/>
        <v/>
      </c>
      <c r="D455" s="107"/>
      <c r="E455" s="107"/>
      <c r="F455" s="106" t="str">
        <f>IFERROR(INDEX(Lista_Precios[CÓDIGO],MATCH(Movimientos!$G455,Lista_Precios[PRODUCTO],0)),"")</f>
        <v/>
      </c>
      <c r="G455" s="107"/>
      <c r="H455" s="108"/>
      <c r="I455" s="40"/>
    </row>
    <row r="456" spans="2:9" ht="15.5" x14ac:dyDescent="0.35">
      <c r="B456" s="105"/>
      <c r="C456" s="106" t="str">
        <f t="shared" si="8"/>
        <v/>
      </c>
      <c r="D456" s="107"/>
      <c r="E456" s="107"/>
      <c r="F456" s="106" t="str">
        <f>IFERROR(INDEX(Lista_Precios[CÓDIGO],MATCH(Movimientos!$G456,Lista_Precios[PRODUCTO],0)),"")</f>
        <v/>
      </c>
      <c r="G456" s="107"/>
      <c r="H456" s="108"/>
      <c r="I456" s="40"/>
    </row>
    <row r="457" spans="2:9" ht="15.5" x14ac:dyDescent="0.35">
      <c r="B457" s="105"/>
      <c r="C457" s="106" t="str">
        <f t="shared" si="8"/>
        <v/>
      </c>
      <c r="D457" s="107"/>
      <c r="E457" s="107"/>
      <c r="F457" s="106" t="str">
        <f>IFERROR(INDEX(Lista_Precios[CÓDIGO],MATCH(Movimientos!$G457,Lista_Precios[PRODUCTO],0)),"")</f>
        <v/>
      </c>
      <c r="G457" s="107"/>
      <c r="H457" s="108"/>
      <c r="I457" s="40"/>
    </row>
    <row r="458" spans="2:9" ht="15.5" x14ac:dyDescent="0.35">
      <c r="B458" s="105"/>
      <c r="C458" s="106" t="str">
        <f t="shared" si="8"/>
        <v/>
      </c>
      <c r="D458" s="107"/>
      <c r="E458" s="107"/>
      <c r="F458" s="106" t="str">
        <f>IFERROR(INDEX(Lista_Precios[CÓDIGO],MATCH(Movimientos!$G458,Lista_Precios[PRODUCTO],0)),"")</f>
        <v/>
      </c>
      <c r="G458" s="107"/>
      <c r="H458" s="108"/>
      <c r="I458" s="40"/>
    </row>
    <row r="459" spans="2:9" ht="15.5" x14ac:dyDescent="0.35">
      <c r="B459" s="105"/>
      <c r="C459" s="106" t="str">
        <f t="shared" si="8"/>
        <v/>
      </c>
      <c r="D459" s="107"/>
      <c r="E459" s="107"/>
      <c r="F459" s="106" t="str">
        <f>IFERROR(INDEX(Lista_Precios[CÓDIGO],MATCH(Movimientos!$G459,Lista_Precios[PRODUCTO],0)),"")</f>
        <v/>
      </c>
      <c r="G459" s="107"/>
      <c r="H459" s="108"/>
      <c r="I459" s="40"/>
    </row>
    <row r="460" spans="2:9" ht="15.5" x14ac:dyDescent="0.35">
      <c r="B460" s="105"/>
      <c r="C460" s="106" t="str">
        <f t="shared" si="8"/>
        <v/>
      </c>
      <c r="D460" s="107"/>
      <c r="E460" s="107"/>
      <c r="F460" s="106" t="str">
        <f>IFERROR(INDEX(Lista_Precios[CÓDIGO],MATCH(Movimientos!$G460,Lista_Precios[PRODUCTO],0)),"")</f>
        <v/>
      </c>
      <c r="G460" s="107"/>
      <c r="H460" s="108"/>
      <c r="I460" s="40"/>
    </row>
    <row r="461" spans="2:9" ht="15.5" x14ac:dyDescent="0.35">
      <c r="B461" s="105"/>
      <c r="C461" s="106" t="str">
        <f t="shared" si="8"/>
        <v/>
      </c>
      <c r="D461" s="107"/>
      <c r="E461" s="107"/>
      <c r="F461" s="106" t="str">
        <f>IFERROR(INDEX(Lista_Precios[CÓDIGO],MATCH(Movimientos!$G461,Lista_Precios[PRODUCTO],0)),"")</f>
        <v/>
      </c>
      <c r="G461" s="107"/>
      <c r="H461" s="108"/>
      <c r="I461" s="40"/>
    </row>
    <row r="462" spans="2:9" ht="15.5" x14ac:dyDescent="0.35">
      <c r="B462" s="105"/>
      <c r="C462" s="106" t="str">
        <f t="shared" si="8"/>
        <v/>
      </c>
      <c r="D462" s="107"/>
      <c r="E462" s="107"/>
      <c r="F462" s="106" t="str">
        <f>IFERROR(INDEX(Lista_Precios[CÓDIGO],MATCH(Movimientos!$G462,Lista_Precios[PRODUCTO],0)),"")</f>
        <v/>
      </c>
      <c r="G462" s="107"/>
      <c r="H462" s="108"/>
      <c r="I462" s="40"/>
    </row>
    <row r="463" spans="2:9" ht="15.5" x14ac:dyDescent="0.35">
      <c r="B463" s="105"/>
      <c r="C463" s="106" t="str">
        <f t="shared" si="8"/>
        <v/>
      </c>
      <c r="D463" s="107"/>
      <c r="E463" s="107"/>
      <c r="F463" s="106" t="str">
        <f>IFERROR(INDEX(Lista_Precios[CÓDIGO],MATCH(Movimientos!$G463,Lista_Precios[PRODUCTO],0)),"")</f>
        <v/>
      </c>
      <c r="G463" s="107"/>
      <c r="H463" s="108"/>
      <c r="I463" s="40"/>
    </row>
    <row r="464" spans="2:9" ht="15.5" x14ac:dyDescent="0.35">
      <c r="B464" s="105"/>
      <c r="C464" s="106" t="str">
        <f t="shared" si="8"/>
        <v/>
      </c>
      <c r="D464" s="107"/>
      <c r="E464" s="107"/>
      <c r="F464" s="106" t="str">
        <f>IFERROR(INDEX(Lista_Precios[CÓDIGO],MATCH(Movimientos!$G464,Lista_Precios[PRODUCTO],0)),"")</f>
        <v/>
      </c>
      <c r="G464" s="107"/>
      <c r="H464" s="108"/>
      <c r="I464" s="40"/>
    </row>
    <row r="465" spans="2:9" ht="15.5" x14ac:dyDescent="0.35">
      <c r="B465" s="105"/>
      <c r="C465" s="106" t="str">
        <f t="shared" si="8"/>
        <v/>
      </c>
      <c r="D465" s="107"/>
      <c r="E465" s="107"/>
      <c r="F465" s="106" t="str">
        <f>IFERROR(INDEX(Lista_Precios[CÓDIGO],MATCH(Movimientos!$G465,Lista_Precios[PRODUCTO],0)),"")</f>
        <v/>
      </c>
      <c r="G465" s="107"/>
      <c r="H465" s="108"/>
      <c r="I465" s="40"/>
    </row>
    <row r="466" spans="2:9" ht="15.5" x14ac:dyDescent="0.35">
      <c r="B466" s="105"/>
      <c r="C466" s="106" t="str">
        <f t="shared" si="8"/>
        <v/>
      </c>
      <c r="D466" s="107"/>
      <c r="E466" s="107"/>
      <c r="F466" s="106" t="str">
        <f>IFERROR(INDEX(Lista_Precios[CÓDIGO],MATCH(Movimientos!$G466,Lista_Precios[PRODUCTO],0)),"")</f>
        <v/>
      </c>
      <c r="G466" s="107"/>
      <c r="H466" s="108"/>
      <c r="I466" s="40"/>
    </row>
    <row r="467" spans="2:9" ht="15.5" x14ac:dyDescent="0.35">
      <c r="B467" s="105"/>
      <c r="C467" s="106" t="str">
        <f t="shared" si="8"/>
        <v/>
      </c>
      <c r="D467" s="107"/>
      <c r="E467" s="107"/>
      <c r="F467" s="106" t="str">
        <f>IFERROR(INDEX(Lista_Precios[CÓDIGO],MATCH(Movimientos!$G467,Lista_Precios[PRODUCTO],0)),"")</f>
        <v/>
      </c>
      <c r="G467" s="107"/>
      <c r="H467" s="108"/>
      <c r="I467" s="40"/>
    </row>
    <row r="468" spans="2:9" ht="15.5" x14ac:dyDescent="0.35">
      <c r="B468" s="105"/>
      <c r="C468" s="106" t="str">
        <f t="shared" si="8"/>
        <v/>
      </c>
      <c r="D468" s="107"/>
      <c r="E468" s="107"/>
      <c r="F468" s="106" t="str">
        <f>IFERROR(INDEX(Lista_Precios[CÓDIGO],MATCH(Movimientos!$G468,Lista_Precios[PRODUCTO],0)),"")</f>
        <v/>
      </c>
      <c r="G468" s="107"/>
      <c r="H468" s="108"/>
      <c r="I468" s="40"/>
    </row>
    <row r="469" spans="2:9" ht="15.5" x14ac:dyDescent="0.35">
      <c r="B469" s="105"/>
      <c r="C469" s="106" t="str">
        <f t="shared" si="8"/>
        <v/>
      </c>
      <c r="D469" s="107"/>
      <c r="E469" s="107"/>
      <c r="F469" s="106" t="str">
        <f>IFERROR(INDEX(Lista_Precios[CÓDIGO],MATCH(Movimientos!$G469,Lista_Precios[PRODUCTO],0)),"")</f>
        <v/>
      </c>
      <c r="G469" s="107"/>
      <c r="H469" s="108"/>
      <c r="I469" s="40"/>
    </row>
    <row r="470" spans="2:9" ht="15.5" x14ac:dyDescent="0.35">
      <c r="B470" s="105"/>
      <c r="C470" s="106" t="str">
        <f t="shared" si="8"/>
        <v/>
      </c>
      <c r="D470" s="107"/>
      <c r="E470" s="107"/>
      <c r="F470" s="106" t="str">
        <f>IFERROR(INDEX(Lista_Precios[CÓDIGO],MATCH(Movimientos!$G470,Lista_Precios[PRODUCTO],0)),"")</f>
        <v/>
      </c>
      <c r="G470" s="107"/>
      <c r="H470" s="108"/>
      <c r="I470" s="40"/>
    </row>
    <row r="471" spans="2:9" ht="15.5" x14ac:dyDescent="0.35">
      <c r="B471" s="105"/>
      <c r="C471" s="106" t="str">
        <f t="shared" si="8"/>
        <v/>
      </c>
      <c r="D471" s="107"/>
      <c r="E471" s="107"/>
      <c r="F471" s="106" t="str">
        <f>IFERROR(INDEX(Lista_Precios[CÓDIGO],MATCH(Movimientos!$G471,Lista_Precios[PRODUCTO],0)),"")</f>
        <v/>
      </c>
      <c r="G471" s="107"/>
      <c r="H471" s="108"/>
      <c r="I471" s="40"/>
    </row>
    <row r="472" spans="2:9" ht="15.5" x14ac:dyDescent="0.35">
      <c r="B472" s="105"/>
      <c r="C472" s="106" t="str">
        <f t="shared" si="8"/>
        <v/>
      </c>
      <c r="D472" s="107"/>
      <c r="E472" s="107"/>
      <c r="F472" s="106" t="str">
        <f>IFERROR(INDEX(Lista_Precios[CÓDIGO],MATCH(Movimientos!$G472,Lista_Precios[PRODUCTO],0)),"")</f>
        <v/>
      </c>
      <c r="G472" s="107"/>
      <c r="H472" s="108"/>
      <c r="I472" s="40"/>
    </row>
    <row r="473" spans="2:9" ht="15.5" x14ac:dyDescent="0.35">
      <c r="B473" s="105"/>
      <c r="C473" s="106" t="str">
        <f t="shared" si="8"/>
        <v/>
      </c>
      <c r="D473" s="107"/>
      <c r="E473" s="107"/>
      <c r="F473" s="106" t="str">
        <f>IFERROR(INDEX(Lista_Precios[CÓDIGO],MATCH(Movimientos!$G473,Lista_Precios[PRODUCTO],0)),"")</f>
        <v/>
      </c>
      <c r="G473" s="107"/>
      <c r="H473" s="108"/>
      <c r="I473" s="40"/>
    </row>
    <row r="474" spans="2:9" ht="15.5" x14ac:dyDescent="0.35">
      <c r="B474" s="105"/>
      <c r="C474" s="106" t="str">
        <f t="shared" si="8"/>
        <v/>
      </c>
      <c r="D474" s="107"/>
      <c r="E474" s="107"/>
      <c r="F474" s="106" t="str">
        <f>IFERROR(INDEX(Lista_Precios[CÓDIGO],MATCH(Movimientos!$G474,Lista_Precios[PRODUCTO],0)),"")</f>
        <v/>
      </c>
      <c r="G474" s="107"/>
      <c r="H474" s="108"/>
      <c r="I474" s="40"/>
    </row>
    <row r="475" spans="2:9" ht="15.5" x14ac:dyDescent="0.35">
      <c r="B475" s="105"/>
      <c r="C475" s="106" t="str">
        <f t="shared" si="8"/>
        <v/>
      </c>
      <c r="D475" s="107"/>
      <c r="E475" s="107"/>
      <c r="F475" s="106" t="str">
        <f>IFERROR(INDEX(Lista_Precios[CÓDIGO],MATCH(Movimientos!$G475,Lista_Precios[PRODUCTO],0)),"")</f>
        <v/>
      </c>
      <c r="G475" s="107"/>
      <c r="H475" s="108"/>
      <c r="I475" s="40"/>
    </row>
    <row r="476" spans="2:9" ht="15.5" x14ac:dyDescent="0.35">
      <c r="B476" s="105"/>
      <c r="C476" s="106" t="str">
        <f t="shared" si="8"/>
        <v/>
      </c>
      <c r="D476" s="107"/>
      <c r="E476" s="107"/>
      <c r="F476" s="106" t="str">
        <f>IFERROR(INDEX(Lista_Precios[CÓDIGO],MATCH(Movimientos!$G476,Lista_Precios[PRODUCTO],0)),"")</f>
        <v/>
      </c>
      <c r="G476" s="107"/>
      <c r="H476" s="108"/>
      <c r="I476" s="40"/>
    </row>
    <row r="477" spans="2:9" ht="15.5" x14ac:dyDescent="0.35">
      <c r="B477" s="105"/>
      <c r="C477" s="106" t="str">
        <f t="shared" si="8"/>
        <v/>
      </c>
      <c r="D477" s="107"/>
      <c r="E477" s="107"/>
      <c r="F477" s="106" t="str">
        <f>IFERROR(INDEX(Lista_Precios[CÓDIGO],MATCH(Movimientos!$G477,Lista_Precios[PRODUCTO],0)),"")</f>
        <v/>
      </c>
      <c r="G477" s="107"/>
      <c r="H477" s="108"/>
      <c r="I477" s="40"/>
    </row>
    <row r="478" spans="2:9" ht="15.5" x14ac:dyDescent="0.35">
      <c r="B478" s="105"/>
      <c r="C478" s="106" t="str">
        <f t="shared" si="8"/>
        <v/>
      </c>
      <c r="D478" s="107"/>
      <c r="E478" s="107"/>
      <c r="F478" s="106" t="str">
        <f>IFERROR(INDEX(Lista_Precios[CÓDIGO],MATCH(Movimientos!$G478,Lista_Precios[PRODUCTO],0)),"")</f>
        <v/>
      </c>
      <c r="G478" s="107"/>
      <c r="H478" s="108"/>
      <c r="I478" s="40"/>
    </row>
    <row r="479" spans="2:9" ht="15.5" x14ac:dyDescent="0.35">
      <c r="B479" s="105"/>
      <c r="C479" s="106" t="str">
        <f t="shared" si="8"/>
        <v/>
      </c>
      <c r="D479" s="107"/>
      <c r="E479" s="107"/>
      <c r="F479" s="106" t="str">
        <f>IFERROR(INDEX(Lista_Precios[CÓDIGO],MATCH(Movimientos!$G479,Lista_Precios[PRODUCTO],0)),"")</f>
        <v/>
      </c>
      <c r="G479" s="107"/>
      <c r="H479" s="108"/>
      <c r="I479" s="40"/>
    </row>
    <row r="480" spans="2:9" ht="15.5" x14ac:dyDescent="0.35">
      <c r="B480" s="105"/>
      <c r="C480" s="106" t="str">
        <f t="shared" si="8"/>
        <v/>
      </c>
      <c r="D480" s="107"/>
      <c r="E480" s="107"/>
      <c r="F480" s="106" t="str">
        <f>IFERROR(INDEX(Lista_Precios[CÓDIGO],MATCH(Movimientos!$G480,Lista_Precios[PRODUCTO],0)),"")</f>
        <v/>
      </c>
      <c r="G480" s="107"/>
      <c r="H480" s="108"/>
      <c r="I480" s="40"/>
    </row>
    <row r="481" spans="2:9" ht="15.5" x14ac:dyDescent="0.35">
      <c r="B481" s="105"/>
      <c r="C481" s="106" t="str">
        <f t="shared" si="8"/>
        <v/>
      </c>
      <c r="D481" s="107"/>
      <c r="E481" s="107"/>
      <c r="F481" s="106" t="str">
        <f>IFERROR(INDEX(Lista_Precios[CÓDIGO],MATCH(Movimientos!$G481,Lista_Precios[PRODUCTO],0)),"")</f>
        <v/>
      </c>
      <c r="G481" s="107"/>
      <c r="H481" s="108"/>
      <c r="I481" s="40"/>
    </row>
    <row r="482" spans="2:9" ht="15.5" x14ac:dyDescent="0.35">
      <c r="B482" s="105"/>
      <c r="C482" s="106" t="str">
        <f t="shared" si="8"/>
        <v/>
      </c>
      <c r="D482" s="107"/>
      <c r="E482" s="107"/>
      <c r="F482" s="106" t="str">
        <f>IFERROR(INDEX(Lista_Precios[CÓDIGO],MATCH(Movimientos!$G482,Lista_Precios[PRODUCTO],0)),"")</f>
        <v/>
      </c>
      <c r="G482" s="107"/>
      <c r="H482" s="108"/>
      <c r="I482" s="40"/>
    </row>
    <row r="483" spans="2:9" ht="15.5" x14ac:dyDescent="0.35">
      <c r="B483" s="105"/>
      <c r="C483" s="106" t="str">
        <f t="shared" si="8"/>
        <v/>
      </c>
      <c r="D483" s="107"/>
      <c r="E483" s="107"/>
      <c r="F483" s="106" t="str">
        <f>IFERROR(INDEX(Lista_Precios[CÓDIGO],MATCH(Movimientos!$G483,Lista_Precios[PRODUCTO],0)),"")</f>
        <v/>
      </c>
      <c r="G483" s="107"/>
      <c r="H483" s="108"/>
      <c r="I483" s="40"/>
    </row>
    <row r="484" spans="2:9" ht="15.5" x14ac:dyDescent="0.35">
      <c r="B484" s="105"/>
      <c r="C484" s="106" t="str">
        <f t="shared" si="8"/>
        <v/>
      </c>
      <c r="D484" s="107"/>
      <c r="E484" s="107"/>
      <c r="F484" s="106" t="str">
        <f>IFERROR(INDEX(Lista_Precios[CÓDIGO],MATCH(Movimientos!$G484,Lista_Precios[PRODUCTO],0)),"")</f>
        <v/>
      </c>
      <c r="G484" s="107"/>
      <c r="H484" s="108"/>
      <c r="I484" s="40"/>
    </row>
    <row r="485" spans="2:9" ht="15.5" x14ac:dyDescent="0.35">
      <c r="B485" s="105"/>
      <c r="C485" s="106" t="str">
        <f t="shared" si="8"/>
        <v/>
      </c>
      <c r="D485" s="107"/>
      <c r="E485" s="107"/>
      <c r="F485" s="106" t="str">
        <f>IFERROR(INDEX(Lista_Precios[CÓDIGO],MATCH(Movimientos!$G485,Lista_Precios[PRODUCTO],0)),"")</f>
        <v/>
      </c>
      <c r="G485" s="107"/>
      <c r="H485" s="108"/>
      <c r="I485" s="40"/>
    </row>
    <row r="486" spans="2:9" ht="15.5" x14ac:dyDescent="0.35">
      <c r="B486" s="105"/>
      <c r="C486" s="106" t="str">
        <f t="shared" si="8"/>
        <v/>
      </c>
      <c r="D486" s="107"/>
      <c r="E486" s="107"/>
      <c r="F486" s="106" t="str">
        <f>IFERROR(INDEX(Lista_Precios[CÓDIGO],MATCH(Movimientos!$G486,Lista_Precios[PRODUCTO],0)),"")</f>
        <v/>
      </c>
      <c r="G486" s="107"/>
      <c r="H486" s="108"/>
      <c r="I486" s="40"/>
    </row>
    <row r="487" spans="2:9" ht="15.5" x14ac:dyDescent="0.35">
      <c r="B487" s="105"/>
      <c r="C487" s="106" t="str">
        <f t="shared" ref="C487:C550" si="9">IF(B487="","",TEXT(B487,"Mmmm"))</f>
        <v/>
      </c>
      <c r="D487" s="107"/>
      <c r="E487" s="107"/>
      <c r="F487" s="106" t="str">
        <f>IFERROR(INDEX(Lista_Precios[CÓDIGO],MATCH(Movimientos!$G487,Lista_Precios[PRODUCTO],0)),"")</f>
        <v/>
      </c>
      <c r="G487" s="107"/>
      <c r="H487" s="108"/>
      <c r="I487" s="40"/>
    </row>
    <row r="488" spans="2:9" ht="15.5" x14ac:dyDescent="0.35">
      <c r="B488" s="105"/>
      <c r="C488" s="106" t="str">
        <f t="shared" si="9"/>
        <v/>
      </c>
      <c r="D488" s="107"/>
      <c r="E488" s="107"/>
      <c r="F488" s="106" t="str">
        <f>IFERROR(INDEX(Lista_Precios[CÓDIGO],MATCH(Movimientos!$G488,Lista_Precios[PRODUCTO],0)),"")</f>
        <v/>
      </c>
      <c r="G488" s="107"/>
      <c r="H488" s="108"/>
      <c r="I488" s="40"/>
    </row>
    <row r="489" spans="2:9" ht="15.5" x14ac:dyDescent="0.35">
      <c r="B489" s="105"/>
      <c r="C489" s="106" t="str">
        <f t="shared" si="9"/>
        <v/>
      </c>
      <c r="D489" s="107"/>
      <c r="E489" s="107"/>
      <c r="F489" s="106" t="str">
        <f>IFERROR(INDEX(Lista_Precios[CÓDIGO],MATCH(Movimientos!$G489,Lista_Precios[PRODUCTO],0)),"")</f>
        <v/>
      </c>
      <c r="G489" s="107"/>
      <c r="H489" s="108"/>
      <c r="I489" s="40"/>
    </row>
    <row r="490" spans="2:9" ht="15.5" x14ac:dyDescent="0.35">
      <c r="B490" s="105"/>
      <c r="C490" s="106" t="str">
        <f t="shared" si="9"/>
        <v/>
      </c>
      <c r="D490" s="107"/>
      <c r="E490" s="107"/>
      <c r="F490" s="106" t="str">
        <f>IFERROR(INDEX(Lista_Precios[CÓDIGO],MATCH(Movimientos!$G490,Lista_Precios[PRODUCTO],0)),"")</f>
        <v/>
      </c>
      <c r="G490" s="107"/>
      <c r="H490" s="108"/>
      <c r="I490" s="40"/>
    </row>
    <row r="491" spans="2:9" ht="15.5" x14ac:dyDescent="0.35">
      <c r="B491" s="105"/>
      <c r="C491" s="106" t="str">
        <f t="shared" si="9"/>
        <v/>
      </c>
      <c r="D491" s="107"/>
      <c r="E491" s="107"/>
      <c r="F491" s="106" t="str">
        <f>IFERROR(INDEX(Lista_Precios[CÓDIGO],MATCH(Movimientos!$G491,Lista_Precios[PRODUCTO],0)),"")</f>
        <v/>
      </c>
      <c r="G491" s="107"/>
      <c r="H491" s="108"/>
      <c r="I491" s="40"/>
    </row>
    <row r="492" spans="2:9" ht="15.5" x14ac:dyDescent="0.35">
      <c r="B492" s="105"/>
      <c r="C492" s="106" t="str">
        <f t="shared" si="9"/>
        <v/>
      </c>
      <c r="D492" s="107"/>
      <c r="E492" s="107"/>
      <c r="F492" s="106" t="str">
        <f>IFERROR(INDEX(Lista_Precios[CÓDIGO],MATCH(Movimientos!$G492,Lista_Precios[PRODUCTO],0)),"")</f>
        <v/>
      </c>
      <c r="G492" s="107"/>
      <c r="H492" s="108"/>
      <c r="I492" s="40"/>
    </row>
    <row r="493" spans="2:9" ht="15.5" x14ac:dyDescent="0.35">
      <c r="B493" s="105"/>
      <c r="C493" s="106" t="str">
        <f t="shared" si="9"/>
        <v/>
      </c>
      <c r="D493" s="107"/>
      <c r="E493" s="107"/>
      <c r="F493" s="106" t="str">
        <f>IFERROR(INDEX(Lista_Precios[CÓDIGO],MATCH(Movimientos!$G493,Lista_Precios[PRODUCTO],0)),"")</f>
        <v/>
      </c>
      <c r="G493" s="107"/>
      <c r="H493" s="108"/>
      <c r="I493" s="40"/>
    </row>
    <row r="494" spans="2:9" ht="15.5" x14ac:dyDescent="0.35">
      <c r="B494" s="105"/>
      <c r="C494" s="106" t="str">
        <f t="shared" si="9"/>
        <v/>
      </c>
      <c r="D494" s="107"/>
      <c r="E494" s="107"/>
      <c r="F494" s="106" t="str">
        <f>IFERROR(INDEX(Lista_Precios[CÓDIGO],MATCH(Movimientos!$G494,Lista_Precios[PRODUCTO],0)),"")</f>
        <v/>
      </c>
      <c r="G494" s="107"/>
      <c r="H494" s="108"/>
      <c r="I494" s="40"/>
    </row>
    <row r="495" spans="2:9" ht="15.5" x14ac:dyDescent="0.35">
      <c r="B495" s="105"/>
      <c r="C495" s="106" t="str">
        <f t="shared" si="9"/>
        <v/>
      </c>
      <c r="D495" s="107"/>
      <c r="E495" s="107"/>
      <c r="F495" s="106" t="str">
        <f>IFERROR(INDEX(Lista_Precios[CÓDIGO],MATCH(Movimientos!$G495,Lista_Precios[PRODUCTO],0)),"")</f>
        <v/>
      </c>
      <c r="G495" s="107"/>
      <c r="H495" s="108"/>
      <c r="I495" s="40"/>
    </row>
    <row r="496" spans="2:9" ht="15.5" x14ac:dyDescent="0.35">
      <c r="B496" s="105"/>
      <c r="C496" s="106" t="str">
        <f t="shared" si="9"/>
        <v/>
      </c>
      <c r="D496" s="107"/>
      <c r="E496" s="107"/>
      <c r="F496" s="106" t="str">
        <f>IFERROR(INDEX(Lista_Precios[CÓDIGO],MATCH(Movimientos!$G496,Lista_Precios[PRODUCTO],0)),"")</f>
        <v/>
      </c>
      <c r="G496" s="107"/>
      <c r="H496" s="108"/>
      <c r="I496" s="40"/>
    </row>
    <row r="497" spans="2:9" ht="15.5" x14ac:dyDescent="0.35">
      <c r="B497" s="105"/>
      <c r="C497" s="106" t="str">
        <f t="shared" si="9"/>
        <v/>
      </c>
      <c r="D497" s="107"/>
      <c r="E497" s="107"/>
      <c r="F497" s="106" t="str">
        <f>IFERROR(INDEX(Lista_Precios[CÓDIGO],MATCH(Movimientos!$G497,Lista_Precios[PRODUCTO],0)),"")</f>
        <v/>
      </c>
      <c r="G497" s="107"/>
      <c r="H497" s="108"/>
      <c r="I497" s="40"/>
    </row>
    <row r="498" spans="2:9" ht="15.5" x14ac:dyDescent="0.35">
      <c r="B498" s="105"/>
      <c r="C498" s="106" t="str">
        <f t="shared" si="9"/>
        <v/>
      </c>
      <c r="D498" s="107"/>
      <c r="E498" s="107"/>
      <c r="F498" s="106" t="str">
        <f>IFERROR(INDEX(Lista_Precios[CÓDIGO],MATCH(Movimientos!$G498,Lista_Precios[PRODUCTO],0)),"")</f>
        <v/>
      </c>
      <c r="G498" s="107"/>
      <c r="H498" s="108"/>
      <c r="I498" s="40"/>
    </row>
    <row r="499" spans="2:9" ht="15.5" x14ac:dyDescent="0.35">
      <c r="B499" s="105"/>
      <c r="C499" s="106" t="str">
        <f t="shared" si="9"/>
        <v/>
      </c>
      <c r="D499" s="107"/>
      <c r="E499" s="107"/>
      <c r="F499" s="106" t="str">
        <f>IFERROR(INDEX(Lista_Precios[CÓDIGO],MATCH(Movimientos!$G499,Lista_Precios[PRODUCTO],0)),"")</f>
        <v/>
      </c>
      <c r="G499" s="107"/>
      <c r="H499" s="108"/>
      <c r="I499" s="40"/>
    </row>
    <row r="500" spans="2:9" ht="15.5" x14ac:dyDescent="0.35">
      <c r="B500" s="105"/>
      <c r="C500" s="106" t="str">
        <f t="shared" si="9"/>
        <v/>
      </c>
      <c r="D500" s="107"/>
      <c r="E500" s="107"/>
      <c r="F500" s="106" t="str">
        <f>IFERROR(INDEX(Lista_Precios[CÓDIGO],MATCH(Movimientos!$G500,Lista_Precios[PRODUCTO],0)),"")</f>
        <v/>
      </c>
      <c r="G500" s="107"/>
      <c r="H500" s="108"/>
      <c r="I500" s="40"/>
    </row>
    <row r="501" spans="2:9" ht="15.5" x14ac:dyDescent="0.35">
      <c r="B501" s="105"/>
      <c r="C501" s="106" t="str">
        <f t="shared" si="9"/>
        <v/>
      </c>
      <c r="D501" s="107"/>
      <c r="E501" s="107"/>
      <c r="F501" s="106" t="str">
        <f>IFERROR(INDEX(Lista_Precios[CÓDIGO],MATCH(Movimientos!$G501,Lista_Precios[PRODUCTO],0)),"")</f>
        <v/>
      </c>
      <c r="G501" s="107"/>
      <c r="H501" s="108"/>
      <c r="I501" s="40"/>
    </row>
    <row r="502" spans="2:9" ht="15.5" x14ac:dyDescent="0.35">
      <c r="B502" s="105"/>
      <c r="C502" s="106" t="str">
        <f t="shared" si="9"/>
        <v/>
      </c>
      <c r="D502" s="107"/>
      <c r="E502" s="107"/>
      <c r="F502" s="106" t="str">
        <f>IFERROR(INDEX(Lista_Precios[CÓDIGO],MATCH(Movimientos!$G502,Lista_Precios[PRODUCTO],0)),"")</f>
        <v/>
      </c>
      <c r="G502" s="107"/>
      <c r="H502" s="108"/>
      <c r="I502" s="40"/>
    </row>
    <row r="503" spans="2:9" ht="15.5" x14ac:dyDescent="0.35">
      <c r="B503" s="105"/>
      <c r="C503" s="106" t="str">
        <f t="shared" si="9"/>
        <v/>
      </c>
      <c r="D503" s="107"/>
      <c r="E503" s="107"/>
      <c r="F503" s="106" t="str">
        <f>IFERROR(INDEX(Lista_Precios[CÓDIGO],MATCH(Movimientos!$G503,Lista_Precios[PRODUCTO],0)),"")</f>
        <v/>
      </c>
      <c r="G503" s="107"/>
      <c r="H503" s="108"/>
      <c r="I503" s="40"/>
    </row>
    <row r="504" spans="2:9" ht="15.5" x14ac:dyDescent="0.35">
      <c r="B504" s="105"/>
      <c r="C504" s="106" t="str">
        <f t="shared" si="9"/>
        <v/>
      </c>
      <c r="D504" s="107"/>
      <c r="E504" s="107"/>
      <c r="F504" s="106" t="str">
        <f>IFERROR(INDEX(Lista_Precios[CÓDIGO],MATCH(Movimientos!$G504,Lista_Precios[PRODUCTO],0)),"")</f>
        <v/>
      </c>
      <c r="G504" s="107"/>
      <c r="H504" s="108"/>
      <c r="I504" s="40"/>
    </row>
    <row r="505" spans="2:9" ht="15.5" x14ac:dyDescent="0.35">
      <c r="B505" s="105"/>
      <c r="C505" s="106" t="str">
        <f t="shared" si="9"/>
        <v/>
      </c>
      <c r="D505" s="107"/>
      <c r="E505" s="107"/>
      <c r="F505" s="106" t="str">
        <f>IFERROR(INDEX(Lista_Precios[CÓDIGO],MATCH(Movimientos!$G505,Lista_Precios[PRODUCTO],0)),"")</f>
        <v/>
      </c>
      <c r="G505" s="107"/>
      <c r="H505" s="108"/>
      <c r="I505" s="40"/>
    </row>
    <row r="506" spans="2:9" ht="15.5" x14ac:dyDescent="0.35">
      <c r="B506" s="105"/>
      <c r="C506" s="106" t="str">
        <f t="shared" si="9"/>
        <v/>
      </c>
      <c r="D506" s="107"/>
      <c r="E506" s="107"/>
      <c r="F506" s="106" t="str">
        <f>IFERROR(INDEX(Lista_Precios[CÓDIGO],MATCH(Movimientos!$G506,Lista_Precios[PRODUCTO],0)),"")</f>
        <v/>
      </c>
      <c r="G506" s="107"/>
      <c r="H506" s="108"/>
      <c r="I506" s="40"/>
    </row>
    <row r="507" spans="2:9" ht="15.5" x14ac:dyDescent="0.35">
      <c r="B507" s="105"/>
      <c r="C507" s="106" t="str">
        <f t="shared" si="9"/>
        <v/>
      </c>
      <c r="D507" s="107"/>
      <c r="E507" s="107"/>
      <c r="F507" s="106" t="str">
        <f>IFERROR(INDEX(Lista_Precios[CÓDIGO],MATCH(Movimientos!$G507,Lista_Precios[PRODUCTO],0)),"")</f>
        <v/>
      </c>
      <c r="G507" s="107"/>
      <c r="H507" s="108"/>
      <c r="I507" s="40"/>
    </row>
    <row r="508" spans="2:9" ht="15.5" x14ac:dyDescent="0.35">
      <c r="B508" s="105"/>
      <c r="C508" s="106" t="str">
        <f t="shared" si="9"/>
        <v/>
      </c>
      <c r="D508" s="107"/>
      <c r="E508" s="107"/>
      <c r="F508" s="106" t="str">
        <f>IFERROR(INDEX(Lista_Precios[CÓDIGO],MATCH(Movimientos!$G508,Lista_Precios[PRODUCTO],0)),"")</f>
        <v/>
      </c>
      <c r="G508" s="107"/>
      <c r="H508" s="108"/>
      <c r="I508" s="40"/>
    </row>
    <row r="509" spans="2:9" ht="15.5" x14ac:dyDescent="0.35">
      <c r="B509" s="105"/>
      <c r="C509" s="106" t="str">
        <f t="shared" si="9"/>
        <v/>
      </c>
      <c r="D509" s="107"/>
      <c r="E509" s="107"/>
      <c r="F509" s="106" t="str">
        <f>IFERROR(INDEX(Lista_Precios[CÓDIGO],MATCH(Movimientos!$G509,Lista_Precios[PRODUCTO],0)),"")</f>
        <v/>
      </c>
      <c r="G509" s="107"/>
      <c r="H509" s="108"/>
      <c r="I509" s="40"/>
    </row>
    <row r="510" spans="2:9" ht="15.5" x14ac:dyDescent="0.35">
      <c r="B510" s="105"/>
      <c r="C510" s="106" t="str">
        <f t="shared" si="9"/>
        <v/>
      </c>
      <c r="D510" s="107"/>
      <c r="E510" s="107"/>
      <c r="F510" s="106" t="str">
        <f>IFERROR(INDEX(Lista_Precios[CÓDIGO],MATCH(Movimientos!$G510,Lista_Precios[PRODUCTO],0)),"")</f>
        <v/>
      </c>
      <c r="G510" s="107"/>
      <c r="H510" s="108"/>
      <c r="I510" s="40"/>
    </row>
    <row r="511" spans="2:9" ht="15.5" x14ac:dyDescent="0.35">
      <c r="B511" s="105"/>
      <c r="C511" s="106" t="str">
        <f t="shared" si="9"/>
        <v/>
      </c>
      <c r="D511" s="107"/>
      <c r="E511" s="107"/>
      <c r="F511" s="106" t="str">
        <f>IFERROR(INDEX(Lista_Precios[CÓDIGO],MATCH(Movimientos!$G511,Lista_Precios[PRODUCTO],0)),"")</f>
        <v/>
      </c>
      <c r="G511" s="107"/>
      <c r="H511" s="108"/>
      <c r="I511" s="40"/>
    </row>
    <row r="512" spans="2:9" ht="15.5" x14ac:dyDescent="0.35">
      <c r="B512" s="105"/>
      <c r="C512" s="106" t="str">
        <f t="shared" si="9"/>
        <v/>
      </c>
      <c r="D512" s="107"/>
      <c r="E512" s="107"/>
      <c r="F512" s="106" t="str">
        <f>IFERROR(INDEX(Lista_Precios[CÓDIGO],MATCH(Movimientos!$G512,Lista_Precios[PRODUCTO],0)),"")</f>
        <v/>
      </c>
      <c r="G512" s="107"/>
      <c r="H512" s="108"/>
      <c r="I512" s="40"/>
    </row>
    <row r="513" spans="2:9" ht="15.5" x14ac:dyDescent="0.35">
      <c r="B513" s="105"/>
      <c r="C513" s="106" t="str">
        <f t="shared" si="9"/>
        <v/>
      </c>
      <c r="D513" s="107"/>
      <c r="E513" s="107"/>
      <c r="F513" s="106" t="str">
        <f>IFERROR(INDEX(Lista_Precios[CÓDIGO],MATCH(Movimientos!$G513,Lista_Precios[PRODUCTO],0)),"")</f>
        <v/>
      </c>
      <c r="G513" s="107"/>
      <c r="H513" s="108"/>
      <c r="I513" s="40"/>
    </row>
    <row r="514" spans="2:9" ht="15.5" x14ac:dyDescent="0.35">
      <c r="B514" s="105"/>
      <c r="C514" s="106" t="str">
        <f t="shared" si="9"/>
        <v/>
      </c>
      <c r="D514" s="107"/>
      <c r="E514" s="107"/>
      <c r="F514" s="106" t="str">
        <f>IFERROR(INDEX(Lista_Precios[CÓDIGO],MATCH(Movimientos!$G514,Lista_Precios[PRODUCTO],0)),"")</f>
        <v/>
      </c>
      <c r="G514" s="107"/>
      <c r="H514" s="108"/>
      <c r="I514" s="40"/>
    </row>
    <row r="515" spans="2:9" ht="15.5" x14ac:dyDescent="0.35">
      <c r="B515" s="105"/>
      <c r="C515" s="106" t="str">
        <f t="shared" si="9"/>
        <v/>
      </c>
      <c r="D515" s="107"/>
      <c r="E515" s="107"/>
      <c r="F515" s="106" t="str">
        <f>IFERROR(INDEX(Lista_Precios[CÓDIGO],MATCH(Movimientos!$G515,Lista_Precios[PRODUCTO],0)),"")</f>
        <v/>
      </c>
      <c r="G515" s="107"/>
      <c r="H515" s="108"/>
      <c r="I515" s="40"/>
    </row>
    <row r="516" spans="2:9" ht="15.5" x14ac:dyDescent="0.35">
      <c r="B516" s="105"/>
      <c r="C516" s="106" t="str">
        <f t="shared" si="9"/>
        <v/>
      </c>
      <c r="D516" s="107"/>
      <c r="E516" s="107"/>
      <c r="F516" s="106" t="str">
        <f>IFERROR(INDEX(Lista_Precios[CÓDIGO],MATCH(Movimientos!$G516,Lista_Precios[PRODUCTO],0)),"")</f>
        <v/>
      </c>
      <c r="G516" s="107"/>
      <c r="H516" s="108"/>
      <c r="I516" s="40"/>
    </row>
    <row r="517" spans="2:9" ht="15.5" x14ac:dyDescent="0.35">
      <c r="B517" s="105"/>
      <c r="C517" s="106" t="str">
        <f t="shared" si="9"/>
        <v/>
      </c>
      <c r="D517" s="107"/>
      <c r="E517" s="107"/>
      <c r="F517" s="106" t="str">
        <f>IFERROR(INDEX(Lista_Precios[CÓDIGO],MATCH(Movimientos!$G517,Lista_Precios[PRODUCTO],0)),"")</f>
        <v/>
      </c>
      <c r="G517" s="107"/>
      <c r="H517" s="108"/>
      <c r="I517" s="40"/>
    </row>
    <row r="518" spans="2:9" ht="15.5" x14ac:dyDescent="0.35">
      <c r="B518" s="105"/>
      <c r="C518" s="106" t="str">
        <f t="shared" si="9"/>
        <v/>
      </c>
      <c r="D518" s="107"/>
      <c r="E518" s="107"/>
      <c r="F518" s="106" t="str">
        <f>IFERROR(INDEX(Lista_Precios[CÓDIGO],MATCH(Movimientos!$G518,Lista_Precios[PRODUCTO],0)),"")</f>
        <v/>
      </c>
      <c r="G518" s="107"/>
      <c r="H518" s="108"/>
      <c r="I518" s="40"/>
    </row>
    <row r="519" spans="2:9" ht="15.5" x14ac:dyDescent="0.35">
      <c r="B519" s="105"/>
      <c r="C519" s="106" t="str">
        <f t="shared" si="9"/>
        <v/>
      </c>
      <c r="D519" s="107"/>
      <c r="E519" s="107"/>
      <c r="F519" s="106" t="str">
        <f>IFERROR(INDEX(Lista_Precios[CÓDIGO],MATCH(Movimientos!$G519,Lista_Precios[PRODUCTO],0)),"")</f>
        <v/>
      </c>
      <c r="G519" s="107"/>
      <c r="H519" s="108"/>
      <c r="I519" s="40"/>
    </row>
    <row r="520" spans="2:9" ht="15.5" x14ac:dyDescent="0.35">
      <c r="B520" s="105"/>
      <c r="C520" s="106" t="str">
        <f t="shared" si="9"/>
        <v/>
      </c>
      <c r="D520" s="107"/>
      <c r="E520" s="107"/>
      <c r="F520" s="106" t="str">
        <f>IFERROR(INDEX(Lista_Precios[CÓDIGO],MATCH(Movimientos!$G520,Lista_Precios[PRODUCTO],0)),"")</f>
        <v/>
      </c>
      <c r="G520" s="107"/>
      <c r="H520" s="108"/>
      <c r="I520" s="40"/>
    </row>
    <row r="521" spans="2:9" ht="15.5" x14ac:dyDescent="0.35">
      <c r="B521" s="105"/>
      <c r="C521" s="106" t="str">
        <f t="shared" si="9"/>
        <v/>
      </c>
      <c r="D521" s="107"/>
      <c r="E521" s="107"/>
      <c r="F521" s="106" t="str">
        <f>IFERROR(INDEX(Lista_Precios[CÓDIGO],MATCH(Movimientos!$G521,Lista_Precios[PRODUCTO],0)),"")</f>
        <v/>
      </c>
      <c r="G521" s="107"/>
      <c r="H521" s="108"/>
      <c r="I521" s="40"/>
    </row>
    <row r="522" spans="2:9" ht="15.5" x14ac:dyDescent="0.35">
      <c r="B522" s="105"/>
      <c r="C522" s="106" t="str">
        <f t="shared" si="9"/>
        <v/>
      </c>
      <c r="D522" s="107"/>
      <c r="E522" s="107"/>
      <c r="F522" s="106" t="str">
        <f>IFERROR(INDEX(Lista_Precios[CÓDIGO],MATCH(Movimientos!$G522,Lista_Precios[PRODUCTO],0)),"")</f>
        <v/>
      </c>
      <c r="G522" s="107"/>
      <c r="H522" s="108"/>
      <c r="I522" s="40"/>
    </row>
    <row r="523" spans="2:9" ht="15.5" x14ac:dyDescent="0.35">
      <c r="B523" s="105"/>
      <c r="C523" s="106" t="str">
        <f t="shared" si="9"/>
        <v/>
      </c>
      <c r="D523" s="107"/>
      <c r="E523" s="107"/>
      <c r="F523" s="106" t="str">
        <f>IFERROR(INDEX(Lista_Precios[CÓDIGO],MATCH(Movimientos!$G523,Lista_Precios[PRODUCTO],0)),"")</f>
        <v/>
      </c>
      <c r="G523" s="107"/>
      <c r="H523" s="108"/>
      <c r="I523" s="40"/>
    </row>
    <row r="524" spans="2:9" ht="15.5" x14ac:dyDescent="0.35">
      <c r="B524" s="105"/>
      <c r="C524" s="106" t="str">
        <f t="shared" si="9"/>
        <v/>
      </c>
      <c r="D524" s="107"/>
      <c r="E524" s="107"/>
      <c r="F524" s="106" t="str">
        <f>IFERROR(INDEX(Lista_Precios[CÓDIGO],MATCH(Movimientos!$G524,Lista_Precios[PRODUCTO],0)),"")</f>
        <v/>
      </c>
      <c r="G524" s="107"/>
      <c r="H524" s="108"/>
      <c r="I524" s="40"/>
    </row>
    <row r="525" spans="2:9" ht="15.5" x14ac:dyDescent="0.35">
      <c r="B525" s="105"/>
      <c r="C525" s="106" t="str">
        <f t="shared" si="9"/>
        <v/>
      </c>
      <c r="D525" s="107"/>
      <c r="E525" s="107"/>
      <c r="F525" s="106" t="str">
        <f>IFERROR(INDEX(Lista_Precios[CÓDIGO],MATCH(Movimientos!$G525,Lista_Precios[PRODUCTO],0)),"")</f>
        <v/>
      </c>
      <c r="G525" s="107"/>
      <c r="H525" s="108"/>
      <c r="I525" s="40"/>
    </row>
    <row r="526" spans="2:9" ht="15.5" x14ac:dyDescent="0.35">
      <c r="B526" s="105"/>
      <c r="C526" s="106" t="str">
        <f t="shared" si="9"/>
        <v/>
      </c>
      <c r="D526" s="107"/>
      <c r="E526" s="107"/>
      <c r="F526" s="106" t="str">
        <f>IFERROR(INDEX(Lista_Precios[CÓDIGO],MATCH(Movimientos!$G526,Lista_Precios[PRODUCTO],0)),"")</f>
        <v/>
      </c>
      <c r="G526" s="107"/>
      <c r="H526" s="108"/>
      <c r="I526" s="40"/>
    </row>
    <row r="527" spans="2:9" ht="15.5" x14ac:dyDescent="0.35">
      <c r="B527" s="105"/>
      <c r="C527" s="106" t="str">
        <f t="shared" si="9"/>
        <v/>
      </c>
      <c r="D527" s="107"/>
      <c r="E527" s="107"/>
      <c r="F527" s="106" t="str">
        <f>IFERROR(INDEX(Lista_Precios[CÓDIGO],MATCH(Movimientos!$G527,Lista_Precios[PRODUCTO],0)),"")</f>
        <v/>
      </c>
      <c r="G527" s="107"/>
      <c r="H527" s="108"/>
      <c r="I527" s="40"/>
    </row>
    <row r="528" spans="2:9" ht="15.5" x14ac:dyDescent="0.35">
      <c r="B528" s="105"/>
      <c r="C528" s="106" t="str">
        <f t="shared" si="9"/>
        <v/>
      </c>
      <c r="D528" s="107"/>
      <c r="E528" s="107"/>
      <c r="F528" s="106" t="str">
        <f>IFERROR(INDEX(Lista_Precios[CÓDIGO],MATCH(Movimientos!$G528,Lista_Precios[PRODUCTO],0)),"")</f>
        <v/>
      </c>
      <c r="G528" s="107"/>
      <c r="H528" s="108"/>
      <c r="I528" s="40"/>
    </row>
    <row r="529" spans="2:9" ht="15.5" x14ac:dyDescent="0.35">
      <c r="B529" s="105"/>
      <c r="C529" s="106" t="str">
        <f t="shared" si="9"/>
        <v/>
      </c>
      <c r="D529" s="107"/>
      <c r="E529" s="107"/>
      <c r="F529" s="106" t="str">
        <f>IFERROR(INDEX(Lista_Precios[CÓDIGO],MATCH(Movimientos!$G529,Lista_Precios[PRODUCTO],0)),"")</f>
        <v/>
      </c>
      <c r="G529" s="107"/>
      <c r="H529" s="108"/>
      <c r="I529" s="40"/>
    </row>
    <row r="530" spans="2:9" ht="15.5" x14ac:dyDescent="0.35">
      <c r="B530" s="105"/>
      <c r="C530" s="106" t="str">
        <f t="shared" si="9"/>
        <v/>
      </c>
      <c r="D530" s="107"/>
      <c r="E530" s="107"/>
      <c r="F530" s="106" t="str">
        <f>IFERROR(INDEX(Lista_Precios[CÓDIGO],MATCH(Movimientos!$G530,Lista_Precios[PRODUCTO],0)),"")</f>
        <v/>
      </c>
      <c r="G530" s="107"/>
      <c r="H530" s="108"/>
      <c r="I530" s="40"/>
    </row>
    <row r="531" spans="2:9" ht="15.5" x14ac:dyDescent="0.35">
      <c r="B531" s="105"/>
      <c r="C531" s="106" t="str">
        <f t="shared" si="9"/>
        <v/>
      </c>
      <c r="D531" s="107"/>
      <c r="E531" s="107"/>
      <c r="F531" s="106" t="str">
        <f>IFERROR(INDEX(Lista_Precios[CÓDIGO],MATCH(Movimientos!$G531,Lista_Precios[PRODUCTO],0)),"")</f>
        <v/>
      </c>
      <c r="G531" s="107"/>
      <c r="H531" s="108"/>
      <c r="I531" s="40"/>
    </row>
    <row r="532" spans="2:9" ht="15.5" x14ac:dyDescent="0.35">
      <c r="B532" s="105"/>
      <c r="C532" s="106" t="str">
        <f t="shared" si="9"/>
        <v/>
      </c>
      <c r="D532" s="107"/>
      <c r="E532" s="107"/>
      <c r="F532" s="106" t="str">
        <f>IFERROR(INDEX(Lista_Precios[CÓDIGO],MATCH(Movimientos!$G532,Lista_Precios[PRODUCTO],0)),"")</f>
        <v/>
      </c>
      <c r="G532" s="107"/>
      <c r="H532" s="108"/>
      <c r="I532" s="40"/>
    </row>
    <row r="533" spans="2:9" ht="15.5" x14ac:dyDescent="0.35">
      <c r="B533" s="105"/>
      <c r="C533" s="106" t="str">
        <f t="shared" si="9"/>
        <v/>
      </c>
      <c r="D533" s="107"/>
      <c r="E533" s="107"/>
      <c r="F533" s="106" t="str">
        <f>IFERROR(INDEX(Lista_Precios[CÓDIGO],MATCH(Movimientos!$G533,Lista_Precios[PRODUCTO],0)),"")</f>
        <v/>
      </c>
      <c r="G533" s="107"/>
      <c r="H533" s="108"/>
      <c r="I533" s="40"/>
    </row>
    <row r="534" spans="2:9" ht="15.5" x14ac:dyDescent="0.35">
      <c r="B534" s="105"/>
      <c r="C534" s="106" t="str">
        <f t="shared" si="9"/>
        <v/>
      </c>
      <c r="D534" s="107"/>
      <c r="E534" s="107"/>
      <c r="F534" s="106" t="str">
        <f>IFERROR(INDEX(Lista_Precios[CÓDIGO],MATCH(Movimientos!$G534,Lista_Precios[PRODUCTO],0)),"")</f>
        <v/>
      </c>
      <c r="G534" s="107"/>
      <c r="H534" s="108"/>
      <c r="I534" s="40"/>
    </row>
    <row r="535" spans="2:9" ht="15.5" x14ac:dyDescent="0.35">
      <c r="B535" s="105"/>
      <c r="C535" s="106" t="str">
        <f t="shared" si="9"/>
        <v/>
      </c>
      <c r="D535" s="107"/>
      <c r="E535" s="107"/>
      <c r="F535" s="106" t="str">
        <f>IFERROR(INDEX(Lista_Precios[CÓDIGO],MATCH(Movimientos!$G535,Lista_Precios[PRODUCTO],0)),"")</f>
        <v/>
      </c>
      <c r="G535" s="107"/>
      <c r="H535" s="108"/>
      <c r="I535" s="40"/>
    </row>
    <row r="536" spans="2:9" ht="15.5" x14ac:dyDescent="0.35">
      <c r="B536" s="105"/>
      <c r="C536" s="106" t="str">
        <f t="shared" si="9"/>
        <v/>
      </c>
      <c r="D536" s="107"/>
      <c r="E536" s="107"/>
      <c r="F536" s="106" t="str">
        <f>IFERROR(INDEX(Lista_Precios[CÓDIGO],MATCH(Movimientos!$G536,Lista_Precios[PRODUCTO],0)),"")</f>
        <v/>
      </c>
      <c r="G536" s="107"/>
      <c r="H536" s="108"/>
      <c r="I536" s="40"/>
    </row>
    <row r="537" spans="2:9" ht="15.5" x14ac:dyDescent="0.35">
      <c r="B537" s="105"/>
      <c r="C537" s="106" t="str">
        <f t="shared" si="9"/>
        <v/>
      </c>
      <c r="D537" s="107"/>
      <c r="E537" s="107"/>
      <c r="F537" s="106" t="str">
        <f>IFERROR(INDEX(Lista_Precios[CÓDIGO],MATCH(Movimientos!$G537,Lista_Precios[PRODUCTO],0)),"")</f>
        <v/>
      </c>
      <c r="G537" s="107"/>
      <c r="H537" s="108"/>
      <c r="I537" s="40"/>
    </row>
    <row r="538" spans="2:9" ht="15.5" x14ac:dyDescent="0.35">
      <c r="B538" s="105"/>
      <c r="C538" s="106" t="str">
        <f t="shared" si="9"/>
        <v/>
      </c>
      <c r="D538" s="107"/>
      <c r="E538" s="107"/>
      <c r="F538" s="106" t="str">
        <f>IFERROR(INDEX(Lista_Precios[CÓDIGO],MATCH(Movimientos!$G538,Lista_Precios[PRODUCTO],0)),"")</f>
        <v/>
      </c>
      <c r="G538" s="107"/>
      <c r="H538" s="108"/>
      <c r="I538" s="40"/>
    </row>
    <row r="539" spans="2:9" ht="15.5" x14ac:dyDescent="0.35">
      <c r="B539" s="105"/>
      <c r="C539" s="106" t="str">
        <f t="shared" si="9"/>
        <v/>
      </c>
      <c r="D539" s="107"/>
      <c r="E539" s="107"/>
      <c r="F539" s="106" t="str">
        <f>IFERROR(INDEX(Lista_Precios[CÓDIGO],MATCH(Movimientos!$G539,Lista_Precios[PRODUCTO],0)),"")</f>
        <v/>
      </c>
      <c r="G539" s="107"/>
      <c r="H539" s="108"/>
      <c r="I539" s="40"/>
    </row>
    <row r="540" spans="2:9" ht="15.5" x14ac:dyDescent="0.35">
      <c r="B540" s="105"/>
      <c r="C540" s="106" t="str">
        <f t="shared" si="9"/>
        <v/>
      </c>
      <c r="D540" s="107"/>
      <c r="E540" s="107"/>
      <c r="F540" s="106" t="str">
        <f>IFERROR(INDEX(Lista_Precios[CÓDIGO],MATCH(Movimientos!$G540,Lista_Precios[PRODUCTO],0)),"")</f>
        <v/>
      </c>
      <c r="G540" s="107"/>
      <c r="H540" s="108"/>
      <c r="I540" s="40"/>
    </row>
    <row r="541" spans="2:9" ht="15.5" x14ac:dyDescent="0.35">
      <c r="B541" s="105"/>
      <c r="C541" s="106" t="str">
        <f t="shared" si="9"/>
        <v/>
      </c>
      <c r="D541" s="107"/>
      <c r="E541" s="107"/>
      <c r="F541" s="106" t="str">
        <f>IFERROR(INDEX(Lista_Precios[CÓDIGO],MATCH(Movimientos!$G541,Lista_Precios[PRODUCTO],0)),"")</f>
        <v/>
      </c>
      <c r="G541" s="107"/>
      <c r="H541" s="108"/>
      <c r="I541" s="40"/>
    </row>
    <row r="542" spans="2:9" ht="15.5" x14ac:dyDescent="0.35">
      <c r="B542" s="105"/>
      <c r="C542" s="106" t="str">
        <f t="shared" si="9"/>
        <v/>
      </c>
      <c r="D542" s="107"/>
      <c r="E542" s="107"/>
      <c r="F542" s="106" t="str">
        <f>IFERROR(INDEX(Lista_Precios[CÓDIGO],MATCH(Movimientos!$G542,Lista_Precios[PRODUCTO],0)),"")</f>
        <v/>
      </c>
      <c r="G542" s="107"/>
      <c r="H542" s="108"/>
      <c r="I542" s="40"/>
    </row>
    <row r="543" spans="2:9" ht="15.5" x14ac:dyDescent="0.35">
      <c r="B543" s="105"/>
      <c r="C543" s="106" t="str">
        <f t="shared" si="9"/>
        <v/>
      </c>
      <c r="D543" s="107"/>
      <c r="E543" s="107"/>
      <c r="F543" s="106" t="str">
        <f>IFERROR(INDEX(Lista_Precios[CÓDIGO],MATCH(Movimientos!$G543,Lista_Precios[PRODUCTO],0)),"")</f>
        <v/>
      </c>
      <c r="G543" s="107"/>
      <c r="H543" s="108"/>
      <c r="I543" s="40"/>
    </row>
    <row r="544" spans="2:9" ht="15.5" x14ac:dyDescent="0.35">
      <c r="B544" s="105"/>
      <c r="C544" s="106" t="str">
        <f t="shared" si="9"/>
        <v/>
      </c>
      <c r="D544" s="107"/>
      <c r="E544" s="107"/>
      <c r="F544" s="106" t="str">
        <f>IFERROR(INDEX(Lista_Precios[CÓDIGO],MATCH(Movimientos!$G544,Lista_Precios[PRODUCTO],0)),"")</f>
        <v/>
      </c>
      <c r="G544" s="107"/>
      <c r="H544" s="108"/>
      <c r="I544" s="40"/>
    </row>
    <row r="545" spans="2:9" ht="15.5" x14ac:dyDescent="0.35">
      <c r="B545" s="105"/>
      <c r="C545" s="106" t="str">
        <f t="shared" si="9"/>
        <v/>
      </c>
      <c r="D545" s="107"/>
      <c r="E545" s="107"/>
      <c r="F545" s="106" t="str">
        <f>IFERROR(INDEX(Lista_Precios[CÓDIGO],MATCH(Movimientos!$G545,Lista_Precios[PRODUCTO],0)),"")</f>
        <v/>
      </c>
      <c r="G545" s="107"/>
      <c r="H545" s="108"/>
      <c r="I545" s="40"/>
    </row>
    <row r="546" spans="2:9" ht="15.5" x14ac:dyDescent="0.35">
      <c r="B546" s="105"/>
      <c r="C546" s="106" t="str">
        <f t="shared" si="9"/>
        <v/>
      </c>
      <c r="D546" s="107"/>
      <c r="E546" s="107"/>
      <c r="F546" s="106" t="str">
        <f>IFERROR(INDEX(Lista_Precios[CÓDIGO],MATCH(Movimientos!$G546,Lista_Precios[PRODUCTO],0)),"")</f>
        <v/>
      </c>
      <c r="G546" s="107"/>
      <c r="H546" s="108"/>
      <c r="I546" s="40"/>
    </row>
    <row r="547" spans="2:9" ht="15.5" x14ac:dyDescent="0.35">
      <c r="B547" s="105"/>
      <c r="C547" s="106" t="str">
        <f t="shared" si="9"/>
        <v/>
      </c>
      <c r="D547" s="107"/>
      <c r="E547" s="107"/>
      <c r="F547" s="106" t="str">
        <f>IFERROR(INDEX(Lista_Precios[CÓDIGO],MATCH(Movimientos!$G547,Lista_Precios[PRODUCTO],0)),"")</f>
        <v/>
      </c>
      <c r="G547" s="107"/>
      <c r="H547" s="108"/>
      <c r="I547" s="40"/>
    </row>
    <row r="548" spans="2:9" ht="15.5" x14ac:dyDescent="0.35">
      <c r="B548" s="105"/>
      <c r="C548" s="106" t="str">
        <f t="shared" si="9"/>
        <v/>
      </c>
      <c r="D548" s="107"/>
      <c r="E548" s="107"/>
      <c r="F548" s="106" t="str">
        <f>IFERROR(INDEX(Lista_Precios[CÓDIGO],MATCH(Movimientos!$G548,Lista_Precios[PRODUCTO],0)),"")</f>
        <v/>
      </c>
      <c r="G548" s="107"/>
      <c r="H548" s="108"/>
      <c r="I548" s="40"/>
    </row>
    <row r="549" spans="2:9" ht="15.5" x14ac:dyDescent="0.35">
      <c r="B549" s="105"/>
      <c r="C549" s="106" t="str">
        <f t="shared" si="9"/>
        <v/>
      </c>
      <c r="D549" s="107"/>
      <c r="E549" s="107"/>
      <c r="F549" s="106" t="str">
        <f>IFERROR(INDEX(Lista_Precios[CÓDIGO],MATCH(Movimientos!$G549,Lista_Precios[PRODUCTO],0)),"")</f>
        <v/>
      </c>
      <c r="G549" s="107"/>
      <c r="H549" s="108"/>
      <c r="I549" s="40"/>
    </row>
    <row r="550" spans="2:9" ht="15.5" x14ac:dyDescent="0.35">
      <c r="B550" s="105"/>
      <c r="C550" s="106" t="str">
        <f t="shared" si="9"/>
        <v/>
      </c>
      <c r="D550" s="107"/>
      <c r="E550" s="107"/>
      <c r="F550" s="106" t="str">
        <f>IFERROR(INDEX(Lista_Precios[CÓDIGO],MATCH(Movimientos!$G550,Lista_Precios[PRODUCTO],0)),"")</f>
        <v/>
      </c>
      <c r="G550" s="107"/>
      <c r="H550" s="108"/>
      <c r="I550" s="40"/>
    </row>
    <row r="551" spans="2:9" ht="15.5" x14ac:dyDescent="0.35">
      <c r="B551" s="105"/>
      <c r="C551" s="106" t="str">
        <f t="shared" ref="C551:C614" si="10">IF(B551="","",TEXT(B551,"Mmmm"))</f>
        <v/>
      </c>
      <c r="D551" s="107"/>
      <c r="E551" s="107"/>
      <c r="F551" s="106" t="str">
        <f>IFERROR(INDEX(Lista_Precios[CÓDIGO],MATCH(Movimientos!$G551,Lista_Precios[PRODUCTO],0)),"")</f>
        <v/>
      </c>
      <c r="G551" s="107"/>
      <c r="H551" s="108"/>
      <c r="I551" s="40"/>
    </row>
    <row r="552" spans="2:9" ht="15.5" x14ac:dyDescent="0.35">
      <c r="B552" s="105"/>
      <c r="C552" s="106" t="str">
        <f t="shared" si="10"/>
        <v/>
      </c>
      <c r="D552" s="107"/>
      <c r="E552" s="107"/>
      <c r="F552" s="106" t="str">
        <f>IFERROR(INDEX(Lista_Precios[CÓDIGO],MATCH(Movimientos!$G552,Lista_Precios[PRODUCTO],0)),"")</f>
        <v/>
      </c>
      <c r="G552" s="107"/>
      <c r="H552" s="108"/>
      <c r="I552" s="40"/>
    </row>
    <row r="553" spans="2:9" ht="15.5" x14ac:dyDescent="0.35">
      <c r="B553" s="105"/>
      <c r="C553" s="106" t="str">
        <f t="shared" si="10"/>
        <v/>
      </c>
      <c r="D553" s="107"/>
      <c r="E553" s="107"/>
      <c r="F553" s="106" t="str">
        <f>IFERROR(INDEX(Lista_Precios[CÓDIGO],MATCH(Movimientos!$G553,Lista_Precios[PRODUCTO],0)),"")</f>
        <v/>
      </c>
      <c r="G553" s="107"/>
      <c r="H553" s="108"/>
      <c r="I553" s="40"/>
    </row>
    <row r="554" spans="2:9" ht="15.5" x14ac:dyDescent="0.35">
      <c r="B554" s="105"/>
      <c r="C554" s="106" t="str">
        <f t="shared" si="10"/>
        <v/>
      </c>
      <c r="D554" s="107"/>
      <c r="E554" s="107"/>
      <c r="F554" s="106" t="str">
        <f>IFERROR(INDEX(Lista_Precios[CÓDIGO],MATCH(Movimientos!$G554,Lista_Precios[PRODUCTO],0)),"")</f>
        <v/>
      </c>
      <c r="G554" s="107"/>
      <c r="H554" s="108"/>
      <c r="I554" s="40"/>
    </row>
    <row r="555" spans="2:9" ht="15.5" x14ac:dyDescent="0.35">
      <c r="B555" s="105"/>
      <c r="C555" s="106" t="str">
        <f t="shared" si="10"/>
        <v/>
      </c>
      <c r="D555" s="107"/>
      <c r="E555" s="107"/>
      <c r="F555" s="106" t="str">
        <f>IFERROR(INDEX(Lista_Precios[CÓDIGO],MATCH(Movimientos!$G555,Lista_Precios[PRODUCTO],0)),"")</f>
        <v/>
      </c>
      <c r="G555" s="107"/>
      <c r="H555" s="108"/>
      <c r="I555" s="40"/>
    </row>
    <row r="556" spans="2:9" ht="15.5" x14ac:dyDescent="0.35">
      <c r="B556" s="105"/>
      <c r="C556" s="106" t="str">
        <f t="shared" si="10"/>
        <v/>
      </c>
      <c r="D556" s="107"/>
      <c r="E556" s="107"/>
      <c r="F556" s="106" t="str">
        <f>IFERROR(INDEX(Lista_Precios[CÓDIGO],MATCH(Movimientos!$G556,Lista_Precios[PRODUCTO],0)),"")</f>
        <v/>
      </c>
      <c r="G556" s="107"/>
      <c r="H556" s="108"/>
      <c r="I556" s="40"/>
    </row>
    <row r="557" spans="2:9" ht="15.5" x14ac:dyDescent="0.35">
      <c r="B557" s="105"/>
      <c r="C557" s="106" t="str">
        <f t="shared" si="10"/>
        <v/>
      </c>
      <c r="D557" s="107"/>
      <c r="E557" s="107"/>
      <c r="F557" s="106" t="str">
        <f>IFERROR(INDEX(Lista_Precios[CÓDIGO],MATCH(Movimientos!$G557,Lista_Precios[PRODUCTO],0)),"")</f>
        <v/>
      </c>
      <c r="G557" s="107"/>
      <c r="H557" s="108"/>
      <c r="I557" s="40"/>
    </row>
    <row r="558" spans="2:9" ht="15.5" x14ac:dyDescent="0.35">
      <c r="B558" s="105"/>
      <c r="C558" s="106" t="str">
        <f t="shared" si="10"/>
        <v/>
      </c>
      <c r="D558" s="107"/>
      <c r="E558" s="107"/>
      <c r="F558" s="106" t="str">
        <f>IFERROR(INDEX(Lista_Precios[CÓDIGO],MATCH(Movimientos!$G558,Lista_Precios[PRODUCTO],0)),"")</f>
        <v/>
      </c>
      <c r="G558" s="107"/>
      <c r="H558" s="108"/>
      <c r="I558" s="40"/>
    </row>
    <row r="559" spans="2:9" ht="15.5" x14ac:dyDescent="0.35">
      <c r="B559" s="105"/>
      <c r="C559" s="106" t="str">
        <f t="shared" si="10"/>
        <v/>
      </c>
      <c r="D559" s="107"/>
      <c r="E559" s="107"/>
      <c r="F559" s="106" t="str">
        <f>IFERROR(INDEX(Lista_Precios[CÓDIGO],MATCH(Movimientos!$G559,Lista_Precios[PRODUCTO],0)),"")</f>
        <v/>
      </c>
      <c r="G559" s="107"/>
      <c r="H559" s="108"/>
      <c r="I559" s="40"/>
    </row>
    <row r="560" spans="2:9" ht="15.5" x14ac:dyDescent="0.35">
      <c r="B560" s="105"/>
      <c r="C560" s="106" t="str">
        <f t="shared" si="10"/>
        <v/>
      </c>
      <c r="D560" s="107"/>
      <c r="E560" s="107"/>
      <c r="F560" s="106" t="str">
        <f>IFERROR(INDEX(Lista_Precios[CÓDIGO],MATCH(Movimientos!$G560,Lista_Precios[PRODUCTO],0)),"")</f>
        <v/>
      </c>
      <c r="G560" s="107"/>
      <c r="H560" s="108"/>
      <c r="I560" s="40"/>
    </row>
    <row r="561" spans="2:9" ht="15.5" x14ac:dyDescent="0.35">
      <c r="B561" s="105"/>
      <c r="C561" s="106" t="str">
        <f t="shared" si="10"/>
        <v/>
      </c>
      <c r="D561" s="107"/>
      <c r="E561" s="107"/>
      <c r="F561" s="106" t="str">
        <f>IFERROR(INDEX(Lista_Precios[CÓDIGO],MATCH(Movimientos!$G561,Lista_Precios[PRODUCTO],0)),"")</f>
        <v/>
      </c>
      <c r="G561" s="107"/>
      <c r="H561" s="108"/>
      <c r="I561" s="40"/>
    </row>
    <row r="562" spans="2:9" ht="15.5" x14ac:dyDescent="0.35">
      <c r="B562" s="105"/>
      <c r="C562" s="106" t="str">
        <f t="shared" si="10"/>
        <v/>
      </c>
      <c r="D562" s="107"/>
      <c r="E562" s="107"/>
      <c r="F562" s="106" t="str">
        <f>IFERROR(INDEX(Lista_Precios[CÓDIGO],MATCH(Movimientos!$G562,Lista_Precios[PRODUCTO],0)),"")</f>
        <v/>
      </c>
      <c r="G562" s="107"/>
      <c r="H562" s="108"/>
      <c r="I562" s="40"/>
    </row>
    <row r="563" spans="2:9" ht="15.5" x14ac:dyDescent="0.35">
      <c r="B563" s="105"/>
      <c r="C563" s="106" t="str">
        <f t="shared" si="10"/>
        <v/>
      </c>
      <c r="D563" s="107"/>
      <c r="E563" s="107"/>
      <c r="F563" s="106" t="str">
        <f>IFERROR(INDEX(Lista_Precios[CÓDIGO],MATCH(Movimientos!$G563,Lista_Precios[PRODUCTO],0)),"")</f>
        <v/>
      </c>
      <c r="G563" s="107"/>
      <c r="H563" s="108"/>
      <c r="I563" s="40"/>
    </row>
    <row r="564" spans="2:9" ht="15.5" x14ac:dyDescent="0.35">
      <c r="B564" s="105"/>
      <c r="C564" s="106" t="str">
        <f t="shared" si="10"/>
        <v/>
      </c>
      <c r="D564" s="107"/>
      <c r="E564" s="107"/>
      <c r="F564" s="106" t="str">
        <f>IFERROR(INDEX(Lista_Precios[CÓDIGO],MATCH(Movimientos!$G564,Lista_Precios[PRODUCTO],0)),"")</f>
        <v/>
      </c>
      <c r="G564" s="107"/>
      <c r="H564" s="108"/>
      <c r="I564" s="40"/>
    </row>
    <row r="565" spans="2:9" ht="15.5" x14ac:dyDescent="0.35">
      <c r="B565" s="105"/>
      <c r="C565" s="106" t="str">
        <f t="shared" si="10"/>
        <v/>
      </c>
      <c r="D565" s="107"/>
      <c r="E565" s="107"/>
      <c r="F565" s="106" t="str">
        <f>IFERROR(INDEX(Lista_Precios[CÓDIGO],MATCH(Movimientos!$G565,Lista_Precios[PRODUCTO],0)),"")</f>
        <v/>
      </c>
      <c r="G565" s="107"/>
      <c r="H565" s="108"/>
      <c r="I565" s="40"/>
    </row>
    <row r="566" spans="2:9" ht="15.5" x14ac:dyDescent="0.35">
      <c r="B566" s="105"/>
      <c r="C566" s="106" t="str">
        <f t="shared" si="10"/>
        <v/>
      </c>
      <c r="D566" s="107"/>
      <c r="E566" s="107"/>
      <c r="F566" s="106" t="str">
        <f>IFERROR(INDEX(Lista_Precios[CÓDIGO],MATCH(Movimientos!$G566,Lista_Precios[PRODUCTO],0)),"")</f>
        <v/>
      </c>
      <c r="G566" s="107"/>
      <c r="H566" s="108"/>
      <c r="I566" s="40"/>
    </row>
    <row r="567" spans="2:9" ht="15.5" x14ac:dyDescent="0.35">
      <c r="B567" s="105"/>
      <c r="C567" s="106" t="str">
        <f t="shared" si="10"/>
        <v/>
      </c>
      <c r="D567" s="107"/>
      <c r="E567" s="107"/>
      <c r="F567" s="106" t="str">
        <f>IFERROR(INDEX(Lista_Precios[CÓDIGO],MATCH(Movimientos!$G567,Lista_Precios[PRODUCTO],0)),"")</f>
        <v/>
      </c>
      <c r="G567" s="107"/>
      <c r="H567" s="108"/>
      <c r="I567" s="40"/>
    </row>
    <row r="568" spans="2:9" ht="15.5" x14ac:dyDescent="0.35">
      <c r="B568" s="105"/>
      <c r="C568" s="106" t="str">
        <f t="shared" si="10"/>
        <v/>
      </c>
      <c r="D568" s="107"/>
      <c r="E568" s="107"/>
      <c r="F568" s="106" t="str">
        <f>IFERROR(INDEX(Lista_Precios[CÓDIGO],MATCH(Movimientos!$G568,Lista_Precios[PRODUCTO],0)),"")</f>
        <v/>
      </c>
      <c r="G568" s="107"/>
      <c r="H568" s="108"/>
      <c r="I568" s="40"/>
    </row>
    <row r="569" spans="2:9" ht="15.5" x14ac:dyDescent="0.35">
      <c r="B569" s="105"/>
      <c r="C569" s="106" t="str">
        <f t="shared" si="10"/>
        <v/>
      </c>
      <c r="D569" s="107"/>
      <c r="E569" s="107"/>
      <c r="F569" s="106" t="str">
        <f>IFERROR(INDEX(Lista_Precios[CÓDIGO],MATCH(Movimientos!$G569,Lista_Precios[PRODUCTO],0)),"")</f>
        <v/>
      </c>
      <c r="G569" s="107"/>
      <c r="H569" s="108"/>
      <c r="I569" s="40"/>
    </row>
    <row r="570" spans="2:9" ht="15.5" x14ac:dyDescent="0.35">
      <c r="B570" s="105"/>
      <c r="C570" s="106" t="str">
        <f t="shared" si="10"/>
        <v/>
      </c>
      <c r="D570" s="107"/>
      <c r="E570" s="107"/>
      <c r="F570" s="106" t="str">
        <f>IFERROR(INDEX(Lista_Precios[CÓDIGO],MATCH(Movimientos!$G570,Lista_Precios[PRODUCTO],0)),"")</f>
        <v/>
      </c>
      <c r="G570" s="107"/>
      <c r="H570" s="108"/>
      <c r="I570" s="40"/>
    </row>
    <row r="571" spans="2:9" ht="15.5" x14ac:dyDescent="0.35">
      <c r="B571" s="105"/>
      <c r="C571" s="106" t="str">
        <f t="shared" si="10"/>
        <v/>
      </c>
      <c r="D571" s="107"/>
      <c r="E571" s="107"/>
      <c r="F571" s="106" t="str">
        <f>IFERROR(INDEX(Lista_Precios[CÓDIGO],MATCH(Movimientos!$G571,Lista_Precios[PRODUCTO],0)),"")</f>
        <v/>
      </c>
      <c r="G571" s="107"/>
      <c r="H571" s="108"/>
      <c r="I571" s="40"/>
    </row>
    <row r="572" spans="2:9" ht="15.5" x14ac:dyDescent="0.35">
      <c r="B572" s="105"/>
      <c r="C572" s="106" t="str">
        <f t="shared" si="10"/>
        <v/>
      </c>
      <c r="D572" s="107"/>
      <c r="E572" s="107"/>
      <c r="F572" s="106" t="str">
        <f>IFERROR(INDEX(Lista_Precios[CÓDIGO],MATCH(Movimientos!$G572,Lista_Precios[PRODUCTO],0)),"")</f>
        <v/>
      </c>
      <c r="G572" s="107"/>
      <c r="H572" s="108"/>
      <c r="I572" s="40"/>
    </row>
    <row r="573" spans="2:9" ht="15.5" x14ac:dyDescent="0.35">
      <c r="B573" s="105"/>
      <c r="C573" s="106" t="str">
        <f t="shared" si="10"/>
        <v/>
      </c>
      <c r="D573" s="107"/>
      <c r="E573" s="107"/>
      <c r="F573" s="106" t="str">
        <f>IFERROR(INDEX(Lista_Precios[CÓDIGO],MATCH(Movimientos!$G573,Lista_Precios[PRODUCTO],0)),"")</f>
        <v/>
      </c>
      <c r="G573" s="107"/>
      <c r="H573" s="108"/>
      <c r="I573" s="40"/>
    </row>
    <row r="574" spans="2:9" ht="15.5" x14ac:dyDescent="0.35">
      <c r="B574" s="105"/>
      <c r="C574" s="106" t="str">
        <f t="shared" si="10"/>
        <v/>
      </c>
      <c r="D574" s="107"/>
      <c r="E574" s="107"/>
      <c r="F574" s="106" t="str">
        <f>IFERROR(INDEX(Lista_Precios[CÓDIGO],MATCH(Movimientos!$G574,Lista_Precios[PRODUCTO],0)),"")</f>
        <v/>
      </c>
      <c r="G574" s="107"/>
      <c r="H574" s="108"/>
      <c r="I574" s="40"/>
    </row>
    <row r="575" spans="2:9" ht="15.5" x14ac:dyDescent="0.35">
      <c r="B575" s="105"/>
      <c r="C575" s="106" t="str">
        <f t="shared" si="10"/>
        <v/>
      </c>
      <c r="D575" s="107"/>
      <c r="E575" s="107"/>
      <c r="F575" s="106" t="str">
        <f>IFERROR(INDEX(Lista_Precios[CÓDIGO],MATCH(Movimientos!$G575,Lista_Precios[PRODUCTO],0)),"")</f>
        <v/>
      </c>
      <c r="G575" s="107"/>
      <c r="H575" s="108"/>
      <c r="I575" s="40"/>
    </row>
    <row r="576" spans="2:9" ht="15.5" x14ac:dyDescent="0.35">
      <c r="B576" s="105"/>
      <c r="C576" s="106" t="str">
        <f t="shared" si="10"/>
        <v/>
      </c>
      <c r="D576" s="107"/>
      <c r="E576" s="107"/>
      <c r="F576" s="106" t="str">
        <f>IFERROR(INDEX(Lista_Precios[CÓDIGO],MATCH(Movimientos!$G576,Lista_Precios[PRODUCTO],0)),"")</f>
        <v/>
      </c>
      <c r="G576" s="107"/>
      <c r="H576" s="108"/>
      <c r="I576" s="40"/>
    </row>
    <row r="577" spans="2:9" ht="15.5" x14ac:dyDescent="0.35">
      <c r="B577" s="105"/>
      <c r="C577" s="106" t="str">
        <f t="shared" si="10"/>
        <v/>
      </c>
      <c r="D577" s="107"/>
      <c r="E577" s="107"/>
      <c r="F577" s="106" t="str">
        <f>IFERROR(INDEX(Lista_Precios[CÓDIGO],MATCH(Movimientos!$G577,Lista_Precios[PRODUCTO],0)),"")</f>
        <v/>
      </c>
      <c r="G577" s="107"/>
      <c r="H577" s="108"/>
      <c r="I577" s="40"/>
    </row>
    <row r="578" spans="2:9" ht="15.5" x14ac:dyDescent="0.35">
      <c r="B578" s="105"/>
      <c r="C578" s="106" t="str">
        <f t="shared" si="10"/>
        <v/>
      </c>
      <c r="D578" s="107"/>
      <c r="E578" s="107"/>
      <c r="F578" s="106" t="str">
        <f>IFERROR(INDEX(Lista_Precios[CÓDIGO],MATCH(Movimientos!$G578,Lista_Precios[PRODUCTO],0)),"")</f>
        <v/>
      </c>
      <c r="G578" s="107"/>
      <c r="H578" s="108"/>
      <c r="I578" s="40"/>
    </row>
    <row r="579" spans="2:9" ht="15.5" x14ac:dyDescent="0.35">
      <c r="B579" s="105"/>
      <c r="C579" s="106" t="str">
        <f t="shared" si="10"/>
        <v/>
      </c>
      <c r="D579" s="107"/>
      <c r="E579" s="107"/>
      <c r="F579" s="106" t="str">
        <f>IFERROR(INDEX(Lista_Precios[CÓDIGO],MATCH(Movimientos!$G579,Lista_Precios[PRODUCTO],0)),"")</f>
        <v/>
      </c>
      <c r="G579" s="107"/>
      <c r="H579" s="108"/>
      <c r="I579" s="40"/>
    </row>
    <row r="580" spans="2:9" ht="15.5" x14ac:dyDescent="0.35">
      <c r="B580" s="105"/>
      <c r="C580" s="106" t="str">
        <f t="shared" si="10"/>
        <v/>
      </c>
      <c r="D580" s="107"/>
      <c r="E580" s="107"/>
      <c r="F580" s="106" t="str">
        <f>IFERROR(INDEX(Lista_Precios[CÓDIGO],MATCH(Movimientos!$G580,Lista_Precios[PRODUCTO],0)),"")</f>
        <v/>
      </c>
      <c r="G580" s="107"/>
      <c r="H580" s="108"/>
      <c r="I580" s="40"/>
    </row>
    <row r="581" spans="2:9" ht="15.5" x14ac:dyDescent="0.35">
      <c r="B581" s="105"/>
      <c r="C581" s="106" t="str">
        <f t="shared" si="10"/>
        <v/>
      </c>
      <c r="D581" s="107"/>
      <c r="E581" s="107"/>
      <c r="F581" s="106" t="str">
        <f>IFERROR(INDEX(Lista_Precios[CÓDIGO],MATCH(Movimientos!$G581,Lista_Precios[PRODUCTO],0)),"")</f>
        <v/>
      </c>
      <c r="G581" s="107"/>
      <c r="H581" s="108"/>
      <c r="I581" s="40"/>
    </row>
    <row r="582" spans="2:9" ht="15.5" x14ac:dyDescent="0.35">
      <c r="B582" s="105"/>
      <c r="C582" s="106" t="str">
        <f t="shared" si="10"/>
        <v/>
      </c>
      <c r="D582" s="107"/>
      <c r="E582" s="107"/>
      <c r="F582" s="106" t="str">
        <f>IFERROR(INDEX(Lista_Precios[CÓDIGO],MATCH(Movimientos!$G582,Lista_Precios[PRODUCTO],0)),"")</f>
        <v/>
      </c>
      <c r="G582" s="107"/>
      <c r="H582" s="108"/>
      <c r="I582" s="40"/>
    </row>
    <row r="583" spans="2:9" ht="15.5" x14ac:dyDescent="0.35">
      <c r="B583" s="105"/>
      <c r="C583" s="106" t="str">
        <f t="shared" si="10"/>
        <v/>
      </c>
      <c r="D583" s="107"/>
      <c r="E583" s="107"/>
      <c r="F583" s="106" t="str">
        <f>IFERROR(INDEX(Lista_Precios[CÓDIGO],MATCH(Movimientos!$G583,Lista_Precios[PRODUCTO],0)),"")</f>
        <v/>
      </c>
      <c r="G583" s="107"/>
      <c r="H583" s="108"/>
      <c r="I583" s="40"/>
    </row>
    <row r="584" spans="2:9" ht="15.5" x14ac:dyDescent="0.35">
      <c r="B584" s="105"/>
      <c r="C584" s="106" t="str">
        <f t="shared" si="10"/>
        <v/>
      </c>
      <c r="D584" s="107"/>
      <c r="E584" s="107"/>
      <c r="F584" s="106" t="str">
        <f>IFERROR(INDEX(Lista_Precios[CÓDIGO],MATCH(Movimientos!$G584,Lista_Precios[PRODUCTO],0)),"")</f>
        <v/>
      </c>
      <c r="G584" s="107"/>
      <c r="H584" s="108"/>
      <c r="I584" s="40"/>
    </row>
    <row r="585" spans="2:9" ht="15.5" x14ac:dyDescent="0.35">
      <c r="B585" s="105"/>
      <c r="C585" s="106" t="str">
        <f t="shared" si="10"/>
        <v/>
      </c>
      <c r="D585" s="107"/>
      <c r="E585" s="107"/>
      <c r="F585" s="106" t="str">
        <f>IFERROR(INDEX(Lista_Precios[CÓDIGO],MATCH(Movimientos!$G585,Lista_Precios[PRODUCTO],0)),"")</f>
        <v/>
      </c>
      <c r="G585" s="107"/>
      <c r="H585" s="108"/>
      <c r="I585" s="40"/>
    </row>
    <row r="586" spans="2:9" ht="15.5" x14ac:dyDescent="0.35">
      <c r="B586" s="105"/>
      <c r="C586" s="106" t="str">
        <f t="shared" si="10"/>
        <v/>
      </c>
      <c r="D586" s="107"/>
      <c r="E586" s="107"/>
      <c r="F586" s="106" t="str">
        <f>IFERROR(INDEX(Lista_Precios[CÓDIGO],MATCH(Movimientos!$G586,Lista_Precios[PRODUCTO],0)),"")</f>
        <v/>
      </c>
      <c r="G586" s="107"/>
      <c r="H586" s="108"/>
      <c r="I586" s="40"/>
    </row>
    <row r="587" spans="2:9" ht="15.5" x14ac:dyDescent="0.35">
      <c r="B587" s="105"/>
      <c r="C587" s="106" t="str">
        <f t="shared" si="10"/>
        <v/>
      </c>
      <c r="D587" s="107"/>
      <c r="E587" s="107"/>
      <c r="F587" s="106" t="str">
        <f>IFERROR(INDEX(Lista_Precios[CÓDIGO],MATCH(Movimientos!$G587,Lista_Precios[PRODUCTO],0)),"")</f>
        <v/>
      </c>
      <c r="G587" s="107"/>
      <c r="H587" s="108"/>
      <c r="I587" s="40"/>
    </row>
    <row r="588" spans="2:9" ht="15.5" x14ac:dyDescent="0.35">
      <c r="B588" s="105"/>
      <c r="C588" s="106" t="str">
        <f t="shared" si="10"/>
        <v/>
      </c>
      <c r="D588" s="107"/>
      <c r="E588" s="107"/>
      <c r="F588" s="106" t="str">
        <f>IFERROR(INDEX(Lista_Precios[CÓDIGO],MATCH(Movimientos!$G588,Lista_Precios[PRODUCTO],0)),"")</f>
        <v/>
      </c>
      <c r="G588" s="107"/>
      <c r="H588" s="108"/>
      <c r="I588" s="40"/>
    </row>
    <row r="589" spans="2:9" ht="15.5" x14ac:dyDescent="0.35">
      <c r="B589" s="105"/>
      <c r="C589" s="106" t="str">
        <f t="shared" si="10"/>
        <v/>
      </c>
      <c r="D589" s="107"/>
      <c r="E589" s="107"/>
      <c r="F589" s="106" t="str">
        <f>IFERROR(INDEX(Lista_Precios[CÓDIGO],MATCH(Movimientos!$G589,Lista_Precios[PRODUCTO],0)),"")</f>
        <v/>
      </c>
      <c r="G589" s="107"/>
      <c r="H589" s="108"/>
      <c r="I589" s="40"/>
    </row>
    <row r="590" spans="2:9" ht="15.5" x14ac:dyDescent="0.35">
      <c r="B590" s="105"/>
      <c r="C590" s="106" t="str">
        <f t="shared" si="10"/>
        <v/>
      </c>
      <c r="D590" s="107"/>
      <c r="E590" s="107"/>
      <c r="F590" s="106" t="str">
        <f>IFERROR(INDEX(Lista_Precios[CÓDIGO],MATCH(Movimientos!$G590,Lista_Precios[PRODUCTO],0)),"")</f>
        <v/>
      </c>
      <c r="G590" s="107"/>
      <c r="H590" s="108"/>
      <c r="I590" s="40"/>
    </row>
    <row r="591" spans="2:9" ht="15.5" x14ac:dyDescent="0.35">
      <c r="B591" s="105"/>
      <c r="C591" s="106" t="str">
        <f t="shared" si="10"/>
        <v/>
      </c>
      <c r="D591" s="107"/>
      <c r="E591" s="107"/>
      <c r="F591" s="106" t="str">
        <f>IFERROR(INDEX(Lista_Precios[CÓDIGO],MATCH(Movimientos!$G591,Lista_Precios[PRODUCTO],0)),"")</f>
        <v/>
      </c>
      <c r="G591" s="107"/>
      <c r="H591" s="108"/>
      <c r="I591" s="40"/>
    </row>
    <row r="592" spans="2:9" ht="15.5" x14ac:dyDescent="0.35">
      <c r="B592" s="105"/>
      <c r="C592" s="106" t="str">
        <f t="shared" si="10"/>
        <v/>
      </c>
      <c r="D592" s="107"/>
      <c r="E592" s="107"/>
      <c r="F592" s="106" t="str">
        <f>IFERROR(INDEX(Lista_Precios[CÓDIGO],MATCH(Movimientos!$G592,Lista_Precios[PRODUCTO],0)),"")</f>
        <v/>
      </c>
      <c r="G592" s="107"/>
      <c r="H592" s="108"/>
      <c r="I592" s="40"/>
    </row>
    <row r="593" spans="2:9" ht="15.5" x14ac:dyDescent="0.35">
      <c r="B593" s="105"/>
      <c r="C593" s="106" t="str">
        <f t="shared" si="10"/>
        <v/>
      </c>
      <c r="D593" s="107"/>
      <c r="E593" s="107"/>
      <c r="F593" s="106" t="str">
        <f>IFERROR(INDEX(Lista_Precios[CÓDIGO],MATCH(Movimientos!$G593,Lista_Precios[PRODUCTO],0)),"")</f>
        <v/>
      </c>
      <c r="G593" s="107"/>
      <c r="H593" s="108"/>
      <c r="I593" s="40"/>
    </row>
    <row r="594" spans="2:9" ht="15.5" x14ac:dyDescent="0.35">
      <c r="B594" s="105"/>
      <c r="C594" s="106" t="str">
        <f t="shared" si="10"/>
        <v/>
      </c>
      <c r="D594" s="107"/>
      <c r="E594" s="107"/>
      <c r="F594" s="106" t="str">
        <f>IFERROR(INDEX(Lista_Precios[CÓDIGO],MATCH(Movimientos!$G594,Lista_Precios[PRODUCTO],0)),"")</f>
        <v/>
      </c>
      <c r="G594" s="107"/>
      <c r="H594" s="108"/>
      <c r="I594" s="40"/>
    </row>
    <row r="595" spans="2:9" ht="15.5" x14ac:dyDescent="0.35">
      <c r="B595" s="105"/>
      <c r="C595" s="106" t="str">
        <f t="shared" si="10"/>
        <v/>
      </c>
      <c r="D595" s="107"/>
      <c r="E595" s="107"/>
      <c r="F595" s="106" t="str">
        <f>IFERROR(INDEX(Lista_Precios[CÓDIGO],MATCH(Movimientos!$G595,Lista_Precios[PRODUCTO],0)),"")</f>
        <v/>
      </c>
      <c r="G595" s="107"/>
      <c r="H595" s="108"/>
      <c r="I595" s="40"/>
    </row>
    <row r="596" spans="2:9" ht="15.5" x14ac:dyDescent="0.35">
      <c r="B596" s="105"/>
      <c r="C596" s="106" t="str">
        <f t="shared" si="10"/>
        <v/>
      </c>
      <c r="D596" s="107"/>
      <c r="E596" s="107"/>
      <c r="F596" s="106" t="str">
        <f>IFERROR(INDEX(Lista_Precios[CÓDIGO],MATCH(Movimientos!$G596,Lista_Precios[PRODUCTO],0)),"")</f>
        <v/>
      </c>
      <c r="G596" s="107"/>
      <c r="H596" s="108"/>
      <c r="I596" s="40"/>
    </row>
    <row r="597" spans="2:9" ht="15.5" x14ac:dyDescent="0.35">
      <c r="B597" s="105"/>
      <c r="C597" s="106" t="str">
        <f t="shared" si="10"/>
        <v/>
      </c>
      <c r="D597" s="107"/>
      <c r="E597" s="107"/>
      <c r="F597" s="106" t="str">
        <f>IFERROR(INDEX(Lista_Precios[CÓDIGO],MATCH(Movimientos!$G597,Lista_Precios[PRODUCTO],0)),"")</f>
        <v/>
      </c>
      <c r="G597" s="107"/>
      <c r="H597" s="108"/>
      <c r="I597" s="40"/>
    </row>
    <row r="598" spans="2:9" ht="15.5" x14ac:dyDescent="0.35">
      <c r="B598" s="105"/>
      <c r="C598" s="106" t="str">
        <f t="shared" si="10"/>
        <v/>
      </c>
      <c r="D598" s="107"/>
      <c r="E598" s="107"/>
      <c r="F598" s="106" t="str">
        <f>IFERROR(INDEX(Lista_Precios[CÓDIGO],MATCH(Movimientos!$G598,Lista_Precios[PRODUCTO],0)),"")</f>
        <v/>
      </c>
      <c r="G598" s="107"/>
      <c r="H598" s="108"/>
      <c r="I598" s="40"/>
    </row>
    <row r="599" spans="2:9" ht="15.5" x14ac:dyDescent="0.35">
      <c r="B599" s="105"/>
      <c r="C599" s="106" t="str">
        <f t="shared" si="10"/>
        <v/>
      </c>
      <c r="D599" s="107"/>
      <c r="E599" s="107"/>
      <c r="F599" s="106" t="str">
        <f>IFERROR(INDEX(Lista_Precios[CÓDIGO],MATCH(Movimientos!$G599,Lista_Precios[PRODUCTO],0)),"")</f>
        <v/>
      </c>
      <c r="G599" s="107"/>
      <c r="H599" s="108"/>
      <c r="I599" s="40"/>
    </row>
    <row r="600" spans="2:9" ht="15.5" x14ac:dyDescent="0.35">
      <c r="B600" s="105"/>
      <c r="C600" s="106" t="str">
        <f t="shared" si="10"/>
        <v/>
      </c>
      <c r="D600" s="107"/>
      <c r="E600" s="107"/>
      <c r="F600" s="106" t="str">
        <f>IFERROR(INDEX(Lista_Precios[CÓDIGO],MATCH(Movimientos!$G600,Lista_Precios[PRODUCTO],0)),"")</f>
        <v/>
      </c>
      <c r="G600" s="107"/>
      <c r="H600" s="108"/>
      <c r="I600" s="40"/>
    </row>
    <row r="601" spans="2:9" ht="15.5" x14ac:dyDescent="0.35">
      <c r="B601" s="105"/>
      <c r="C601" s="106" t="str">
        <f t="shared" si="10"/>
        <v/>
      </c>
      <c r="D601" s="107"/>
      <c r="E601" s="107"/>
      <c r="F601" s="106" t="str">
        <f>IFERROR(INDEX(Lista_Precios[CÓDIGO],MATCH(Movimientos!$G601,Lista_Precios[PRODUCTO],0)),"")</f>
        <v/>
      </c>
      <c r="G601" s="107"/>
      <c r="H601" s="108"/>
      <c r="I601" s="40"/>
    </row>
    <row r="602" spans="2:9" ht="15.5" x14ac:dyDescent="0.35">
      <c r="B602" s="105"/>
      <c r="C602" s="106" t="str">
        <f t="shared" si="10"/>
        <v/>
      </c>
      <c r="D602" s="107"/>
      <c r="E602" s="107"/>
      <c r="F602" s="106" t="str">
        <f>IFERROR(INDEX(Lista_Precios[CÓDIGO],MATCH(Movimientos!$G602,Lista_Precios[PRODUCTO],0)),"")</f>
        <v/>
      </c>
      <c r="G602" s="107"/>
      <c r="H602" s="108"/>
      <c r="I602" s="40"/>
    </row>
    <row r="603" spans="2:9" ht="15.5" x14ac:dyDescent="0.35">
      <c r="B603" s="105"/>
      <c r="C603" s="106" t="str">
        <f t="shared" si="10"/>
        <v/>
      </c>
      <c r="D603" s="107"/>
      <c r="E603" s="107"/>
      <c r="F603" s="106" t="str">
        <f>IFERROR(INDEX(Lista_Precios[CÓDIGO],MATCH(Movimientos!$G603,Lista_Precios[PRODUCTO],0)),"")</f>
        <v/>
      </c>
      <c r="G603" s="107"/>
      <c r="H603" s="108"/>
      <c r="I603" s="40"/>
    </row>
    <row r="604" spans="2:9" ht="15.5" x14ac:dyDescent="0.35">
      <c r="B604" s="105"/>
      <c r="C604" s="106" t="str">
        <f t="shared" si="10"/>
        <v/>
      </c>
      <c r="D604" s="107"/>
      <c r="E604" s="107"/>
      <c r="F604" s="106" t="str">
        <f>IFERROR(INDEX(Lista_Precios[CÓDIGO],MATCH(Movimientos!$G604,Lista_Precios[PRODUCTO],0)),"")</f>
        <v/>
      </c>
      <c r="G604" s="107"/>
      <c r="H604" s="108"/>
      <c r="I604" s="40"/>
    </row>
    <row r="605" spans="2:9" ht="15.5" x14ac:dyDescent="0.35">
      <c r="B605" s="105"/>
      <c r="C605" s="106" t="str">
        <f t="shared" si="10"/>
        <v/>
      </c>
      <c r="D605" s="107"/>
      <c r="E605" s="107"/>
      <c r="F605" s="106" t="str">
        <f>IFERROR(INDEX(Lista_Precios[CÓDIGO],MATCH(Movimientos!$G605,Lista_Precios[PRODUCTO],0)),"")</f>
        <v/>
      </c>
      <c r="G605" s="107"/>
      <c r="H605" s="108"/>
      <c r="I605" s="40"/>
    </row>
    <row r="606" spans="2:9" ht="15.5" x14ac:dyDescent="0.35">
      <c r="B606" s="105"/>
      <c r="C606" s="106" t="str">
        <f t="shared" si="10"/>
        <v/>
      </c>
      <c r="D606" s="107"/>
      <c r="E606" s="107"/>
      <c r="F606" s="106" t="str">
        <f>IFERROR(INDEX(Lista_Precios[CÓDIGO],MATCH(Movimientos!$G606,Lista_Precios[PRODUCTO],0)),"")</f>
        <v/>
      </c>
      <c r="G606" s="107"/>
      <c r="H606" s="108"/>
      <c r="I606" s="40"/>
    </row>
    <row r="607" spans="2:9" ht="15.5" x14ac:dyDescent="0.35">
      <c r="B607" s="105"/>
      <c r="C607" s="106" t="str">
        <f t="shared" si="10"/>
        <v/>
      </c>
      <c r="D607" s="107"/>
      <c r="E607" s="107"/>
      <c r="F607" s="106" t="str">
        <f>IFERROR(INDEX(Lista_Precios[CÓDIGO],MATCH(Movimientos!$G607,Lista_Precios[PRODUCTO],0)),"")</f>
        <v/>
      </c>
      <c r="G607" s="107"/>
      <c r="H607" s="108"/>
      <c r="I607" s="40"/>
    </row>
    <row r="608" spans="2:9" ht="15.5" x14ac:dyDescent="0.35">
      <c r="B608" s="105"/>
      <c r="C608" s="106" t="str">
        <f t="shared" si="10"/>
        <v/>
      </c>
      <c r="D608" s="107"/>
      <c r="E608" s="107"/>
      <c r="F608" s="106" t="str">
        <f>IFERROR(INDEX(Lista_Precios[CÓDIGO],MATCH(Movimientos!$G608,Lista_Precios[PRODUCTO],0)),"")</f>
        <v/>
      </c>
      <c r="G608" s="107"/>
      <c r="H608" s="108"/>
      <c r="I608" s="40"/>
    </row>
    <row r="609" spans="2:9" ht="15.5" x14ac:dyDescent="0.35">
      <c r="B609" s="105"/>
      <c r="C609" s="106" t="str">
        <f t="shared" si="10"/>
        <v/>
      </c>
      <c r="D609" s="107"/>
      <c r="E609" s="107"/>
      <c r="F609" s="106" t="str">
        <f>IFERROR(INDEX(Lista_Precios[CÓDIGO],MATCH(Movimientos!$G609,Lista_Precios[PRODUCTO],0)),"")</f>
        <v/>
      </c>
      <c r="G609" s="107"/>
      <c r="H609" s="108"/>
      <c r="I609" s="40"/>
    </row>
    <row r="610" spans="2:9" ht="15.5" x14ac:dyDescent="0.35">
      <c r="B610" s="105"/>
      <c r="C610" s="106" t="str">
        <f t="shared" si="10"/>
        <v/>
      </c>
      <c r="D610" s="107"/>
      <c r="E610" s="107"/>
      <c r="F610" s="106" t="str">
        <f>IFERROR(INDEX(Lista_Precios[CÓDIGO],MATCH(Movimientos!$G610,Lista_Precios[PRODUCTO],0)),"")</f>
        <v/>
      </c>
      <c r="G610" s="107"/>
      <c r="H610" s="108"/>
      <c r="I610" s="40"/>
    </row>
    <row r="611" spans="2:9" ht="15.5" x14ac:dyDescent="0.35">
      <c r="B611" s="105"/>
      <c r="C611" s="106" t="str">
        <f t="shared" si="10"/>
        <v/>
      </c>
      <c r="D611" s="107"/>
      <c r="E611" s="107"/>
      <c r="F611" s="106" t="str">
        <f>IFERROR(INDEX(Lista_Precios[CÓDIGO],MATCH(Movimientos!$G611,Lista_Precios[PRODUCTO],0)),"")</f>
        <v/>
      </c>
      <c r="G611" s="107"/>
      <c r="H611" s="108"/>
      <c r="I611" s="40"/>
    </row>
    <row r="612" spans="2:9" ht="15.5" x14ac:dyDescent="0.35">
      <c r="B612" s="105"/>
      <c r="C612" s="106" t="str">
        <f t="shared" si="10"/>
        <v/>
      </c>
      <c r="D612" s="107"/>
      <c r="E612" s="107"/>
      <c r="F612" s="106" t="str">
        <f>IFERROR(INDEX(Lista_Precios[CÓDIGO],MATCH(Movimientos!$G612,Lista_Precios[PRODUCTO],0)),"")</f>
        <v/>
      </c>
      <c r="G612" s="107"/>
      <c r="H612" s="108"/>
      <c r="I612" s="40"/>
    </row>
    <row r="613" spans="2:9" ht="15.5" x14ac:dyDescent="0.35">
      <c r="B613" s="105"/>
      <c r="C613" s="106" t="str">
        <f t="shared" si="10"/>
        <v/>
      </c>
      <c r="D613" s="107"/>
      <c r="E613" s="107"/>
      <c r="F613" s="106" t="str">
        <f>IFERROR(INDEX(Lista_Precios[CÓDIGO],MATCH(Movimientos!$G613,Lista_Precios[PRODUCTO],0)),"")</f>
        <v/>
      </c>
      <c r="G613" s="107"/>
      <c r="H613" s="108"/>
      <c r="I613" s="40"/>
    </row>
    <row r="614" spans="2:9" ht="15.5" x14ac:dyDescent="0.35">
      <c r="B614" s="105"/>
      <c r="C614" s="106" t="str">
        <f t="shared" si="10"/>
        <v/>
      </c>
      <c r="D614" s="107"/>
      <c r="E614" s="107"/>
      <c r="F614" s="106" t="str">
        <f>IFERROR(INDEX(Lista_Precios[CÓDIGO],MATCH(Movimientos!$G614,Lista_Precios[PRODUCTO],0)),"")</f>
        <v/>
      </c>
      <c r="G614" s="107"/>
      <c r="H614" s="108"/>
      <c r="I614" s="40"/>
    </row>
    <row r="615" spans="2:9" ht="15.5" x14ac:dyDescent="0.35">
      <c r="B615" s="105"/>
      <c r="C615" s="106" t="str">
        <f t="shared" ref="C615:C678" si="11">IF(B615="","",TEXT(B615,"Mmmm"))</f>
        <v/>
      </c>
      <c r="D615" s="107"/>
      <c r="E615" s="107"/>
      <c r="F615" s="106" t="str">
        <f>IFERROR(INDEX(Lista_Precios[CÓDIGO],MATCH(Movimientos!$G615,Lista_Precios[PRODUCTO],0)),"")</f>
        <v/>
      </c>
      <c r="G615" s="107"/>
      <c r="H615" s="108"/>
      <c r="I615" s="40"/>
    </row>
    <row r="616" spans="2:9" ht="15.5" x14ac:dyDescent="0.35">
      <c r="B616" s="105"/>
      <c r="C616" s="106" t="str">
        <f t="shared" si="11"/>
        <v/>
      </c>
      <c r="D616" s="107"/>
      <c r="E616" s="107"/>
      <c r="F616" s="106" t="str">
        <f>IFERROR(INDEX(Lista_Precios[CÓDIGO],MATCH(Movimientos!$G616,Lista_Precios[PRODUCTO],0)),"")</f>
        <v/>
      </c>
      <c r="G616" s="107"/>
      <c r="H616" s="108"/>
      <c r="I616" s="40"/>
    </row>
    <row r="617" spans="2:9" ht="15.5" x14ac:dyDescent="0.35">
      <c r="B617" s="105"/>
      <c r="C617" s="106" t="str">
        <f t="shared" si="11"/>
        <v/>
      </c>
      <c r="D617" s="107"/>
      <c r="E617" s="107"/>
      <c r="F617" s="106" t="str">
        <f>IFERROR(INDEX(Lista_Precios[CÓDIGO],MATCH(Movimientos!$G617,Lista_Precios[PRODUCTO],0)),"")</f>
        <v/>
      </c>
      <c r="G617" s="107"/>
      <c r="H617" s="108"/>
      <c r="I617" s="40"/>
    </row>
    <row r="618" spans="2:9" ht="15.5" x14ac:dyDescent="0.35">
      <c r="B618" s="105"/>
      <c r="C618" s="106" t="str">
        <f t="shared" si="11"/>
        <v/>
      </c>
      <c r="D618" s="107"/>
      <c r="E618" s="107"/>
      <c r="F618" s="106" t="str">
        <f>IFERROR(INDEX(Lista_Precios[CÓDIGO],MATCH(Movimientos!$G618,Lista_Precios[PRODUCTO],0)),"")</f>
        <v/>
      </c>
      <c r="G618" s="107"/>
      <c r="H618" s="108"/>
      <c r="I618" s="40"/>
    </row>
    <row r="619" spans="2:9" ht="15.5" x14ac:dyDescent="0.35">
      <c r="B619" s="105"/>
      <c r="C619" s="106" t="str">
        <f t="shared" si="11"/>
        <v/>
      </c>
      <c r="D619" s="107"/>
      <c r="E619" s="107"/>
      <c r="F619" s="106" t="str">
        <f>IFERROR(INDEX(Lista_Precios[CÓDIGO],MATCH(Movimientos!$G619,Lista_Precios[PRODUCTO],0)),"")</f>
        <v/>
      </c>
      <c r="G619" s="107"/>
      <c r="H619" s="108"/>
      <c r="I619" s="40"/>
    </row>
    <row r="620" spans="2:9" ht="15.5" x14ac:dyDescent="0.35">
      <c r="B620" s="105"/>
      <c r="C620" s="106" t="str">
        <f t="shared" si="11"/>
        <v/>
      </c>
      <c r="D620" s="107"/>
      <c r="E620" s="107"/>
      <c r="F620" s="106" t="str">
        <f>IFERROR(INDEX(Lista_Precios[CÓDIGO],MATCH(Movimientos!$G620,Lista_Precios[PRODUCTO],0)),"")</f>
        <v/>
      </c>
      <c r="G620" s="107"/>
      <c r="H620" s="108"/>
      <c r="I620" s="40"/>
    </row>
    <row r="621" spans="2:9" ht="15.5" x14ac:dyDescent="0.35">
      <c r="B621" s="105"/>
      <c r="C621" s="106" t="str">
        <f t="shared" si="11"/>
        <v/>
      </c>
      <c r="D621" s="107"/>
      <c r="E621" s="107"/>
      <c r="F621" s="106" t="str">
        <f>IFERROR(INDEX(Lista_Precios[CÓDIGO],MATCH(Movimientos!$G621,Lista_Precios[PRODUCTO],0)),"")</f>
        <v/>
      </c>
      <c r="G621" s="107"/>
      <c r="H621" s="108"/>
      <c r="I621" s="40"/>
    </row>
    <row r="622" spans="2:9" ht="15.5" x14ac:dyDescent="0.35">
      <c r="B622" s="105"/>
      <c r="C622" s="106" t="str">
        <f t="shared" si="11"/>
        <v/>
      </c>
      <c r="D622" s="107"/>
      <c r="E622" s="107"/>
      <c r="F622" s="106" t="str">
        <f>IFERROR(INDEX(Lista_Precios[CÓDIGO],MATCH(Movimientos!$G622,Lista_Precios[PRODUCTO],0)),"")</f>
        <v/>
      </c>
      <c r="G622" s="107"/>
      <c r="H622" s="108"/>
      <c r="I622" s="40"/>
    </row>
    <row r="623" spans="2:9" ht="15.5" x14ac:dyDescent="0.35">
      <c r="B623" s="105"/>
      <c r="C623" s="106" t="str">
        <f t="shared" si="11"/>
        <v/>
      </c>
      <c r="D623" s="107"/>
      <c r="E623" s="107"/>
      <c r="F623" s="106" t="str">
        <f>IFERROR(INDEX(Lista_Precios[CÓDIGO],MATCH(Movimientos!$G623,Lista_Precios[PRODUCTO],0)),"")</f>
        <v/>
      </c>
      <c r="G623" s="107"/>
      <c r="H623" s="108"/>
      <c r="I623" s="40"/>
    </row>
    <row r="624" spans="2:9" ht="15.5" x14ac:dyDescent="0.35">
      <c r="B624" s="105"/>
      <c r="C624" s="106" t="str">
        <f t="shared" si="11"/>
        <v/>
      </c>
      <c r="D624" s="107"/>
      <c r="E624" s="107"/>
      <c r="F624" s="106" t="str">
        <f>IFERROR(INDEX(Lista_Precios[CÓDIGO],MATCH(Movimientos!$G624,Lista_Precios[PRODUCTO],0)),"")</f>
        <v/>
      </c>
      <c r="G624" s="107"/>
      <c r="H624" s="108"/>
      <c r="I624" s="40"/>
    </row>
    <row r="625" spans="2:9" ht="15.5" x14ac:dyDescent="0.35">
      <c r="B625" s="105"/>
      <c r="C625" s="106" t="str">
        <f t="shared" si="11"/>
        <v/>
      </c>
      <c r="D625" s="107"/>
      <c r="E625" s="107"/>
      <c r="F625" s="106" t="str">
        <f>IFERROR(INDEX(Lista_Precios[CÓDIGO],MATCH(Movimientos!$G625,Lista_Precios[PRODUCTO],0)),"")</f>
        <v/>
      </c>
      <c r="G625" s="107"/>
      <c r="H625" s="108"/>
      <c r="I625" s="40"/>
    </row>
    <row r="626" spans="2:9" ht="15.5" x14ac:dyDescent="0.35">
      <c r="B626" s="105"/>
      <c r="C626" s="106" t="str">
        <f t="shared" si="11"/>
        <v/>
      </c>
      <c r="D626" s="107"/>
      <c r="E626" s="107"/>
      <c r="F626" s="106" t="str">
        <f>IFERROR(INDEX(Lista_Precios[CÓDIGO],MATCH(Movimientos!$G626,Lista_Precios[PRODUCTO],0)),"")</f>
        <v/>
      </c>
      <c r="G626" s="107"/>
      <c r="H626" s="108"/>
      <c r="I626" s="40"/>
    </row>
    <row r="627" spans="2:9" ht="15.5" x14ac:dyDescent="0.35">
      <c r="B627" s="105"/>
      <c r="C627" s="106" t="str">
        <f t="shared" si="11"/>
        <v/>
      </c>
      <c r="D627" s="107"/>
      <c r="E627" s="107"/>
      <c r="F627" s="106" t="str">
        <f>IFERROR(INDEX(Lista_Precios[CÓDIGO],MATCH(Movimientos!$G627,Lista_Precios[PRODUCTO],0)),"")</f>
        <v/>
      </c>
      <c r="G627" s="107"/>
      <c r="H627" s="108"/>
      <c r="I627" s="40"/>
    </row>
    <row r="628" spans="2:9" ht="15.5" x14ac:dyDescent="0.35">
      <c r="B628" s="105"/>
      <c r="C628" s="106" t="str">
        <f t="shared" si="11"/>
        <v/>
      </c>
      <c r="D628" s="107"/>
      <c r="E628" s="107"/>
      <c r="F628" s="106" t="str">
        <f>IFERROR(INDEX(Lista_Precios[CÓDIGO],MATCH(Movimientos!$G628,Lista_Precios[PRODUCTO],0)),"")</f>
        <v/>
      </c>
      <c r="G628" s="107"/>
      <c r="H628" s="108"/>
      <c r="I628" s="40"/>
    </row>
    <row r="629" spans="2:9" ht="15.5" x14ac:dyDescent="0.35">
      <c r="B629" s="105"/>
      <c r="C629" s="106" t="str">
        <f t="shared" si="11"/>
        <v/>
      </c>
      <c r="D629" s="107"/>
      <c r="E629" s="107"/>
      <c r="F629" s="106" t="str">
        <f>IFERROR(INDEX(Lista_Precios[CÓDIGO],MATCH(Movimientos!$G629,Lista_Precios[PRODUCTO],0)),"")</f>
        <v/>
      </c>
      <c r="G629" s="107"/>
      <c r="H629" s="108"/>
      <c r="I629" s="40"/>
    </row>
    <row r="630" spans="2:9" ht="15.5" x14ac:dyDescent="0.35">
      <c r="B630" s="105"/>
      <c r="C630" s="106" t="str">
        <f t="shared" si="11"/>
        <v/>
      </c>
      <c r="D630" s="107"/>
      <c r="E630" s="107"/>
      <c r="F630" s="106" t="str">
        <f>IFERROR(INDEX(Lista_Precios[CÓDIGO],MATCH(Movimientos!$G630,Lista_Precios[PRODUCTO],0)),"")</f>
        <v/>
      </c>
      <c r="G630" s="107"/>
      <c r="H630" s="108"/>
      <c r="I630" s="40"/>
    </row>
    <row r="631" spans="2:9" ht="15.5" x14ac:dyDescent="0.35">
      <c r="B631" s="105"/>
      <c r="C631" s="106" t="str">
        <f t="shared" si="11"/>
        <v/>
      </c>
      <c r="D631" s="107"/>
      <c r="E631" s="107"/>
      <c r="F631" s="106" t="str">
        <f>IFERROR(INDEX(Lista_Precios[CÓDIGO],MATCH(Movimientos!$G631,Lista_Precios[PRODUCTO],0)),"")</f>
        <v/>
      </c>
      <c r="G631" s="107"/>
      <c r="H631" s="108"/>
      <c r="I631" s="40"/>
    </row>
    <row r="632" spans="2:9" ht="15.5" x14ac:dyDescent="0.35">
      <c r="B632" s="105"/>
      <c r="C632" s="106" t="str">
        <f t="shared" si="11"/>
        <v/>
      </c>
      <c r="D632" s="107"/>
      <c r="E632" s="107"/>
      <c r="F632" s="106" t="str">
        <f>IFERROR(INDEX(Lista_Precios[CÓDIGO],MATCH(Movimientos!$G632,Lista_Precios[PRODUCTO],0)),"")</f>
        <v/>
      </c>
      <c r="G632" s="107"/>
      <c r="H632" s="108"/>
      <c r="I632" s="40"/>
    </row>
    <row r="633" spans="2:9" ht="15.5" x14ac:dyDescent="0.35">
      <c r="B633" s="105"/>
      <c r="C633" s="106" t="str">
        <f t="shared" si="11"/>
        <v/>
      </c>
      <c r="D633" s="107"/>
      <c r="E633" s="107"/>
      <c r="F633" s="106" t="str">
        <f>IFERROR(INDEX(Lista_Precios[CÓDIGO],MATCH(Movimientos!$G633,Lista_Precios[PRODUCTO],0)),"")</f>
        <v/>
      </c>
      <c r="G633" s="107"/>
      <c r="H633" s="108"/>
      <c r="I633" s="40"/>
    </row>
    <row r="634" spans="2:9" ht="15.5" x14ac:dyDescent="0.35">
      <c r="B634" s="105"/>
      <c r="C634" s="106" t="str">
        <f t="shared" si="11"/>
        <v/>
      </c>
      <c r="D634" s="107"/>
      <c r="E634" s="107"/>
      <c r="F634" s="106" t="str">
        <f>IFERROR(INDEX(Lista_Precios[CÓDIGO],MATCH(Movimientos!$G634,Lista_Precios[PRODUCTO],0)),"")</f>
        <v/>
      </c>
      <c r="G634" s="107"/>
      <c r="H634" s="108"/>
      <c r="I634" s="40"/>
    </row>
    <row r="635" spans="2:9" ht="15.5" x14ac:dyDescent="0.35">
      <c r="B635" s="105"/>
      <c r="C635" s="106" t="str">
        <f t="shared" si="11"/>
        <v/>
      </c>
      <c r="D635" s="107"/>
      <c r="E635" s="107"/>
      <c r="F635" s="106" t="str">
        <f>IFERROR(INDEX(Lista_Precios[CÓDIGO],MATCH(Movimientos!$G635,Lista_Precios[PRODUCTO],0)),"")</f>
        <v/>
      </c>
      <c r="G635" s="107"/>
      <c r="H635" s="108"/>
      <c r="I635" s="40"/>
    </row>
    <row r="636" spans="2:9" ht="15.5" x14ac:dyDescent="0.35">
      <c r="B636" s="105"/>
      <c r="C636" s="106" t="str">
        <f t="shared" si="11"/>
        <v/>
      </c>
      <c r="D636" s="107"/>
      <c r="E636" s="107"/>
      <c r="F636" s="106" t="str">
        <f>IFERROR(INDEX(Lista_Precios[CÓDIGO],MATCH(Movimientos!$G636,Lista_Precios[PRODUCTO],0)),"")</f>
        <v/>
      </c>
      <c r="G636" s="107"/>
      <c r="H636" s="108"/>
      <c r="I636" s="40"/>
    </row>
    <row r="637" spans="2:9" ht="15.5" x14ac:dyDescent="0.35">
      <c r="B637" s="105"/>
      <c r="C637" s="106" t="str">
        <f t="shared" si="11"/>
        <v/>
      </c>
      <c r="D637" s="107"/>
      <c r="E637" s="107"/>
      <c r="F637" s="106" t="str">
        <f>IFERROR(INDEX(Lista_Precios[CÓDIGO],MATCH(Movimientos!$G637,Lista_Precios[PRODUCTO],0)),"")</f>
        <v/>
      </c>
      <c r="G637" s="107"/>
      <c r="H637" s="108"/>
      <c r="I637" s="40"/>
    </row>
    <row r="638" spans="2:9" ht="15.5" x14ac:dyDescent="0.35">
      <c r="B638" s="105"/>
      <c r="C638" s="106" t="str">
        <f t="shared" si="11"/>
        <v/>
      </c>
      <c r="D638" s="107"/>
      <c r="E638" s="107"/>
      <c r="F638" s="106" t="str">
        <f>IFERROR(INDEX(Lista_Precios[CÓDIGO],MATCH(Movimientos!$G638,Lista_Precios[PRODUCTO],0)),"")</f>
        <v/>
      </c>
      <c r="G638" s="107"/>
      <c r="H638" s="108"/>
      <c r="I638" s="40"/>
    </row>
    <row r="639" spans="2:9" ht="15.5" x14ac:dyDescent="0.35">
      <c r="B639" s="105"/>
      <c r="C639" s="106" t="str">
        <f t="shared" si="11"/>
        <v/>
      </c>
      <c r="D639" s="107"/>
      <c r="E639" s="107"/>
      <c r="F639" s="106" t="str">
        <f>IFERROR(INDEX(Lista_Precios[CÓDIGO],MATCH(Movimientos!$G639,Lista_Precios[PRODUCTO],0)),"")</f>
        <v/>
      </c>
      <c r="G639" s="107"/>
      <c r="H639" s="108"/>
      <c r="I639" s="40"/>
    </row>
    <row r="640" spans="2:9" ht="15.5" x14ac:dyDescent="0.35">
      <c r="B640" s="105"/>
      <c r="C640" s="106" t="str">
        <f t="shared" si="11"/>
        <v/>
      </c>
      <c r="D640" s="107"/>
      <c r="E640" s="107"/>
      <c r="F640" s="106" t="str">
        <f>IFERROR(INDEX(Lista_Precios[CÓDIGO],MATCH(Movimientos!$G640,Lista_Precios[PRODUCTO],0)),"")</f>
        <v/>
      </c>
      <c r="G640" s="107"/>
      <c r="H640" s="108"/>
      <c r="I640" s="40"/>
    </row>
    <row r="641" spans="2:9" ht="15.5" x14ac:dyDescent="0.35">
      <c r="B641" s="105"/>
      <c r="C641" s="106" t="str">
        <f t="shared" si="11"/>
        <v/>
      </c>
      <c r="D641" s="107"/>
      <c r="E641" s="107"/>
      <c r="F641" s="106" t="str">
        <f>IFERROR(INDEX(Lista_Precios[CÓDIGO],MATCH(Movimientos!$G641,Lista_Precios[PRODUCTO],0)),"")</f>
        <v/>
      </c>
      <c r="G641" s="107"/>
      <c r="H641" s="108"/>
      <c r="I641" s="40"/>
    </row>
    <row r="642" spans="2:9" ht="15.5" x14ac:dyDescent="0.35">
      <c r="B642" s="105"/>
      <c r="C642" s="106" t="str">
        <f t="shared" si="11"/>
        <v/>
      </c>
      <c r="D642" s="107"/>
      <c r="E642" s="107"/>
      <c r="F642" s="106" t="str">
        <f>IFERROR(INDEX(Lista_Precios[CÓDIGO],MATCH(Movimientos!$G642,Lista_Precios[PRODUCTO],0)),"")</f>
        <v/>
      </c>
      <c r="G642" s="107"/>
      <c r="H642" s="108"/>
      <c r="I642" s="40"/>
    </row>
    <row r="643" spans="2:9" ht="15.5" x14ac:dyDescent="0.35">
      <c r="B643" s="105"/>
      <c r="C643" s="106" t="str">
        <f t="shared" si="11"/>
        <v/>
      </c>
      <c r="D643" s="107"/>
      <c r="E643" s="107"/>
      <c r="F643" s="106" t="str">
        <f>IFERROR(INDEX(Lista_Precios[CÓDIGO],MATCH(Movimientos!$G643,Lista_Precios[PRODUCTO],0)),"")</f>
        <v/>
      </c>
      <c r="G643" s="107"/>
      <c r="H643" s="108"/>
      <c r="I643" s="40"/>
    </row>
    <row r="644" spans="2:9" ht="15.5" x14ac:dyDescent="0.35">
      <c r="B644" s="105"/>
      <c r="C644" s="106" t="str">
        <f t="shared" si="11"/>
        <v/>
      </c>
      <c r="D644" s="107"/>
      <c r="E644" s="107"/>
      <c r="F644" s="106" t="str">
        <f>IFERROR(INDEX(Lista_Precios[CÓDIGO],MATCH(Movimientos!$G644,Lista_Precios[PRODUCTO],0)),"")</f>
        <v/>
      </c>
      <c r="G644" s="107"/>
      <c r="H644" s="108"/>
      <c r="I644" s="40"/>
    </row>
    <row r="645" spans="2:9" ht="15.5" x14ac:dyDescent="0.35">
      <c r="B645" s="105"/>
      <c r="C645" s="106" t="str">
        <f t="shared" si="11"/>
        <v/>
      </c>
      <c r="D645" s="107"/>
      <c r="E645" s="107"/>
      <c r="F645" s="106" t="str">
        <f>IFERROR(INDEX(Lista_Precios[CÓDIGO],MATCH(Movimientos!$G645,Lista_Precios[PRODUCTO],0)),"")</f>
        <v/>
      </c>
      <c r="G645" s="107"/>
      <c r="H645" s="108"/>
      <c r="I645" s="40"/>
    </row>
    <row r="646" spans="2:9" ht="15.5" x14ac:dyDescent="0.35">
      <c r="B646" s="105"/>
      <c r="C646" s="106" t="str">
        <f t="shared" si="11"/>
        <v/>
      </c>
      <c r="D646" s="107"/>
      <c r="E646" s="107"/>
      <c r="F646" s="106" t="str">
        <f>IFERROR(INDEX(Lista_Precios[CÓDIGO],MATCH(Movimientos!$G646,Lista_Precios[PRODUCTO],0)),"")</f>
        <v/>
      </c>
      <c r="G646" s="107"/>
      <c r="H646" s="108"/>
      <c r="I646" s="40"/>
    </row>
    <row r="647" spans="2:9" ht="15.5" x14ac:dyDescent="0.35">
      <c r="B647" s="105"/>
      <c r="C647" s="106" t="str">
        <f t="shared" si="11"/>
        <v/>
      </c>
      <c r="D647" s="107"/>
      <c r="E647" s="107"/>
      <c r="F647" s="106" t="str">
        <f>IFERROR(INDEX(Lista_Precios[CÓDIGO],MATCH(Movimientos!$G647,Lista_Precios[PRODUCTO],0)),"")</f>
        <v/>
      </c>
      <c r="G647" s="107"/>
      <c r="H647" s="108"/>
      <c r="I647" s="40"/>
    </row>
    <row r="648" spans="2:9" ht="15.5" x14ac:dyDescent="0.35">
      <c r="B648" s="105"/>
      <c r="C648" s="106" t="str">
        <f t="shared" si="11"/>
        <v/>
      </c>
      <c r="D648" s="107"/>
      <c r="E648" s="107"/>
      <c r="F648" s="106" t="str">
        <f>IFERROR(INDEX(Lista_Precios[CÓDIGO],MATCH(Movimientos!$G648,Lista_Precios[PRODUCTO],0)),"")</f>
        <v/>
      </c>
      <c r="G648" s="107"/>
      <c r="H648" s="108"/>
      <c r="I648" s="40"/>
    </row>
    <row r="649" spans="2:9" ht="15.5" x14ac:dyDescent="0.35">
      <c r="B649" s="105"/>
      <c r="C649" s="106" t="str">
        <f t="shared" si="11"/>
        <v/>
      </c>
      <c r="D649" s="107"/>
      <c r="E649" s="107"/>
      <c r="F649" s="106" t="str">
        <f>IFERROR(INDEX(Lista_Precios[CÓDIGO],MATCH(Movimientos!$G649,Lista_Precios[PRODUCTO],0)),"")</f>
        <v/>
      </c>
      <c r="G649" s="107"/>
      <c r="H649" s="108"/>
      <c r="I649" s="40"/>
    </row>
    <row r="650" spans="2:9" ht="15.5" x14ac:dyDescent="0.35">
      <c r="B650" s="105"/>
      <c r="C650" s="106" t="str">
        <f t="shared" si="11"/>
        <v/>
      </c>
      <c r="D650" s="107"/>
      <c r="E650" s="107"/>
      <c r="F650" s="106" t="str">
        <f>IFERROR(INDEX(Lista_Precios[CÓDIGO],MATCH(Movimientos!$G650,Lista_Precios[PRODUCTO],0)),"")</f>
        <v/>
      </c>
      <c r="G650" s="107"/>
      <c r="H650" s="108"/>
      <c r="I650" s="40"/>
    </row>
    <row r="651" spans="2:9" ht="15.5" x14ac:dyDescent="0.35">
      <c r="B651" s="105"/>
      <c r="C651" s="106" t="str">
        <f t="shared" si="11"/>
        <v/>
      </c>
      <c r="D651" s="107"/>
      <c r="E651" s="107"/>
      <c r="F651" s="106" t="str">
        <f>IFERROR(INDEX(Lista_Precios[CÓDIGO],MATCH(Movimientos!$G651,Lista_Precios[PRODUCTO],0)),"")</f>
        <v/>
      </c>
      <c r="G651" s="107"/>
      <c r="H651" s="108"/>
      <c r="I651" s="40"/>
    </row>
    <row r="652" spans="2:9" ht="15.5" x14ac:dyDescent="0.35">
      <c r="B652" s="105"/>
      <c r="C652" s="106" t="str">
        <f t="shared" si="11"/>
        <v/>
      </c>
      <c r="D652" s="107"/>
      <c r="E652" s="107"/>
      <c r="F652" s="106" t="str">
        <f>IFERROR(INDEX(Lista_Precios[CÓDIGO],MATCH(Movimientos!$G652,Lista_Precios[PRODUCTO],0)),"")</f>
        <v/>
      </c>
      <c r="G652" s="107"/>
      <c r="H652" s="108"/>
      <c r="I652" s="40"/>
    </row>
    <row r="653" spans="2:9" ht="15.5" x14ac:dyDescent="0.35">
      <c r="B653" s="105"/>
      <c r="C653" s="106" t="str">
        <f t="shared" si="11"/>
        <v/>
      </c>
      <c r="D653" s="107"/>
      <c r="E653" s="107"/>
      <c r="F653" s="106" t="str">
        <f>IFERROR(INDEX(Lista_Precios[CÓDIGO],MATCH(Movimientos!$G653,Lista_Precios[PRODUCTO],0)),"")</f>
        <v/>
      </c>
      <c r="G653" s="107"/>
      <c r="H653" s="108"/>
      <c r="I653" s="40"/>
    </row>
    <row r="654" spans="2:9" ht="15.5" x14ac:dyDescent="0.35">
      <c r="B654" s="105"/>
      <c r="C654" s="106" t="str">
        <f t="shared" si="11"/>
        <v/>
      </c>
      <c r="D654" s="107"/>
      <c r="E654" s="107"/>
      <c r="F654" s="106" t="str">
        <f>IFERROR(INDEX(Lista_Precios[CÓDIGO],MATCH(Movimientos!$G654,Lista_Precios[PRODUCTO],0)),"")</f>
        <v/>
      </c>
      <c r="G654" s="107"/>
      <c r="H654" s="108"/>
      <c r="I654" s="40"/>
    </row>
    <row r="655" spans="2:9" ht="15.5" x14ac:dyDescent="0.35">
      <c r="B655" s="105"/>
      <c r="C655" s="106" t="str">
        <f t="shared" si="11"/>
        <v/>
      </c>
      <c r="D655" s="107"/>
      <c r="E655" s="107"/>
      <c r="F655" s="106" t="str">
        <f>IFERROR(INDEX(Lista_Precios[CÓDIGO],MATCH(Movimientos!$G655,Lista_Precios[PRODUCTO],0)),"")</f>
        <v/>
      </c>
      <c r="G655" s="107"/>
      <c r="H655" s="108"/>
      <c r="I655" s="40"/>
    </row>
    <row r="656" spans="2:9" ht="15.5" x14ac:dyDescent="0.35">
      <c r="B656" s="105"/>
      <c r="C656" s="106" t="str">
        <f t="shared" si="11"/>
        <v/>
      </c>
      <c r="D656" s="107"/>
      <c r="E656" s="107"/>
      <c r="F656" s="106" t="str">
        <f>IFERROR(INDEX(Lista_Precios[CÓDIGO],MATCH(Movimientos!$G656,Lista_Precios[PRODUCTO],0)),"")</f>
        <v/>
      </c>
      <c r="G656" s="107"/>
      <c r="H656" s="108"/>
      <c r="I656" s="40"/>
    </row>
    <row r="657" spans="2:9" ht="15.5" x14ac:dyDescent="0.35">
      <c r="B657" s="105"/>
      <c r="C657" s="106" t="str">
        <f t="shared" si="11"/>
        <v/>
      </c>
      <c r="D657" s="107"/>
      <c r="E657" s="107"/>
      <c r="F657" s="106" t="str">
        <f>IFERROR(INDEX(Lista_Precios[CÓDIGO],MATCH(Movimientos!$G657,Lista_Precios[PRODUCTO],0)),"")</f>
        <v/>
      </c>
      <c r="G657" s="107"/>
      <c r="H657" s="108"/>
      <c r="I657" s="40"/>
    </row>
    <row r="658" spans="2:9" ht="15.5" x14ac:dyDescent="0.35">
      <c r="B658" s="105"/>
      <c r="C658" s="106" t="str">
        <f t="shared" si="11"/>
        <v/>
      </c>
      <c r="D658" s="107"/>
      <c r="E658" s="107"/>
      <c r="F658" s="106" t="str">
        <f>IFERROR(INDEX(Lista_Precios[CÓDIGO],MATCH(Movimientos!$G658,Lista_Precios[PRODUCTO],0)),"")</f>
        <v/>
      </c>
      <c r="G658" s="107"/>
      <c r="H658" s="108"/>
      <c r="I658" s="40"/>
    </row>
    <row r="659" spans="2:9" ht="15.5" x14ac:dyDescent="0.35">
      <c r="B659" s="105"/>
      <c r="C659" s="106" t="str">
        <f t="shared" si="11"/>
        <v/>
      </c>
      <c r="D659" s="107"/>
      <c r="E659" s="107"/>
      <c r="F659" s="106" t="str">
        <f>IFERROR(INDEX(Lista_Precios[CÓDIGO],MATCH(Movimientos!$G659,Lista_Precios[PRODUCTO],0)),"")</f>
        <v/>
      </c>
      <c r="G659" s="107"/>
      <c r="H659" s="108"/>
      <c r="I659" s="40"/>
    </row>
    <row r="660" spans="2:9" ht="15.5" x14ac:dyDescent="0.35">
      <c r="B660" s="105"/>
      <c r="C660" s="106" t="str">
        <f t="shared" si="11"/>
        <v/>
      </c>
      <c r="D660" s="107"/>
      <c r="E660" s="107"/>
      <c r="F660" s="106" t="str">
        <f>IFERROR(INDEX(Lista_Precios[CÓDIGO],MATCH(Movimientos!$G660,Lista_Precios[PRODUCTO],0)),"")</f>
        <v/>
      </c>
      <c r="G660" s="107"/>
      <c r="H660" s="108"/>
      <c r="I660" s="40"/>
    </row>
    <row r="661" spans="2:9" ht="15.5" x14ac:dyDescent="0.35">
      <c r="B661" s="105"/>
      <c r="C661" s="106" t="str">
        <f t="shared" si="11"/>
        <v/>
      </c>
      <c r="D661" s="107"/>
      <c r="E661" s="107"/>
      <c r="F661" s="106" t="str">
        <f>IFERROR(INDEX(Lista_Precios[CÓDIGO],MATCH(Movimientos!$G661,Lista_Precios[PRODUCTO],0)),"")</f>
        <v/>
      </c>
      <c r="G661" s="107"/>
      <c r="H661" s="108"/>
      <c r="I661" s="40"/>
    </row>
    <row r="662" spans="2:9" ht="15.5" x14ac:dyDescent="0.35">
      <c r="B662" s="105"/>
      <c r="C662" s="106" t="str">
        <f t="shared" si="11"/>
        <v/>
      </c>
      <c r="D662" s="107"/>
      <c r="E662" s="107"/>
      <c r="F662" s="106" t="str">
        <f>IFERROR(INDEX(Lista_Precios[CÓDIGO],MATCH(Movimientos!$G662,Lista_Precios[PRODUCTO],0)),"")</f>
        <v/>
      </c>
      <c r="G662" s="107"/>
      <c r="H662" s="108"/>
      <c r="I662" s="40"/>
    </row>
    <row r="663" spans="2:9" ht="15.5" x14ac:dyDescent="0.35">
      <c r="B663" s="105"/>
      <c r="C663" s="106" t="str">
        <f t="shared" si="11"/>
        <v/>
      </c>
      <c r="D663" s="107"/>
      <c r="E663" s="107"/>
      <c r="F663" s="106" t="str">
        <f>IFERROR(INDEX(Lista_Precios[CÓDIGO],MATCH(Movimientos!$G663,Lista_Precios[PRODUCTO],0)),"")</f>
        <v/>
      </c>
      <c r="G663" s="107"/>
      <c r="H663" s="108"/>
      <c r="I663" s="40"/>
    </row>
    <row r="664" spans="2:9" ht="15.5" x14ac:dyDescent="0.35">
      <c r="B664" s="105"/>
      <c r="C664" s="106" t="str">
        <f t="shared" si="11"/>
        <v/>
      </c>
      <c r="D664" s="107"/>
      <c r="E664" s="107"/>
      <c r="F664" s="106" t="str">
        <f>IFERROR(INDEX(Lista_Precios[CÓDIGO],MATCH(Movimientos!$G664,Lista_Precios[PRODUCTO],0)),"")</f>
        <v/>
      </c>
      <c r="G664" s="107"/>
      <c r="H664" s="108"/>
      <c r="I664" s="40"/>
    </row>
    <row r="665" spans="2:9" ht="15.5" x14ac:dyDescent="0.35">
      <c r="B665" s="105"/>
      <c r="C665" s="106" t="str">
        <f t="shared" si="11"/>
        <v/>
      </c>
      <c r="D665" s="107"/>
      <c r="E665" s="107"/>
      <c r="F665" s="106" t="str">
        <f>IFERROR(INDEX(Lista_Precios[CÓDIGO],MATCH(Movimientos!$G665,Lista_Precios[PRODUCTO],0)),"")</f>
        <v/>
      </c>
      <c r="G665" s="107"/>
      <c r="H665" s="108"/>
      <c r="I665" s="40"/>
    </row>
    <row r="666" spans="2:9" ht="15.5" x14ac:dyDescent="0.35">
      <c r="B666" s="105"/>
      <c r="C666" s="106" t="str">
        <f t="shared" si="11"/>
        <v/>
      </c>
      <c r="D666" s="107"/>
      <c r="E666" s="107"/>
      <c r="F666" s="106" t="str">
        <f>IFERROR(INDEX(Lista_Precios[CÓDIGO],MATCH(Movimientos!$G666,Lista_Precios[PRODUCTO],0)),"")</f>
        <v/>
      </c>
      <c r="G666" s="107"/>
      <c r="H666" s="108"/>
      <c r="I666" s="40"/>
    </row>
    <row r="667" spans="2:9" ht="15.5" x14ac:dyDescent="0.35">
      <c r="B667" s="105"/>
      <c r="C667" s="106" t="str">
        <f t="shared" si="11"/>
        <v/>
      </c>
      <c r="D667" s="107"/>
      <c r="E667" s="107"/>
      <c r="F667" s="106" t="str">
        <f>IFERROR(INDEX(Lista_Precios[CÓDIGO],MATCH(Movimientos!$G667,Lista_Precios[PRODUCTO],0)),"")</f>
        <v/>
      </c>
      <c r="G667" s="107"/>
      <c r="H667" s="108"/>
      <c r="I667" s="40"/>
    </row>
    <row r="668" spans="2:9" ht="15.5" x14ac:dyDescent="0.35">
      <c r="B668" s="105"/>
      <c r="C668" s="106" t="str">
        <f t="shared" si="11"/>
        <v/>
      </c>
      <c r="D668" s="107"/>
      <c r="E668" s="107"/>
      <c r="F668" s="106" t="str">
        <f>IFERROR(INDEX(Lista_Precios[CÓDIGO],MATCH(Movimientos!$G668,Lista_Precios[PRODUCTO],0)),"")</f>
        <v/>
      </c>
      <c r="G668" s="107"/>
      <c r="H668" s="108"/>
      <c r="I668" s="40"/>
    </row>
    <row r="669" spans="2:9" ht="15.5" x14ac:dyDescent="0.35">
      <c r="B669" s="105"/>
      <c r="C669" s="106" t="str">
        <f t="shared" si="11"/>
        <v/>
      </c>
      <c r="D669" s="107"/>
      <c r="E669" s="107"/>
      <c r="F669" s="106" t="str">
        <f>IFERROR(INDEX(Lista_Precios[CÓDIGO],MATCH(Movimientos!$G669,Lista_Precios[PRODUCTO],0)),"")</f>
        <v/>
      </c>
      <c r="G669" s="107"/>
      <c r="H669" s="108"/>
      <c r="I669" s="40"/>
    </row>
    <row r="670" spans="2:9" ht="15.5" x14ac:dyDescent="0.35">
      <c r="B670" s="105"/>
      <c r="C670" s="106" t="str">
        <f t="shared" si="11"/>
        <v/>
      </c>
      <c r="D670" s="107"/>
      <c r="E670" s="107"/>
      <c r="F670" s="106" t="str">
        <f>IFERROR(INDEX(Lista_Precios[CÓDIGO],MATCH(Movimientos!$G670,Lista_Precios[PRODUCTO],0)),"")</f>
        <v/>
      </c>
      <c r="G670" s="107"/>
      <c r="H670" s="108"/>
      <c r="I670" s="40"/>
    </row>
    <row r="671" spans="2:9" ht="15.5" x14ac:dyDescent="0.35">
      <c r="B671" s="105"/>
      <c r="C671" s="106" t="str">
        <f t="shared" si="11"/>
        <v/>
      </c>
      <c r="D671" s="107"/>
      <c r="E671" s="107"/>
      <c r="F671" s="106" t="str">
        <f>IFERROR(INDEX(Lista_Precios[CÓDIGO],MATCH(Movimientos!$G671,Lista_Precios[PRODUCTO],0)),"")</f>
        <v/>
      </c>
      <c r="G671" s="107"/>
      <c r="H671" s="108"/>
      <c r="I671" s="40"/>
    </row>
    <row r="672" spans="2:9" ht="15.5" x14ac:dyDescent="0.35">
      <c r="B672" s="105"/>
      <c r="C672" s="106" t="str">
        <f t="shared" si="11"/>
        <v/>
      </c>
      <c r="D672" s="107"/>
      <c r="E672" s="107"/>
      <c r="F672" s="106" t="str">
        <f>IFERROR(INDEX(Lista_Precios[CÓDIGO],MATCH(Movimientos!$G672,Lista_Precios[PRODUCTO],0)),"")</f>
        <v/>
      </c>
      <c r="G672" s="107"/>
      <c r="H672" s="108"/>
      <c r="I672" s="40"/>
    </row>
    <row r="673" spans="2:9" ht="15.5" x14ac:dyDescent="0.35">
      <c r="B673" s="105"/>
      <c r="C673" s="106" t="str">
        <f t="shared" si="11"/>
        <v/>
      </c>
      <c r="D673" s="107"/>
      <c r="E673" s="107"/>
      <c r="F673" s="106" t="str">
        <f>IFERROR(INDEX(Lista_Precios[CÓDIGO],MATCH(Movimientos!$G673,Lista_Precios[PRODUCTO],0)),"")</f>
        <v/>
      </c>
      <c r="G673" s="107"/>
      <c r="H673" s="108"/>
      <c r="I673" s="40"/>
    </row>
    <row r="674" spans="2:9" ht="15.5" x14ac:dyDescent="0.35">
      <c r="B674" s="105"/>
      <c r="C674" s="106" t="str">
        <f t="shared" si="11"/>
        <v/>
      </c>
      <c r="D674" s="107"/>
      <c r="E674" s="107"/>
      <c r="F674" s="106" t="str">
        <f>IFERROR(INDEX(Lista_Precios[CÓDIGO],MATCH(Movimientos!$G674,Lista_Precios[PRODUCTO],0)),"")</f>
        <v/>
      </c>
      <c r="G674" s="107"/>
      <c r="H674" s="108"/>
      <c r="I674" s="40"/>
    </row>
    <row r="675" spans="2:9" ht="15.5" x14ac:dyDescent="0.35">
      <c r="B675" s="105"/>
      <c r="C675" s="106" t="str">
        <f t="shared" si="11"/>
        <v/>
      </c>
      <c r="D675" s="107"/>
      <c r="E675" s="107"/>
      <c r="F675" s="106" t="str">
        <f>IFERROR(INDEX(Lista_Precios[CÓDIGO],MATCH(Movimientos!$G675,Lista_Precios[PRODUCTO],0)),"")</f>
        <v/>
      </c>
      <c r="G675" s="107"/>
      <c r="H675" s="108"/>
      <c r="I675" s="40"/>
    </row>
    <row r="676" spans="2:9" ht="15.5" x14ac:dyDescent="0.35">
      <c r="B676" s="105"/>
      <c r="C676" s="106" t="str">
        <f t="shared" si="11"/>
        <v/>
      </c>
      <c r="D676" s="107"/>
      <c r="E676" s="107"/>
      <c r="F676" s="106" t="str">
        <f>IFERROR(INDEX(Lista_Precios[CÓDIGO],MATCH(Movimientos!$G676,Lista_Precios[PRODUCTO],0)),"")</f>
        <v/>
      </c>
      <c r="G676" s="107"/>
      <c r="H676" s="108"/>
      <c r="I676" s="40"/>
    </row>
    <row r="677" spans="2:9" ht="15.5" x14ac:dyDescent="0.35">
      <c r="B677" s="105"/>
      <c r="C677" s="106" t="str">
        <f t="shared" si="11"/>
        <v/>
      </c>
      <c r="D677" s="107"/>
      <c r="E677" s="107"/>
      <c r="F677" s="106" t="str">
        <f>IFERROR(INDEX(Lista_Precios[CÓDIGO],MATCH(Movimientos!$G677,Lista_Precios[PRODUCTO],0)),"")</f>
        <v/>
      </c>
      <c r="G677" s="107"/>
      <c r="H677" s="108"/>
      <c r="I677" s="40"/>
    </row>
    <row r="678" spans="2:9" ht="15.5" x14ac:dyDescent="0.35">
      <c r="B678" s="105"/>
      <c r="C678" s="106" t="str">
        <f t="shared" si="11"/>
        <v/>
      </c>
      <c r="D678" s="107"/>
      <c r="E678" s="107"/>
      <c r="F678" s="106" t="str">
        <f>IFERROR(INDEX(Lista_Precios[CÓDIGO],MATCH(Movimientos!$G678,Lista_Precios[PRODUCTO],0)),"")</f>
        <v/>
      </c>
      <c r="G678" s="107"/>
      <c r="H678" s="108"/>
      <c r="I678" s="40"/>
    </row>
    <row r="679" spans="2:9" ht="15.5" x14ac:dyDescent="0.35">
      <c r="B679" s="105"/>
      <c r="C679" s="106" t="str">
        <f t="shared" ref="C679:C742" si="12">IF(B679="","",TEXT(B679,"Mmmm"))</f>
        <v/>
      </c>
      <c r="D679" s="107"/>
      <c r="E679" s="107"/>
      <c r="F679" s="106" t="str">
        <f>IFERROR(INDEX(Lista_Precios[CÓDIGO],MATCH(Movimientos!$G679,Lista_Precios[PRODUCTO],0)),"")</f>
        <v/>
      </c>
      <c r="G679" s="107"/>
      <c r="H679" s="108"/>
      <c r="I679" s="40"/>
    </row>
    <row r="680" spans="2:9" ht="15.5" x14ac:dyDescent="0.35">
      <c r="B680" s="105"/>
      <c r="C680" s="106" t="str">
        <f t="shared" si="12"/>
        <v/>
      </c>
      <c r="D680" s="107"/>
      <c r="E680" s="107"/>
      <c r="F680" s="106" t="str">
        <f>IFERROR(INDEX(Lista_Precios[CÓDIGO],MATCH(Movimientos!$G680,Lista_Precios[PRODUCTO],0)),"")</f>
        <v/>
      </c>
      <c r="G680" s="107"/>
      <c r="H680" s="108"/>
      <c r="I680" s="40"/>
    </row>
    <row r="681" spans="2:9" ht="15.5" x14ac:dyDescent="0.35">
      <c r="B681" s="105"/>
      <c r="C681" s="106" t="str">
        <f t="shared" si="12"/>
        <v/>
      </c>
      <c r="D681" s="107"/>
      <c r="E681" s="107"/>
      <c r="F681" s="106" t="str">
        <f>IFERROR(INDEX(Lista_Precios[CÓDIGO],MATCH(Movimientos!$G681,Lista_Precios[PRODUCTO],0)),"")</f>
        <v/>
      </c>
      <c r="G681" s="107"/>
      <c r="H681" s="108"/>
      <c r="I681" s="40"/>
    </row>
    <row r="682" spans="2:9" ht="15.5" x14ac:dyDescent="0.35">
      <c r="B682" s="105"/>
      <c r="C682" s="106" t="str">
        <f t="shared" si="12"/>
        <v/>
      </c>
      <c r="D682" s="107"/>
      <c r="E682" s="107"/>
      <c r="F682" s="106" t="str">
        <f>IFERROR(INDEX(Lista_Precios[CÓDIGO],MATCH(Movimientos!$G682,Lista_Precios[PRODUCTO],0)),"")</f>
        <v/>
      </c>
      <c r="G682" s="107"/>
      <c r="H682" s="108"/>
      <c r="I682" s="40"/>
    </row>
    <row r="683" spans="2:9" ht="15.5" x14ac:dyDescent="0.35">
      <c r="B683" s="105"/>
      <c r="C683" s="106" t="str">
        <f t="shared" si="12"/>
        <v/>
      </c>
      <c r="D683" s="107"/>
      <c r="E683" s="107"/>
      <c r="F683" s="106" t="str">
        <f>IFERROR(INDEX(Lista_Precios[CÓDIGO],MATCH(Movimientos!$G683,Lista_Precios[PRODUCTO],0)),"")</f>
        <v/>
      </c>
      <c r="G683" s="107"/>
      <c r="H683" s="108"/>
      <c r="I683" s="40"/>
    </row>
    <row r="684" spans="2:9" ht="15.5" x14ac:dyDescent="0.35">
      <c r="B684" s="105"/>
      <c r="C684" s="106" t="str">
        <f t="shared" si="12"/>
        <v/>
      </c>
      <c r="D684" s="107"/>
      <c r="E684" s="107"/>
      <c r="F684" s="106" t="str">
        <f>IFERROR(INDEX(Lista_Precios[CÓDIGO],MATCH(Movimientos!$G684,Lista_Precios[PRODUCTO],0)),"")</f>
        <v/>
      </c>
      <c r="G684" s="107"/>
      <c r="H684" s="108"/>
      <c r="I684" s="40"/>
    </row>
    <row r="685" spans="2:9" ht="15.5" x14ac:dyDescent="0.35">
      <c r="B685" s="105"/>
      <c r="C685" s="106" t="str">
        <f t="shared" si="12"/>
        <v/>
      </c>
      <c r="D685" s="107"/>
      <c r="E685" s="107"/>
      <c r="F685" s="106" t="str">
        <f>IFERROR(INDEX(Lista_Precios[CÓDIGO],MATCH(Movimientos!$G685,Lista_Precios[PRODUCTO],0)),"")</f>
        <v/>
      </c>
      <c r="G685" s="107"/>
      <c r="H685" s="108"/>
      <c r="I685" s="40"/>
    </row>
    <row r="686" spans="2:9" ht="15.5" x14ac:dyDescent="0.35">
      <c r="B686" s="105"/>
      <c r="C686" s="106" t="str">
        <f t="shared" si="12"/>
        <v/>
      </c>
      <c r="D686" s="107"/>
      <c r="E686" s="107"/>
      <c r="F686" s="106" t="str">
        <f>IFERROR(INDEX(Lista_Precios[CÓDIGO],MATCH(Movimientos!$G686,Lista_Precios[PRODUCTO],0)),"")</f>
        <v/>
      </c>
      <c r="G686" s="107"/>
      <c r="H686" s="108"/>
      <c r="I686" s="40"/>
    </row>
    <row r="687" spans="2:9" ht="15.5" x14ac:dyDescent="0.35">
      <c r="B687" s="105"/>
      <c r="C687" s="106" t="str">
        <f t="shared" si="12"/>
        <v/>
      </c>
      <c r="D687" s="107"/>
      <c r="E687" s="107"/>
      <c r="F687" s="106" t="str">
        <f>IFERROR(INDEX(Lista_Precios[CÓDIGO],MATCH(Movimientos!$G687,Lista_Precios[PRODUCTO],0)),"")</f>
        <v/>
      </c>
      <c r="G687" s="107"/>
      <c r="H687" s="108"/>
      <c r="I687" s="40"/>
    </row>
    <row r="688" spans="2:9" ht="15.5" x14ac:dyDescent="0.35">
      <c r="B688" s="105"/>
      <c r="C688" s="106" t="str">
        <f t="shared" si="12"/>
        <v/>
      </c>
      <c r="D688" s="107"/>
      <c r="E688" s="107"/>
      <c r="F688" s="106" t="str">
        <f>IFERROR(INDEX(Lista_Precios[CÓDIGO],MATCH(Movimientos!$G688,Lista_Precios[PRODUCTO],0)),"")</f>
        <v/>
      </c>
      <c r="G688" s="107"/>
      <c r="H688" s="108"/>
      <c r="I688" s="40"/>
    </row>
    <row r="689" spans="2:9" ht="15.5" x14ac:dyDescent="0.35">
      <c r="B689" s="105"/>
      <c r="C689" s="106" t="str">
        <f t="shared" si="12"/>
        <v/>
      </c>
      <c r="D689" s="107"/>
      <c r="E689" s="107"/>
      <c r="F689" s="106" t="str">
        <f>IFERROR(INDEX(Lista_Precios[CÓDIGO],MATCH(Movimientos!$G689,Lista_Precios[PRODUCTO],0)),"")</f>
        <v/>
      </c>
      <c r="G689" s="107"/>
      <c r="H689" s="108"/>
      <c r="I689" s="40"/>
    </row>
    <row r="690" spans="2:9" ht="15.5" x14ac:dyDescent="0.35">
      <c r="B690" s="105"/>
      <c r="C690" s="106" t="str">
        <f t="shared" si="12"/>
        <v/>
      </c>
      <c r="D690" s="107"/>
      <c r="E690" s="107"/>
      <c r="F690" s="106" t="str">
        <f>IFERROR(INDEX(Lista_Precios[CÓDIGO],MATCH(Movimientos!$G690,Lista_Precios[PRODUCTO],0)),"")</f>
        <v/>
      </c>
      <c r="G690" s="107"/>
      <c r="H690" s="108"/>
      <c r="I690" s="40"/>
    </row>
    <row r="691" spans="2:9" ht="15.5" x14ac:dyDescent="0.35">
      <c r="B691" s="105"/>
      <c r="C691" s="106" t="str">
        <f t="shared" si="12"/>
        <v/>
      </c>
      <c r="D691" s="107"/>
      <c r="E691" s="107"/>
      <c r="F691" s="106" t="str">
        <f>IFERROR(INDEX(Lista_Precios[CÓDIGO],MATCH(Movimientos!$G691,Lista_Precios[PRODUCTO],0)),"")</f>
        <v/>
      </c>
      <c r="G691" s="107"/>
      <c r="H691" s="108"/>
      <c r="I691" s="40"/>
    </row>
    <row r="692" spans="2:9" ht="15.5" x14ac:dyDescent="0.35">
      <c r="B692" s="105"/>
      <c r="C692" s="106" t="str">
        <f t="shared" si="12"/>
        <v/>
      </c>
      <c r="D692" s="107"/>
      <c r="E692" s="107"/>
      <c r="F692" s="106" t="str">
        <f>IFERROR(INDEX(Lista_Precios[CÓDIGO],MATCH(Movimientos!$G692,Lista_Precios[PRODUCTO],0)),"")</f>
        <v/>
      </c>
      <c r="G692" s="107"/>
      <c r="H692" s="108"/>
      <c r="I692" s="40"/>
    </row>
    <row r="693" spans="2:9" ht="15.5" x14ac:dyDescent="0.35">
      <c r="B693" s="105"/>
      <c r="C693" s="106" t="str">
        <f t="shared" si="12"/>
        <v/>
      </c>
      <c r="D693" s="107"/>
      <c r="E693" s="107"/>
      <c r="F693" s="106" t="str">
        <f>IFERROR(INDEX(Lista_Precios[CÓDIGO],MATCH(Movimientos!$G693,Lista_Precios[PRODUCTO],0)),"")</f>
        <v/>
      </c>
      <c r="G693" s="107"/>
      <c r="H693" s="108"/>
      <c r="I693" s="40"/>
    </row>
    <row r="694" spans="2:9" ht="15.5" x14ac:dyDescent="0.35">
      <c r="B694" s="105"/>
      <c r="C694" s="106" t="str">
        <f t="shared" si="12"/>
        <v/>
      </c>
      <c r="D694" s="107"/>
      <c r="E694" s="107"/>
      <c r="F694" s="106" t="str">
        <f>IFERROR(INDEX(Lista_Precios[CÓDIGO],MATCH(Movimientos!$G694,Lista_Precios[PRODUCTO],0)),"")</f>
        <v/>
      </c>
      <c r="G694" s="107"/>
      <c r="H694" s="108"/>
      <c r="I694" s="40"/>
    </row>
    <row r="695" spans="2:9" ht="15.5" x14ac:dyDescent="0.35">
      <c r="B695" s="105"/>
      <c r="C695" s="106" t="str">
        <f t="shared" si="12"/>
        <v/>
      </c>
      <c r="D695" s="107"/>
      <c r="E695" s="107"/>
      <c r="F695" s="106" t="str">
        <f>IFERROR(INDEX(Lista_Precios[CÓDIGO],MATCH(Movimientos!$G695,Lista_Precios[PRODUCTO],0)),"")</f>
        <v/>
      </c>
      <c r="G695" s="107"/>
      <c r="H695" s="108"/>
      <c r="I695" s="40"/>
    </row>
    <row r="696" spans="2:9" ht="15.5" x14ac:dyDescent="0.35">
      <c r="B696" s="105"/>
      <c r="C696" s="106" t="str">
        <f t="shared" si="12"/>
        <v/>
      </c>
      <c r="D696" s="107"/>
      <c r="E696" s="107"/>
      <c r="F696" s="106" t="str">
        <f>IFERROR(INDEX(Lista_Precios[CÓDIGO],MATCH(Movimientos!$G696,Lista_Precios[PRODUCTO],0)),"")</f>
        <v/>
      </c>
      <c r="G696" s="107"/>
      <c r="H696" s="108"/>
      <c r="I696" s="40"/>
    </row>
    <row r="697" spans="2:9" ht="15.5" x14ac:dyDescent="0.35">
      <c r="B697" s="105"/>
      <c r="C697" s="106" t="str">
        <f t="shared" si="12"/>
        <v/>
      </c>
      <c r="D697" s="107"/>
      <c r="E697" s="107"/>
      <c r="F697" s="106" t="str">
        <f>IFERROR(INDEX(Lista_Precios[CÓDIGO],MATCH(Movimientos!$G697,Lista_Precios[PRODUCTO],0)),"")</f>
        <v/>
      </c>
      <c r="G697" s="107"/>
      <c r="H697" s="108"/>
      <c r="I697" s="40"/>
    </row>
    <row r="698" spans="2:9" ht="15.5" x14ac:dyDescent="0.35">
      <c r="B698" s="105"/>
      <c r="C698" s="106" t="str">
        <f t="shared" si="12"/>
        <v/>
      </c>
      <c r="D698" s="107"/>
      <c r="E698" s="107"/>
      <c r="F698" s="106" t="str">
        <f>IFERROR(INDEX(Lista_Precios[CÓDIGO],MATCH(Movimientos!$G698,Lista_Precios[PRODUCTO],0)),"")</f>
        <v/>
      </c>
      <c r="G698" s="107"/>
      <c r="H698" s="108"/>
      <c r="I698" s="40"/>
    </row>
    <row r="699" spans="2:9" ht="15.5" x14ac:dyDescent="0.35">
      <c r="B699" s="105"/>
      <c r="C699" s="106" t="str">
        <f t="shared" si="12"/>
        <v/>
      </c>
      <c r="D699" s="107"/>
      <c r="E699" s="107"/>
      <c r="F699" s="106" t="str">
        <f>IFERROR(INDEX(Lista_Precios[CÓDIGO],MATCH(Movimientos!$G699,Lista_Precios[PRODUCTO],0)),"")</f>
        <v/>
      </c>
      <c r="G699" s="107"/>
      <c r="H699" s="108"/>
      <c r="I699" s="40"/>
    </row>
    <row r="700" spans="2:9" ht="15.5" x14ac:dyDescent="0.35">
      <c r="B700" s="105"/>
      <c r="C700" s="106" t="str">
        <f t="shared" si="12"/>
        <v/>
      </c>
      <c r="D700" s="107"/>
      <c r="E700" s="107"/>
      <c r="F700" s="106" t="str">
        <f>IFERROR(INDEX(Lista_Precios[CÓDIGO],MATCH(Movimientos!$G700,Lista_Precios[PRODUCTO],0)),"")</f>
        <v/>
      </c>
      <c r="G700" s="107"/>
      <c r="H700" s="108"/>
      <c r="I700" s="40"/>
    </row>
    <row r="701" spans="2:9" ht="15.5" x14ac:dyDescent="0.35">
      <c r="B701" s="105"/>
      <c r="C701" s="106" t="str">
        <f t="shared" si="12"/>
        <v/>
      </c>
      <c r="D701" s="107"/>
      <c r="E701" s="107"/>
      <c r="F701" s="106" t="str">
        <f>IFERROR(INDEX(Lista_Precios[CÓDIGO],MATCH(Movimientos!$G701,Lista_Precios[PRODUCTO],0)),"")</f>
        <v/>
      </c>
      <c r="G701" s="107"/>
      <c r="H701" s="108"/>
      <c r="I701" s="40"/>
    </row>
    <row r="702" spans="2:9" ht="15.5" x14ac:dyDescent="0.35">
      <c r="B702" s="105"/>
      <c r="C702" s="106" t="str">
        <f t="shared" si="12"/>
        <v/>
      </c>
      <c r="D702" s="107"/>
      <c r="E702" s="107"/>
      <c r="F702" s="106" t="str">
        <f>IFERROR(INDEX(Lista_Precios[CÓDIGO],MATCH(Movimientos!$G702,Lista_Precios[PRODUCTO],0)),"")</f>
        <v/>
      </c>
      <c r="G702" s="107"/>
      <c r="H702" s="108"/>
      <c r="I702" s="40"/>
    </row>
    <row r="703" spans="2:9" ht="15.5" x14ac:dyDescent="0.35">
      <c r="B703" s="105"/>
      <c r="C703" s="106" t="str">
        <f t="shared" si="12"/>
        <v/>
      </c>
      <c r="D703" s="107"/>
      <c r="E703" s="107"/>
      <c r="F703" s="106" t="str">
        <f>IFERROR(INDEX(Lista_Precios[CÓDIGO],MATCH(Movimientos!$G703,Lista_Precios[PRODUCTO],0)),"")</f>
        <v/>
      </c>
      <c r="G703" s="107"/>
      <c r="H703" s="108"/>
      <c r="I703" s="40"/>
    </row>
    <row r="704" spans="2:9" ht="15.5" x14ac:dyDescent="0.35">
      <c r="B704" s="105"/>
      <c r="C704" s="106" t="str">
        <f t="shared" si="12"/>
        <v/>
      </c>
      <c r="D704" s="107"/>
      <c r="E704" s="107"/>
      <c r="F704" s="106" t="str">
        <f>IFERROR(INDEX(Lista_Precios[CÓDIGO],MATCH(Movimientos!$G704,Lista_Precios[PRODUCTO],0)),"")</f>
        <v/>
      </c>
      <c r="G704" s="107"/>
      <c r="H704" s="108"/>
      <c r="I704" s="40"/>
    </row>
    <row r="705" spans="2:9" ht="15.5" x14ac:dyDescent="0.35">
      <c r="B705" s="105"/>
      <c r="C705" s="106" t="str">
        <f t="shared" si="12"/>
        <v/>
      </c>
      <c r="D705" s="107"/>
      <c r="E705" s="107"/>
      <c r="F705" s="106" t="str">
        <f>IFERROR(INDEX(Lista_Precios[CÓDIGO],MATCH(Movimientos!$G705,Lista_Precios[PRODUCTO],0)),"")</f>
        <v/>
      </c>
      <c r="G705" s="107"/>
      <c r="H705" s="108"/>
      <c r="I705" s="40"/>
    </row>
    <row r="706" spans="2:9" ht="15.5" x14ac:dyDescent="0.35">
      <c r="B706" s="105"/>
      <c r="C706" s="106" t="str">
        <f t="shared" si="12"/>
        <v/>
      </c>
      <c r="D706" s="107"/>
      <c r="E706" s="107"/>
      <c r="F706" s="106" t="str">
        <f>IFERROR(INDEX(Lista_Precios[CÓDIGO],MATCH(Movimientos!$G706,Lista_Precios[PRODUCTO],0)),"")</f>
        <v/>
      </c>
      <c r="G706" s="107"/>
      <c r="H706" s="108"/>
      <c r="I706" s="40"/>
    </row>
    <row r="707" spans="2:9" ht="15.5" x14ac:dyDescent="0.35">
      <c r="B707" s="105"/>
      <c r="C707" s="106" t="str">
        <f t="shared" si="12"/>
        <v/>
      </c>
      <c r="D707" s="107"/>
      <c r="E707" s="107"/>
      <c r="F707" s="106" t="str">
        <f>IFERROR(INDEX(Lista_Precios[CÓDIGO],MATCH(Movimientos!$G707,Lista_Precios[PRODUCTO],0)),"")</f>
        <v/>
      </c>
      <c r="G707" s="107"/>
      <c r="H707" s="108"/>
      <c r="I707" s="40"/>
    </row>
    <row r="708" spans="2:9" ht="15.5" x14ac:dyDescent="0.35">
      <c r="B708" s="105"/>
      <c r="C708" s="106" t="str">
        <f t="shared" si="12"/>
        <v/>
      </c>
      <c r="D708" s="107"/>
      <c r="E708" s="107"/>
      <c r="F708" s="106" t="str">
        <f>IFERROR(INDEX(Lista_Precios[CÓDIGO],MATCH(Movimientos!$G708,Lista_Precios[PRODUCTO],0)),"")</f>
        <v/>
      </c>
      <c r="G708" s="107"/>
      <c r="H708" s="108"/>
      <c r="I708" s="40"/>
    </row>
    <row r="709" spans="2:9" ht="15.5" x14ac:dyDescent="0.35">
      <c r="B709" s="105"/>
      <c r="C709" s="106" t="str">
        <f t="shared" si="12"/>
        <v/>
      </c>
      <c r="D709" s="107"/>
      <c r="E709" s="107"/>
      <c r="F709" s="106" t="str">
        <f>IFERROR(INDEX(Lista_Precios[CÓDIGO],MATCH(Movimientos!$G709,Lista_Precios[PRODUCTO],0)),"")</f>
        <v/>
      </c>
      <c r="G709" s="107"/>
      <c r="H709" s="108"/>
      <c r="I709" s="40"/>
    </row>
    <row r="710" spans="2:9" ht="15.5" x14ac:dyDescent="0.35">
      <c r="B710" s="105"/>
      <c r="C710" s="106" t="str">
        <f t="shared" si="12"/>
        <v/>
      </c>
      <c r="D710" s="107"/>
      <c r="E710" s="107"/>
      <c r="F710" s="106" t="str">
        <f>IFERROR(INDEX(Lista_Precios[CÓDIGO],MATCH(Movimientos!$G710,Lista_Precios[PRODUCTO],0)),"")</f>
        <v/>
      </c>
      <c r="G710" s="107"/>
      <c r="H710" s="108"/>
      <c r="I710" s="40"/>
    </row>
    <row r="711" spans="2:9" ht="15.5" x14ac:dyDescent="0.35">
      <c r="B711" s="105"/>
      <c r="C711" s="106" t="str">
        <f t="shared" si="12"/>
        <v/>
      </c>
      <c r="D711" s="107"/>
      <c r="E711" s="107"/>
      <c r="F711" s="106" t="str">
        <f>IFERROR(INDEX(Lista_Precios[CÓDIGO],MATCH(Movimientos!$G711,Lista_Precios[PRODUCTO],0)),"")</f>
        <v/>
      </c>
      <c r="G711" s="107"/>
      <c r="H711" s="108"/>
      <c r="I711" s="40"/>
    </row>
    <row r="712" spans="2:9" ht="15.5" x14ac:dyDescent="0.35">
      <c r="B712" s="105"/>
      <c r="C712" s="106" t="str">
        <f t="shared" si="12"/>
        <v/>
      </c>
      <c r="D712" s="107"/>
      <c r="E712" s="107"/>
      <c r="F712" s="106" t="str">
        <f>IFERROR(INDEX(Lista_Precios[CÓDIGO],MATCH(Movimientos!$G712,Lista_Precios[PRODUCTO],0)),"")</f>
        <v/>
      </c>
      <c r="G712" s="107"/>
      <c r="H712" s="108"/>
      <c r="I712" s="40"/>
    </row>
    <row r="713" spans="2:9" ht="15.5" x14ac:dyDescent="0.35">
      <c r="B713" s="105"/>
      <c r="C713" s="106" t="str">
        <f t="shared" si="12"/>
        <v/>
      </c>
      <c r="D713" s="107"/>
      <c r="E713" s="107"/>
      <c r="F713" s="106" t="str">
        <f>IFERROR(INDEX(Lista_Precios[CÓDIGO],MATCH(Movimientos!$G713,Lista_Precios[PRODUCTO],0)),"")</f>
        <v/>
      </c>
      <c r="G713" s="107"/>
      <c r="H713" s="108"/>
      <c r="I713" s="40"/>
    </row>
    <row r="714" spans="2:9" ht="15.5" x14ac:dyDescent="0.35">
      <c r="B714" s="105"/>
      <c r="C714" s="106" t="str">
        <f t="shared" si="12"/>
        <v/>
      </c>
      <c r="D714" s="107"/>
      <c r="E714" s="107"/>
      <c r="F714" s="106" t="str">
        <f>IFERROR(INDEX(Lista_Precios[CÓDIGO],MATCH(Movimientos!$G714,Lista_Precios[PRODUCTO],0)),"")</f>
        <v/>
      </c>
      <c r="G714" s="107"/>
      <c r="H714" s="108"/>
      <c r="I714" s="40"/>
    </row>
    <row r="715" spans="2:9" ht="15.5" x14ac:dyDescent="0.35">
      <c r="B715" s="105"/>
      <c r="C715" s="106" t="str">
        <f t="shared" si="12"/>
        <v/>
      </c>
      <c r="D715" s="107"/>
      <c r="E715" s="107"/>
      <c r="F715" s="106" t="str">
        <f>IFERROR(INDEX(Lista_Precios[CÓDIGO],MATCH(Movimientos!$G715,Lista_Precios[PRODUCTO],0)),"")</f>
        <v/>
      </c>
      <c r="G715" s="107"/>
      <c r="H715" s="108"/>
      <c r="I715" s="40"/>
    </row>
    <row r="716" spans="2:9" ht="15.5" x14ac:dyDescent="0.35">
      <c r="B716" s="105"/>
      <c r="C716" s="106" t="str">
        <f t="shared" si="12"/>
        <v/>
      </c>
      <c r="D716" s="107"/>
      <c r="E716" s="107"/>
      <c r="F716" s="106" t="str">
        <f>IFERROR(INDEX(Lista_Precios[CÓDIGO],MATCH(Movimientos!$G716,Lista_Precios[PRODUCTO],0)),"")</f>
        <v/>
      </c>
      <c r="G716" s="107"/>
      <c r="H716" s="108"/>
      <c r="I716" s="40"/>
    </row>
    <row r="717" spans="2:9" ht="15.5" x14ac:dyDescent="0.35">
      <c r="B717" s="105"/>
      <c r="C717" s="106" t="str">
        <f t="shared" si="12"/>
        <v/>
      </c>
      <c r="D717" s="107"/>
      <c r="E717" s="107"/>
      <c r="F717" s="106" t="str">
        <f>IFERROR(INDEX(Lista_Precios[CÓDIGO],MATCH(Movimientos!$G717,Lista_Precios[PRODUCTO],0)),"")</f>
        <v/>
      </c>
      <c r="G717" s="107"/>
      <c r="H717" s="108"/>
      <c r="I717" s="40"/>
    </row>
    <row r="718" spans="2:9" ht="15.5" x14ac:dyDescent="0.35">
      <c r="B718" s="105"/>
      <c r="C718" s="106" t="str">
        <f t="shared" si="12"/>
        <v/>
      </c>
      <c r="D718" s="107"/>
      <c r="E718" s="107"/>
      <c r="F718" s="106" t="str">
        <f>IFERROR(INDEX(Lista_Precios[CÓDIGO],MATCH(Movimientos!$G718,Lista_Precios[PRODUCTO],0)),"")</f>
        <v/>
      </c>
      <c r="G718" s="107"/>
      <c r="H718" s="108"/>
      <c r="I718" s="40"/>
    </row>
    <row r="719" spans="2:9" ht="15.5" x14ac:dyDescent="0.35">
      <c r="B719" s="105"/>
      <c r="C719" s="106" t="str">
        <f t="shared" si="12"/>
        <v/>
      </c>
      <c r="D719" s="107"/>
      <c r="E719" s="107"/>
      <c r="F719" s="106" t="str">
        <f>IFERROR(INDEX(Lista_Precios[CÓDIGO],MATCH(Movimientos!$G719,Lista_Precios[PRODUCTO],0)),"")</f>
        <v/>
      </c>
      <c r="G719" s="107"/>
      <c r="H719" s="108"/>
      <c r="I719" s="40"/>
    </row>
    <row r="720" spans="2:9" ht="15.5" x14ac:dyDescent="0.35">
      <c r="B720" s="105"/>
      <c r="C720" s="106" t="str">
        <f t="shared" si="12"/>
        <v/>
      </c>
      <c r="D720" s="107"/>
      <c r="E720" s="107"/>
      <c r="F720" s="106" t="str">
        <f>IFERROR(INDEX(Lista_Precios[CÓDIGO],MATCH(Movimientos!$G720,Lista_Precios[PRODUCTO],0)),"")</f>
        <v/>
      </c>
      <c r="G720" s="107"/>
      <c r="H720" s="108"/>
      <c r="I720" s="40"/>
    </row>
    <row r="721" spans="2:9" ht="15.5" x14ac:dyDescent="0.35">
      <c r="B721" s="105"/>
      <c r="C721" s="106" t="str">
        <f t="shared" si="12"/>
        <v/>
      </c>
      <c r="D721" s="107"/>
      <c r="E721" s="107"/>
      <c r="F721" s="106" t="str">
        <f>IFERROR(INDEX(Lista_Precios[CÓDIGO],MATCH(Movimientos!$G721,Lista_Precios[PRODUCTO],0)),"")</f>
        <v/>
      </c>
      <c r="G721" s="107"/>
      <c r="H721" s="108"/>
      <c r="I721" s="40"/>
    </row>
    <row r="722" spans="2:9" ht="15.5" x14ac:dyDescent="0.35">
      <c r="B722" s="105"/>
      <c r="C722" s="106" t="str">
        <f t="shared" si="12"/>
        <v/>
      </c>
      <c r="D722" s="107"/>
      <c r="E722" s="107"/>
      <c r="F722" s="106" t="str">
        <f>IFERROR(INDEX(Lista_Precios[CÓDIGO],MATCH(Movimientos!$G722,Lista_Precios[PRODUCTO],0)),"")</f>
        <v/>
      </c>
      <c r="G722" s="107"/>
      <c r="H722" s="108"/>
      <c r="I722" s="40"/>
    </row>
    <row r="723" spans="2:9" ht="15.5" x14ac:dyDescent="0.35">
      <c r="B723" s="105"/>
      <c r="C723" s="106" t="str">
        <f t="shared" si="12"/>
        <v/>
      </c>
      <c r="D723" s="107"/>
      <c r="E723" s="107"/>
      <c r="F723" s="106" t="str">
        <f>IFERROR(INDEX(Lista_Precios[CÓDIGO],MATCH(Movimientos!$G723,Lista_Precios[PRODUCTO],0)),"")</f>
        <v/>
      </c>
      <c r="G723" s="107"/>
      <c r="H723" s="108"/>
      <c r="I723" s="40"/>
    </row>
    <row r="724" spans="2:9" ht="15.5" x14ac:dyDescent="0.35">
      <c r="B724" s="105"/>
      <c r="C724" s="106" t="str">
        <f t="shared" si="12"/>
        <v/>
      </c>
      <c r="D724" s="107"/>
      <c r="E724" s="107"/>
      <c r="F724" s="106" t="str">
        <f>IFERROR(INDEX(Lista_Precios[CÓDIGO],MATCH(Movimientos!$G724,Lista_Precios[PRODUCTO],0)),"")</f>
        <v/>
      </c>
      <c r="G724" s="107"/>
      <c r="H724" s="108"/>
      <c r="I724" s="40"/>
    </row>
    <row r="725" spans="2:9" ht="15.5" x14ac:dyDescent="0.35">
      <c r="B725" s="105"/>
      <c r="C725" s="106" t="str">
        <f t="shared" si="12"/>
        <v/>
      </c>
      <c r="D725" s="107"/>
      <c r="E725" s="107"/>
      <c r="F725" s="106" t="str">
        <f>IFERROR(INDEX(Lista_Precios[CÓDIGO],MATCH(Movimientos!$G725,Lista_Precios[PRODUCTO],0)),"")</f>
        <v/>
      </c>
      <c r="G725" s="107"/>
      <c r="H725" s="108"/>
      <c r="I725" s="40"/>
    </row>
    <row r="726" spans="2:9" ht="15.5" x14ac:dyDescent="0.35">
      <c r="B726" s="105"/>
      <c r="C726" s="106" t="str">
        <f t="shared" si="12"/>
        <v/>
      </c>
      <c r="D726" s="107"/>
      <c r="E726" s="107"/>
      <c r="F726" s="106" t="str">
        <f>IFERROR(INDEX(Lista_Precios[CÓDIGO],MATCH(Movimientos!$G726,Lista_Precios[PRODUCTO],0)),"")</f>
        <v/>
      </c>
      <c r="G726" s="107"/>
      <c r="H726" s="108"/>
      <c r="I726" s="40"/>
    </row>
    <row r="727" spans="2:9" ht="15.5" x14ac:dyDescent="0.35">
      <c r="B727" s="105"/>
      <c r="C727" s="106" t="str">
        <f t="shared" si="12"/>
        <v/>
      </c>
      <c r="D727" s="107"/>
      <c r="E727" s="107"/>
      <c r="F727" s="106" t="str">
        <f>IFERROR(INDEX(Lista_Precios[CÓDIGO],MATCH(Movimientos!$G727,Lista_Precios[PRODUCTO],0)),"")</f>
        <v/>
      </c>
      <c r="G727" s="107"/>
      <c r="H727" s="108"/>
      <c r="I727" s="40"/>
    </row>
    <row r="728" spans="2:9" ht="15.5" x14ac:dyDescent="0.35">
      <c r="B728" s="105"/>
      <c r="C728" s="106" t="str">
        <f t="shared" si="12"/>
        <v/>
      </c>
      <c r="D728" s="107"/>
      <c r="E728" s="107"/>
      <c r="F728" s="106" t="str">
        <f>IFERROR(INDEX(Lista_Precios[CÓDIGO],MATCH(Movimientos!$G728,Lista_Precios[PRODUCTO],0)),"")</f>
        <v/>
      </c>
      <c r="G728" s="107"/>
      <c r="H728" s="108"/>
      <c r="I728" s="40"/>
    </row>
    <row r="729" spans="2:9" ht="15.5" x14ac:dyDescent="0.35">
      <c r="B729" s="105"/>
      <c r="C729" s="106" t="str">
        <f t="shared" si="12"/>
        <v/>
      </c>
      <c r="D729" s="107"/>
      <c r="E729" s="107"/>
      <c r="F729" s="106" t="str">
        <f>IFERROR(INDEX(Lista_Precios[CÓDIGO],MATCH(Movimientos!$G729,Lista_Precios[PRODUCTO],0)),"")</f>
        <v/>
      </c>
      <c r="G729" s="107"/>
      <c r="H729" s="108"/>
      <c r="I729" s="40"/>
    </row>
    <row r="730" spans="2:9" ht="15.5" x14ac:dyDescent="0.35">
      <c r="B730" s="105"/>
      <c r="C730" s="106" t="str">
        <f t="shared" si="12"/>
        <v/>
      </c>
      <c r="D730" s="107"/>
      <c r="E730" s="107"/>
      <c r="F730" s="106" t="str">
        <f>IFERROR(INDEX(Lista_Precios[CÓDIGO],MATCH(Movimientos!$G730,Lista_Precios[PRODUCTO],0)),"")</f>
        <v/>
      </c>
      <c r="G730" s="107"/>
      <c r="H730" s="108"/>
      <c r="I730" s="40"/>
    </row>
    <row r="731" spans="2:9" ht="15.5" x14ac:dyDescent="0.35">
      <c r="B731" s="105"/>
      <c r="C731" s="106" t="str">
        <f t="shared" si="12"/>
        <v/>
      </c>
      <c r="D731" s="107"/>
      <c r="E731" s="107"/>
      <c r="F731" s="106" t="str">
        <f>IFERROR(INDEX(Lista_Precios[CÓDIGO],MATCH(Movimientos!$G731,Lista_Precios[PRODUCTO],0)),"")</f>
        <v/>
      </c>
      <c r="G731" s="107"/>
      <c r="H731" s="108"/>
      <c r="I731" s="40"/>
    </row>
    <row r="732" spans="2:9" ht="15.5" x14ac:dyDescent="0.35">
      <c r="B732" s="105"/>
      <c r="C732" s="106" t="str">
        <f t="shared" si="12"/>
        <v/>
      </c>
      <c r="D732" s="107"/>
      <c r="E732" s="107"/>
      <c r="F732" s="106" t="str">
        <f>IFERROR(INDEX(Lista_Precios[CÓDIGO],MATCH(Movimientos!$G732,Lista_Precios[PRODUCTO],0)),"")</f>
        <v/>
      </c>
      <c r="G732" s="107"/>
      <c r="H732" s="108"/>
      <c r="I732" s="40"/>
    </row>
    <row r="733" spans="2:9" ht="15.5" x14ac:dyDescent="0.35">
      <c r="B733" s="105"/>
      <c r="C733" s="106" t="str">
        <f t="shared" si="12"/>
        <v/>
      </c>
      <c r="D733" s="107"/>
      <c r="E733" s="107"/>
      <c r="F733" s="106" t="str">
        <f>IFERROR(INDEX(Lista_Precios[CÓDIGO],MATCH(Movimientos!$G733,Lista_Precios[PRODUCTO],0)),"")</f>
        <v/>
      </c>
      <c r="G733" s="107"/>
      <c r="H733" s="108"/>
      <c r="I733" s="40"/>
    </row>
    <row r="734" spans="2:9" ht="15.5" x14ac:dyDescent="0.35">
      <c r="B734" s="105"/>
      <c r="C734" s="106" t="str">
        <f t="shared" si="12"/>
        <v/>
      </c>
      <c r="D734" s="107"/>
      <c r="E734" s="107"/>
      <c r="F734" s="106" t="str">
        <f>IFERROR(INDEX(Lista_Precios[CÓDIGO],MATCH(Movimientos!$G734,Lista_Precios[PRODUCTO],0)),"")</f>
        <v/>
      </c>
      <c r="G734" s="107"/>
      <c r="H734" s="108"/>
      <c r="I734" s="40"/>
    </row>
    <row r="735" spans="2:9" ht="15.5" x14ac:dyDescent="0.35">
      <c r="B735" s="105"/>
      <c r="C735" s="106" t="str">
        <f t="shared" si="12"/>
        <v/>
      </c>
      <c r="D735" s="107"/>
      <c r="E735" s="107"/>
      <c r="F735" s="106" t="str">
        <f>IFERROR(INDEX(Lista_Precios[CÓDIGO],MATCH(Movimientos!$G735,Lista_Precios[PRODUCTO],0)),"")</f>
        <v/>
      </c>
      <c r="G735" s="107"/>
      <c r="H735" s="108"/>
      <c r="I735" s="40"/>
    </row>
    <row r="736" spans="2:9" ht="15.5" x14ac:dyDescent="0.35">
      <c r="B736" s="105"/>
      <c r="C736" s="106" t="str">
        <f t="shared" si="12"/>
        <v/>
      </c>
      <c r="D736" s="107"/>
      <c r="E736" s="107"/>
      <c r="F736" s="106" t="str">
        <f>IFERROR(INDEX(Lista_Precios[CÓDIGO],MATCH(Movimientos!$G736,Lista_Precios[PRODUCTO],0)),"")</f>
        <v/>
      </c>
      <c r="G736" s="107"/>
      <c r="H736" s="108"/>
      <c r="I736" s="40"/>
    </row>
    <row r="737" spans="2:9" ht="15.5" x14ac:dyDescent="0.35">
      <c r="B737" s="105"/>
      <c r="C737" s="106" t="str">
        <f t="shared" si="12"/>
        <v/>
      </c>
      <c r="D737" s="107"/>
      <c r="E737" s="107"/>
      <c r="F737" s="106" t="str">
        <f>IFERROR(INDEX(Lista_Precios[CÓDIGO],MATCH(Movimientos!$G737,Lista_Precios[PRODUCTO],0)),"")</f>
        <v/>
      </c>
      <c r="G737" s="107"/>
      <c r="H737" s="108"/>
      <c r="I737" s="40"/>
    </row>
    <row r="738" spans="2:9" ht="15.5" x14ac:dyDescent="0.35">
      <c r="B738" s="105"/>
      <c r="C738" s="106" t="str">
        <f t="shared" si="12"/>
        <v/>
      </c>
      <c r="D738" s="107"/>
      <c r="E738" s="107"/>
      <c r="F738" s="106" t="str">
        <f>IFERROR(INDEX(Lista_Precios[CÓDIGO],MATCH(Movimientos!$G738,Lista_Precios[PRODUCTO],0)),"")</f>
        <v/>
      </c>
      <c r="G738" s="107"/>
      <c r="H738" s="108"/>
      <c r="I738" s="40"/>
    </row>
    <row r="739" spans="2:9" ht="15.5" x14ac:dyDescent="0.35">
      <c r="B739" s="105"/>
      <c r="C739" s="106" t="str">
        <f t="shared" si="12"/>
        <v/>
      </c>
      <c r="D739" s="107"/>
      <c r="E739" s="107"/>
      <c r="F739" s="106" t="str">
        <f>IFERROR(INDEX(Lista_Precios[CÓDIGO],MATCH(Movimientos!$G739,Lista_Precios[PRODUCTO],0)),"")</f>
        <v/>
      </c>
      <c r="G739" s="107"/>
      <c r="H739" s="108"/>
      <c r="I739" s="40"/>
    </row>
    <row r="740" spans="2:9" ht="15.5" x14ac:dyDescent="0.35">
      <c r="B740" s="105"/>
      <c r="C740" s="106" t="str">
        <f t="shared" si="12"/>
        <v/>
      </c>
      <c r="D740" s="107"/>
      <c r="E740" s="107"/>
      <c r="F740" s="106" t="str">
        <f>IFERROR(INDEX(Lista_Precios[CÓDIGO],MATCH(Movimientos!$G740,Lista_Precios[PRODUCTO],0)),"")</f>
        <v/>
      </c>
      <c r="G740" s="107"/>
      <c r="H740" s="108"/>
      <c r="I740" s="40"/>
    </row>
    <row r="741" spans="2:9" ht="15.5" x14ac:dyDescent="0.35">
      <c r="B741" s="105"/>
      <c r="C741" s="106" t="str">
        <f t="shared" si="12"/>
        <v/>
      </c>
      <c r="D741" s="107"/>
      <c r="E741" s="107"/>
      <c r="F741" s="106" t="str">
        <f>IFERROR(INDEX(Lista_Precios[CÓDIGO],MATCH(Movimientos!$G741,Lista_Precios[PRODUCTO],0)),"")</f>
        <v/>
      </c>
      <c r="G741" s="107"/>
      <c r="H741" s="108"/>
      <c r="I741" s="40"/>
    </row>
    <row r="742" spans="2:9" ht="15.5" x14ac:dyDescent="0.35">
      <c r="B742" s="105"/>
      <c r="C742" s="106" t="str">
        <f t="shared" si="12"/>
        <v/>
      </c>
      <c r="D742" s="107"/>
      <c r="E742" s="107"/>
      <c r="F742" s="106" t="str">
        <f>IFERROR(INDEX(Lista_Precios[CÓDIGO],MATCH(Movimientos!$G742,Lista_Precios[PRODUCTO],0)),"")</f>
        <v/>
      </c>
      <c r="G742" s="107"/>
      <c r="H742" s="108"/>
      <c r="I742" s="40"/>
    </row>
    <row r="743" spans="2:9" ht="15.5" x14ac:dyDescent="0.35">
      <c r="B743" s="105"/>
      <c r="C743" s="106" t="str">
        <f t="shared" ref="C743:C806" si="13">IF(B743="","",TEXT(B743,"Mmmm"))</f>
        <v/>
      </c>
      <c r="D743" s="107"/>
      <c r="E743" s="107"/>
      <c r="F743" s="106" t="str">
        <f>IFERROR(INDEX(Lista_Precios[CÓDIGO],MATCH(Movimientos!$G743,Lista_Precios[PRODUCTO],0)),"")</f>
        <v/>
      </c>
      <c r="G743" s="107"/>
      <c r="H743" s="108"/>
      <c r="I743" s="40"/>
    </row>
    <row r="744" spans="2:9" ht="15.5" x14ac:dyDescent="0.35">
      <c r="B744" s="105"/>
      <c r="C744" s="106" t="str">
        <f t="shared" si="13"/>
        <v/>
      </c>
      <c r="D744" s="107"/>
      <c r="E744" s="107"/>
      <c r="F744" s="106" t="str">
        <f>IFERROR(INDEX(Lista_Precios[CÓDIGO],MATCH(Movimientos!$G744,Lista_Precios[PRODUCTO],0)),"")</f>
        <v/>
      </c>
      <c r="G744" s="107"/>
      <c r="H744" s="108"/>
      <c r="I744" s="40"/>
    </row>
    <row r="745" spans="2:9" ht="15.5" x14ac:dyDescent="0.35">
      <c r="B745" s="105"/>
      <c r="C745" s="106" t="str">
        <f t="shared" si="13"/>
        <v/>
      </c>
      <c r="D745" s="107"/>
      <c r="E745" s="107"/>
      <c r="F745" s="106" t="str">
        <f>IFERROR(INDEX(Lista_Precios[CÓDIGO],MATCH(Movimientos!$G745,Lista_Precios[PRODUCTO],0)),"")</f>
        <v/>
      </c>
      <c r="G745" s="107"/>
      <c r="H745" s="108"/>
      <c r="I745" s="40"/>
    </row>
    <row r="746" spans="2:9" ht="15.5" x14ac:dyDescent="0.35">
      <c r="B746" s="105"/>
      <c r="C746" s="106" t="str">
        <f t="shared" si="13"/>
        <v/>
      </c>
      <c r="D746" s="107"/>
      <c r="E746" s="107"/>
      <c r="F746" s="106" t="str">
        <f>IFERROR(INDEX(Lista_Precios[CÓDIGO],MATCH(Movimientos!$G746,Lista_Precios[PRODUCTO],0)),"")</f>
        <v/>
      </c>
      <c r="G746" s="107"/>
      <c r="H746" s="108"/>
      <c r="I746" s="40"/>
    </row>
    <row r="747" spans="2:9" ht="15.5" x14ac:dyDescent="0.35">
      <c r="B747" s="105"/>
      <c r="C747" s="106" t="str">
        <f t="shared" si="13"/>
        <v/>
      </c>
      <c r="D747" s="107"/>
      <c r="E747" s="107"/>
      <c r="F747" s="106" t="str">
        <f>IFERROR(INDEX(Lista_Precios[CÓDIGO],MATCH(Movimientos!$G747,Lista_Precios[PRODUCTO],0)),"")</f>
        <v/>
      </c>
      <c r="G747" s="107"/>
      <c r="H747" s="108"/>
      <c r="I747" s="40"/>
    </row>
    <row r="748" spans="2:9" ht="15.5" x14ac:dyDescent="0.35">
      <c r="B748" s="105"/>
      <c r="C748" s="106" t="str">
        <f t="shared" si="13"/>
        <v/>
      </c>
      <c r="D748" s="107"/>
      <c r="E748" s="107"/>
      <c r="F748" s="106" t="str">
        <f>IFERROR(INDEX(Lista_Precios[CÓDIGO],MATCH(Movimientos!$G748,Lista_Precios[PRODUCTO],0)),"")</f>
        <v/>
      </c>
      <c r="G748" s="107"/>
      <c r="H748" s="108"/>
      <c r="I748" s="40"/>
    </row>
    <row r="749" spans="2:9" ht="15.5" x14ac:dyDescent="0.35">
      <c r="B749" s="105"/>
      <c r="C749" s="106" t="str">
        <f t="shared" si="13"/>
        <v/>
      </c>
      <c r="D749" s="107"/>
      <c r="E749" s="107"/>
      <c r="F749" s="106" t="str">
        <f>IFERROR(INDEX(Lista_Precios[CÓDIGO],MATCH(Movimientos!$G749,Lista_Precios[PRODUCTO],0)),"")</f>
        <v/>
      </c>
      <c r="G749" s="107"/>
      <c r="H749" s="108"/>
      <c r="I749" s="40"/>
    </row>
    <row r="750" spans="2:9" ht="15.5" x14ac:dyDescent="0.35">
      <c r="B750" s="105"/>
      <c r="C750" s="106" t="str">
        <f t="shared" si="13"/>
        <v/>
      </c>
      <c r="D750" s="107"/>
      <c r="E750" s="107"/>
      <c r="F750" s="106" t="str">
        <f>IFERROR(INDEX(Lista_Precios[CÓDIGO],MATCH(Movimientos!$G750,Lista_Precios[PRODUCTO],0)),"")</f>
        <v/>
      </c>
      <c r="G750" s="107"/>
      <c r="H750" s="108"/>
      <c r="I750" s="40"/>
    </row>
    <row r="751" spans="2:9" ht="15.5" x14ac:dyDescent="0.35">
      <c r="B751" s="105"/>
      <c r="C751" s="106" t="str">
        <f t="shared" si="13"/>
        <v/>
      </c>
      <c r="D751" s="107"/>
      <c r="E751" s="107"/>
      <c r="F751" s="106" t="str">
        <f>IFERROR(INDEX(Lista_Precios[CÓDIGO],MATCH(Movimientos!$G751,Lista_Precios[PRODUCTO],0)),"")</f>
        <v/>
      </c>
      <c r="G751" s="107"/>
      <c r="H751" s="108"/>
      <c r="I751" s="40"/>
    </row>
    <row r="752" spans="2:9" ht="15.5" x14ac:dyDescent="0.35">
      <c r="B752" s="105"/>
      <c r="C752" s="106" t="str">
        <f t="shared" si="13"/>
        <v/>
      </c>
      <c r="D752" s="107"/>
      <c r="E752" s="107"/>
      <c r="F752" s="106" t="str">
        <f>IFERROR(INDEX(Lista_Precios[CÓDIGO],MATCH(Movimientos!$G752,Lista_Precios[PRODUCTO],0)),"")</f>
        <v/>
      </c>
      <c r="G752" s="107"/>
      <c r="H752" s="108"/>
      <c r="I752" s="40"/>
    </row>
    <row r="753" spans="2:9" ht="15.5" x14ac:dyDescent="0.35">
      <c r="B753" s="105"/>
      <c r="C753" s="106" t="str">
        <f t="shared" si="13"/>
        <v/>
      </c>
      <c r="D753" s="107"/>
      <c r="E753" s="107"/>
      <c r="F753" s="106" t="str">
        <f>IFERROR(INDEX(Lista_Precios[CÓDIGO],MATCH(Movimientos!$G753,Lista_Precios[PRODUCTO],0)),"")</f>
        <v/>
      </c>
      <c r="G753" s="107"/>
      <c r="H753" s="108"/>
      <c r="I753" s="40"/>
    </row>
    <row r="754" spans="2:9" ht="15.5" x14ac:dyDescent="0.35">
      <c r="B754" s="105"/>
      <c r="C754" s="106" t="str">
        <f t="shared" si="13"/>
        <v/>
      </c>
      <c r="D754" s="107"/>
      <c r="E754" s="107"/>
      <c r="F754" s="106" t="str">
        <f>IFERROR(INDEX(Lista_Precios[CÓDIGO],MATCH(Movimientos!$G754,Lista_Precios[PRODUCTO],0)),"")</f>
        <v/>
      </c>
      <c r="G754" s="107"/>
      <c r="H754" s="108"/>
      <c r="I754" s="40"/>
    </row>
    <row r="755" spans="2:9" ht="15.5" x14ac:dyDescent="0.35">
      <c r="B755" s="105"/>
      <c r="C755" s="106" t="str">
        <f t="shared" si="13"/>
        <v/>
      </c>
      <c r="D755" s="107"/>
      <c r="E755" s="107"/>
      <c r="F755" s="106" t="str">
        <f>IFERROR(INDEX(Lista_Precios[CÓDIGO],MATCH(Movimientos!$G755,Lista_Precios[PRODUCTO],0)),"")</f>
        <v/>
      </c>
      <c r="G755" s="107"/>
      <c r="H755" s="108"/>
      <c r="I755" s="40"/>
    </row>
    <row r="756" spans="2:9" ht="15.5" x14ac:dyDescent="0.35">
      <c r="B756" s="105"/>
      <c r="C756" s="106" t="str">
        <f t="shared" si="13"/>
        <v/>
      </c>
      <c r="D756" s="107"/>
      <c r="E756" s="107"/>
      <c r="F756" s="106" t="str">
        <f>IFERROR(INDEX(Lista_Precios[CÓDIGO],MATCH(Movimientos!$G756,Lista_Precios[PRODUCTO],0)),"")</f>
        <v/>
      </c>
      <c r="G756" s="107"/>
      <c r="H756" s="108"/>
      <c r="I756" s="40"/>
    </row>
    <row r="757" spans="2:9" ht="15.5" x14ac:dyDescent="0.35">
      <c r="B757" s="105"/>
      <c r="C757" s="106" t="str">
        <f t="shared" si="13"/>
        <v/>
      </c>
      <c r="D757" s="107"/>
      <c r="E757" s="107"/>
      <c r="F757" s="106" t="str">
        <f>IFERROR(INDEX(Lista_Precios[CÓDIGO],MATCH(Movimientos!$G757,Lista_Precios[PRODUCTO],0)),"")</f>
        <v/>
      </c>
      <c r="G757" s="107"/>
      <c r="H757" s="108"/>
      <c r="I757" s="40"/>
    </row>
    <row r="758" spans="2:9" ht="15.5" x14ac:dyDescent="0.35">
      <c r="B758" s="105"/>
      <c r="C758" s="106" t="str">
        <f t="shared" si="13"/>
        <v/>
      </c>
      <c r="D758" s="107"/>
      <c r="E758" s="107"/>
      <c r="F758" s="106" t="str">
        <f>IFERROR(INDEX(Lista_Precios[CÓDIGO],MATCH(Movimientos!$G758,Lista_Precios[PRODUCTO],0)),"")</f>
        <v/>
      </c>
      <c r="G758" s="107"/>
      <c r="H758" s="108"/>
      <c r="I758" s="40"/>
    </row>
    <row r="759" spans="2:9" ht="15.5" x14ac:dyDescent="0.35">
      <c r="B759" s="105"/>
      <c r="C759" s="106" t="str">
        <f t="shared" si="13"/>
        <v/>
      </c>
      <c r="D759" s="107"/>
      <c r="E759" s="107"/>
      <c r="F759" s="106" t="str">
        <f>IFERROR(INDEX(Lista_Precios[CÓDIGO],MATCH(Movimientos!$G759,Lista_Precios[PRODUCTO],0)),"")</f>
        <v/>
      </c>
      <c r="G759" s="107"/>
      <c r="H759" s="108"/>
      <c r="I759" s="40"/>
    </row>
    <row r="760" spans="2:9" ht="15.5" x14ac:dyDescent="0.35">
      <c r="B760" s="105"/>
      <c r="C760" s="106" t="str">
        <f t="shared" si="13"/>
        <v/>
      </c>
      <c r="D760" s="107"/>
      <c r="E760" s="107"/>
      <c r="F760" s="106" t="str">
        <f>IFERROR(INDEX(Lista_Precios[CÓDIGO],MATCH(Movimientos!$G760,Lista_Precios[PRODUCTO],0)),"")</f>
        <v/>
      </c>
      <c r="G760" s="107"/>
      <c r="H760" s="108"/>
      <c r="I760" s="40"/>
    </row>
    <row r="761" spans="2:9" ht="15.5" x14ac:dyDescent="0.35">
      <c r="B761" s="105"/>
      <c r="C761" s="106" t="str">
        <f t="shared" si="13"/>
        <v/>
      </c>
      <c r="D761" s="107"/>
      <c r="E761" s="107"/>
      <c r="F761" s="106" t="str">
        <f>IFERROR(INDEX(Lista_Precios[CÓDIGO],MATCH(Movimientos!$G761,Lista_Precios[PRODUCTO],0)),"")</f>
        <v/>
      </c>
      <c r="G761" s="107"/>
      <c r="H761" s="108"/>
      <c r="I761" s="40"/>
    </row>
    <row r="762" spans="2:9" ht="15.5" x14ac:dyDescent="0.35">
      <c r="B762" s="105"/>
      <c r="C762" s="106" t="str">
        <f t="shared" si="13"/>
        <v/>
      </c>
      <c r="D762" s="107"/>
      <c r="E762" s="107"/>
      <c r="F762" s="106" t="str">
        <f>IFERROR(INDEX(Lista_Precios[CÓDIGO],MATCH(Movimientos!$G762,Lista_Precios[PRODUCTO],0)),"")</f>
        <v/>
      </c>
      <c r="G762" s="107"/>
      <c r="H762" s="108"/>
      <c r="I762" s="40"/>
    </row>
    <row r="763" spans="2:9" ht="15.5" x14ac:dyDescent="0.35">
      <c r="B763" s="105"/>
      <c r="C763" s="106" t="str">
        <f t="shared" si="13"/>
        <v/>
      </c>
      <c r="D763" s="107"/>
      <c r="E763" s="107"/>
      <c r="F763" s="106" t="str">
        <f>IFERROR(INDEX(Lista_Precios[CÓDIGO],MATCH(Movimientos!$G763,Lista_Precios[PRODUCTO],0)),"")</f>
        <v/>
      </c>
      <c r="G763" s="107"/>
      <c r="H763" s="108"/>
      <c r="I763" s="40"/>
    </row>
    <row r="764" spans="2:9" ht="15.5" x14ac:dyDescent="0.35">
      <c r="B764" s="105"/>
      <c r="C764" s="106" t="str">
        <f t="shared" si="13"/>
        <v/>
      </c>
      <c r="D764" s="107"/>
      <c r="E764" s="107"/>
      <c r="F764" s="106" t="str">
        <f>IFERROR(INDEX(Lista_Precios[CÓDIGO],MATCH(Movimientos!$G764,Lista_Precios[PRODUCTO],0)),"")</f>
        <v/>
      </c>
      <c r="G764" s="107"/>
      <c r="H764" s="108"/>
      <c r="I764" s="40"/>
    </row>
    <row r="765" spans="2:9" ht="15.5" x14ac:dyDescent="0.35">
      <c r="B765" s="105"/>
      <c r="C765" s="106" t="str">
        <f t="shared" si="13"/>
        <v/>
      </c>
      <c r="D765" s="107"/>
      <c r="E765" s="107"/>
      <c r="F765" s="106" t="str">
        <f>IFERROR(INDEX(Lista_Precios[CÓDIGO],MATCH(Movimientos!$G765,Lista_Precios[PRODUCTO],0)),"")</f>
        <v/>
      </c>
      <c r="G765" s="107"/>
      <c r="H765" s="108"/>
      <c r="I765" s="40"/>
    </row>
    <row r="766" spans="2:9" ht="15.5" x14ac:dyDescent="0.35">
      <c r="B766" s="105"/>
      <c r="C766" s="106" t="str">
        <f t="shared" si="13"/>
        <v/>
      </c>
      <c r="D766" s="107"/>
      <c r="E766" s="107"/>
      <c r="F766" s="106" t="str">
        <f>IFERROR(INDEX(Lista_Precios[CÓDIGO],MATCH(Movimientos!$G766,Lista_Precios[PRODUCTO],0)),"")</f>
        <v/>
      </c>
      <c r="G766" s="107"/>
      <c r="H766" s="108"/>
      <c r="I766" s="40"/>
    </row>
    <row r="767" spans="2:9" ht="15.5" x14ac:dyDescent="0.35">
      <c r="B767" s="105"/>
      <c r="C767" s="106" t="str">
        <f t="shared" si="13"/>
        <v/>
      </c>
      <c r="D767" s="107"/>
      <c r="E767" s="107"/>
      <c r="F767" s="106" t="str">
        <f>IFERROR(INDEX(Lista_Precios[CÓDIGO],MATCH(Movimientos!$G767,Lista_Precios[PRODUCTO],0)),"")</f>
        <v/>
      </c>
      <c r="G767" s="107"/>
      <c r="H767" s="108"/>
      <c r="I767" s="40"/>
    </row>
    <row r="768" spans="2:9" ht="15.5" x14ac:dyDescent="0.35">
      <c r="B768" s="105"/>
      <c r="C768" s="106" t="str">
        <f t="shared" si="13"/>
        <v/>
      </c>
      <c r="D768" s="107"/>
      <c r="E768" s="107"/>
      <c r="F768" s="106" t="str">
        <f>IFERROR(INDEX(Lista_Precios[CÓDIGO],MATCH(Movimientos!$G768,Lista_Precios[PRODUCTO],0)),"")</f>
        <v/>
      </c>
      <c r="G768" s="107"/>
      <c r="H768" s="108"/>
      <c r="I768" s="40"/>
    </row>
    <row r="769" spans="2:9" ht="15.5" x14ac:dyDescent="0.35">
      <c r="B769" s="105"/>
      <c r="C769" s="106" t="str">
        <f t="shared" si="13"/>
        <v/>
      </c>
      <c r="D769" s="107"/>
      <c r="E769" s="107"/>
      <c r="F769" s="106" t="str">
        <f>IFERROR(INDEX(Lista_Precios[CÓDIGO],MATCH(Movimientos!$G769,Lista_Precios[PRODUCTO],0)),"")</f>
        <v/>
      </c>
      <c r="G769" s="107"/>
      <c r="H769" s="108"/>
      <c r="I769" s="40"/>
    </row>
    <row r="770" spans="2:9" ht="15.5" x14ac:dyDescent="0.35">
      <c r="B770" s="105"/>
      <c r="C770" s="106" t="str">
        <f t="shared" si="13"/>
        <v/>
      </c>
      <c r="D770" s="107"/>
      <c r="E770" s="107"/>
      <c r="F770" s="106" t="str">
        <f>IFERROR(INDEX(Lista_Precios[CÓDIGO],MATCH(Movimientos!$G770,Lista_Precios[PRODUCTO],0)),"")</f>
        <v/>
      </c>
      <c r="G770" s="107"/>
      <c r="H770" s="108"/>
      <c r="I770" s="40"/>
    </row>
    <row r="771" spans="2:9" ht="15.5" x14ac:dyDescent="0.35">
      <c r="B771" s="105"/>
      <c r="C771" s="106" t="str">
        <f t="shared" si="13"/>
        <v/>
      </c>
      <c r="D771" s="107"/>
      <c r="E771" s="107"/>
      <c r="F771" s="106" t="str">
        <f>IFERROR(INDEX(Lista_Precios[CÓDIGO],MATCH(Movimientos!$G771,Lista_Precios[PRODUCTO],0)),"")</f>
        <v/>
      </c>
      <c r="G771" s="107"/>
      <c r="H771" s="108"/>
      <c r="I771" s="40"/>
    </row>
    <row r="772" spans="2:9" ht="15.5" x14ac:dyDescent="0.35">
      <c r="B772" s="105"/>
      <c r="C772" s="106" t="str">
        <f t="shared" si="13"/>
        <v/>
      </c>
      <c r="D772" s="107"/>
      <c r="E772" s="107"/>
      <c r="F772" s="106" t="str">
        <f>IFERROR(INDEX(Lista_Precios[CÓDIGO],MATCH(Movimientos!$G772,Lista_Precios[PRODUCTO],0)),"")</f>
        <v/>
      </c>
      <c r="G772" s="107"/>
      <c r="H772" s="108"/>
      <c r="I772" s="40"/>
    </row>
    <row r="773" spans="2:9" ht="15.5" x14ac:dyDescent="0.35">
      <c r="B773" s="105"/>
      <c r="C773" s="106" t="str">
        <f t="shared" si="13"/>
        <v/>
      </c>
      <c r="D773" s="107"/>
      <c r="E773" s="107"/>
      <c r="F773" s="106" t="str">
        <f>IFERROR(INDEX(Lista_Precios[CÓDIGO],MATCH(Movimientos!$G773,Lista_Precios[PRODUCTO],0)),"")</f>
        <v/>
      </c>
      <c r="G773" s="107"/>
      <c r="H773" s="108"/>
      <c r="I773" s="40"/>
    </row>
    <row r="774" spans="2:9" ht="15.5" x14ac:dyDescent="0.35">
      <c r="B774" s="105"/>
      <c r="C774" s="106" t="str">
        <f t="shared" si="13"/>
        <v/>
      </c>
      <c r="D774" s="107"/>
      <c r="E774" s="107"/>
      <c r="F774" s="106" t="str">
        <f>IFERROR(INDEX(Lista_Precios[CÓDIGO],MATCH(Movimientos!$G774,Lista_Precios[PRODUCTO],0)),"")</f>
        <v/>
      </c>
      <c r="G774" s="107"/>
      <c r="H774" s="108"/>
      <c r="I774" s="40"/>
    </row>
    <row r="775" spans="2:9" ht="15.5" x14ac:dyDescent="0.35">
      <c r="B775" s="105"/>
      <c r="C775" s="106" t="str">
        <f t="shared" si="13"/>
        <v/>
      </c>
      <c r="D775" s="107"/>
      <c r="E775" s="107"/>
      <c r="F775" s="106" t="str">
        <f>IFERROR(INDEX(Lista_Precios[CÓDIGO],MATCH(Movimientos!$G775,Lista_Precios[PRODUCTO],0)),"")</f>
        <v/>
      </c>
      <c r="G775" s="107"/>
      <c r="H775" s="108"/>
      <c r="I775" s="40"/>
    </row>
    <row r="776" spans="2:9" ht="15.5" x14ac:dyDescent="0.35">
      <c r="B776" s="105"/>
      <c r="C776" s="106" t="str">
        <f t="shared" si="13"/>
        <v/>
      </c>
      <c r="D776" s="107"/>
      <c r="E776" s="107"/>
      <c r="F776" s="106" t="str">
        <f>IFERROR(INDEX(Lista_Precios[CÓDIGO],MATCH(Movimientos!$G776,Lista_Precios[PRODUCTO],0)),"")</f>
        <v/>
      </c>
      <c r="G776" s="107"/>
      <c r="H776" s="108"/>
      <c r="I776" s="40"/>
    </row>
    <row r="777" spans="2:9" ht="15.5" x14ac:dyDescent="0.35">
      <c r="B777" s="105"/>
      <c r="C777" s="106" t="str">
        <f t="shared" si="13"/>
        <v/>
      </c>
      <c r="D777" s="107"/>
      <c r="E777" s="107"/>
      <c r="F777" s="106" t="str">
        <f>IFERROR(INDEX(Lista_Precios[CÓDIGO],MATCH(Movimientos!$G777,Lista_Precios[PRODUCTO],0)),"")</f>
        <v/>
      </c>
      <c r="G777" s="107"/>
      <c r="H777" s="108"/>
      <c r="I777" s="40"/>
    </row>
    <row r="778" spans="2:9" ht="15.5" x14ac:dyDescent="0.35">
      <c r="B778" s="105"/>
      <c r="C778" s="106" t="str">
        <f t="shared" si="13"/>
        <v/>
      </c>
      <c r="D778" s="107"/>
      <c r="E778" s="107"/>
      <c r="F778" s="106" t="str">
        <f>IFERROR(INDEX(Lista_Precios[CÓDIGO],MATCH(Movimientos!$G778,Lista_Precios[PRODUCTO],0)),"")</f>
        <v/>
      </c>
      <c r="G778" s="107"/>
      <c r="H778" s="108"/>
      <c r="I778" s="40"/>
    </row>
    <row r="779" spans="2:9" ht="15.5" x14ac:dyDescent="0.35">
      <c r="B779" s="105"/>
      <c r="C779" s="106" t="str">
        <f t="shared" si="13"/>
        <v/>
      </c>
      <c r="D779" s="107"/>
      <c r="E779" s="107"/>
      <c r="F779" s="106" t="str">
        <f>IFERROR(INDEX(Lista_Precios[CÓDIGO],MATCH(Movimientos!$G779,Lista_Precios[PRODUCTO],0)),"")</f>
        <v/>
      </c>
      <c r="G779" s="107"/>
      <c r="H779" s="108"/>
      <c r="I779" s="40"/>
    </row>
    <row r="780" spans="2:9" ht="15.5" x14ac:dyDescent="0.35">
      <c r="B780" s="105"/>
      <c r="C780" s="106" t="str">
        <f t="shared" si="13"/>
        <v/>
      </c>
      <c r="D780" s="107"/>
      <c r="E780" s="107"/>
      <c r="F780" s="106" t="str">
        <f>IFERROR(INDEX(Lista_Precios[CÓDIGO],MATCH(Movimientos!$G780,Lista_Precios[PRODUCTO],0)),"")</f>
        <v/>
      </c>
      <c r="G780" s="107"/>
      <c r="H780" s="108"/>
      <c r="I780" s="40"/>
    </row>
    <row r="781" spans="2:9" ht="15.5" x14ac:dyDescent="0.35">
      <c r="B781" s="105"/>
      <c r="C781" s="106" t="str">
        <f t="shared" si="13"/>
        <v/>
      </c>
      <c r="D781" s="107"/>
      <c r="E781" s="107"/>
      <c r="F781" s="106" t="str">
        <f>IFERROR(INDEX(Lista_Precios[CÓDIGO],MATCH(Movimientos!$G781,Lista_Precios[PRODUCTO],0)),"")</f>
        <v/>
      </c>
      <c r="G781" s="107"/>
      <c r="H781" s="108"/>
      <c r="I781" s="40"/>
    </row>
    <row r="782" spans="2:9" ht="15.5" x14ac:dyDescent="0.35">
      <c r="B782" s="105"/>
      <c r="C782" s="106" t="str">
        <f t="shared" si="13"/>
        <v/>
      </c>
      <c r="D782" s="107"/>
      <c r="E782" s="107"/>
      <c r="F782" s="106" t="str">
        <f>IFERROR(INDEX(Lista_Precios[CÓDIGO],MATCH(Movimientos!$G782,Lista_Precios[PRODUCTO],0)),"")</f>
        <v/>
      </c>
      <c r="G782" s="107"/>
      <c r="H782" s="108"/>
      <c r="I782" s="40"/>
    </row>
    <row r="783" spans="2:9" ht="15.5" x14ac:dyDescent="0.35">
      <c r="B783" s="105"/>
      <c r="C783" s="106" t="str">
        <f t="shared" si="13"/>
        <v/>
      </c>
      <c r="D783" s="107"/>
      <c r="E783" s="107"/>
      <c r="F783" s="106" t="str">
        <f>IFERROR(INDEX(Lista_Precios[CÓDIGO],MATCH(Movimientos!$G783,Lista_Precios[PRODUCTO],0)),"")</f>
        <v/>
      </c>
      <c r="G783" s="107"/>
      <c r="H783" s="108"/>
      <c r="I783" s="40"/>
    </row>
    <row r="784" spans="2:9" ht="15.5" x14ac:dyDescent="0.35">
      <c r="B784" s="105"/>
      <c r="C784" s="106" t="str">
        <f t="shared" si="13"/>
        <v/>
      </c>
      <c r="D784" s="107"/>
      <c r="E784" s="107"/>
      <c r="F784" s="106" t="str">
        <f>IFERROR(INDEX(Lista_Precios[CÓDIGO],MATCH(Movimientos!$G784,Lista_Precios[PRODUCTO],0)),"")</f>
        <v/>
      </c>
      <c r="G784" s="107"/>
      <c r="H784" s="108"/>
      <c r="I784" s="40"/>
    </row>
    <row r="785" spans="2:9" ht="15.5" x14ac:dyDescent="0.35">
      <c r="B785" s="105"/>
      <c r="C785" s="106" t="str">
        <f t="shared" si="13"/>
        <v/>
      </c>
      <c r="D785" s="107"/>
      <c r="E785" s="107"/>
      <c r="F785" s="106" t="str">
        <f>IFERROR(INDEX(Lista_Precios[CÓDIGO],MATCH(Movimientos!$G785,Lista_Precios[PRODUCTO],0)),"")</f>
        <v/>
      </c>
      <c r="G785" s="107"/>
      <c r="H785" s="108"/>
      <c r="I785" s="40"/>
    </row>
    <row r="786" spans="2:9" ht="15.5" x14ac:dyDescent="0.35">
      <c r="B786" s="105"/>
      <c r="C786" s="106" t="str">
        <f t="shared" si="13"/>
        <v/>
      </c>
      <c r="D786" s="107"/>
      <c r="E786" s="107"/>
      <c r="F786" s="106" t="str">
        <f>IFERROR(INDEX(Lista_Precios[CÓDIGO],MATCH(Movimientos!$G786,Lista_Precios[PRODUCTO],0)),"")</f>
        <v/>
      </c>
      <c r="G786" s="107"/>
      <c r="H786" s="108"/>
      <c r="I786" s="40"/>
    </row>
    <row r="787" spans="2:9" ht="15.5" x14ac:dyDescent="0.35">
      <c r="B787" s="105"/>
      <c r="C787" s="106" t="str">
        <f t="shared" si="13"/>
        <v/>
      </c>
      <c r="D787" s="107"/>
      <c r="E787" s="107"/>
      <c r="F787" s="106" t="str">
        <f>IFERROR(INDEX(Lista_Precios[CÓDIGO],MATCH(Movimientos!$G787,Lista_Precios[PRODUCTO],0)),"")</f>
        <v/>
      </c>
      <c r="G787" s="107"/>
      <c r="H787" s="108"/>
      <c r="I787" s="40"/>
    </row>
    <row r="788" spans="2:9" ht="15.5" x14ac:dyDescent="0.35">
      <c r="B788" s="105"/>
      <c r="C788" s="106" t="str">
        <f t="shared" si="13"/>
        <v/>
      </c>
      <c r="D788" s="107"/>
      <c r="E788" s="107"/>
      <c r="F788" s="106" t="str">
        <f>IFERROR(INDEX(Lista_Precios[CÓDIGO],MATCH(Movimientos!$G788,Lista_Precios[PRODUCTO],0)),"")</f>
        <v/>
      </c>
      <c r="G788" s="107"/>
      <c r="H788" s="108"/>
      <c r="I788" s="40"/>
    </row>
    <row r="789" spans="2:9" ht="15.5" x14ac:dyDescent="0.35">
      <c r="B789" s="105"/>
      <c r="C789" s="106" t="str">
        <f t="shared" si="13"/>
        <v/>
      </c>
      <c r="D789" s="107"/>
      <c r="E789" s="107"/>
      <c r="F789" s="106" t="str">
        <f>IFERROR(INDEX(Lista_Precios[CÓDIGO],MATCH(Movimientos!$G789,Lista_Precios[PRODUCTO],0)),"")</f>
        <v/>
      </c>
      <c r="G789" s="107"/>
      <c r="H789" s="108"/>
      <c r="I789" s="40"/>
    </row>
    <row r="790" spans="2:9" ht="15.5" x14ac:dyDescent="0.35">
      <c r="B790" s="105"/>
      <c r="C790" s="106" t="str">
        <f t="shared" si="13"/>
        <v/>
      </c>
      <c r="D790" s="107"/>
      <c r="E790" s="107"/>
      <c r="F790" s="106" t="str">
        <f>IFERROR(INDEX(Lista_Precios[CÓDIGO],MATCH(Movimientos!$G790,Lista_Precios[PRODUCTO],0)),"")</f>
        <v/>
      </c>
      <c r="G790" s="107"/>
      <c r="H790" s="108"/>
      <c r="I790" s="40"/>
    </row>
    <row r="791" spans="2:9" ht="15.5" x14ac:dyDescent="0.35">
      <c r="B791" s="105"/>
      <c r="C791" s="106" t="str">
        <f t="shared" si="13"/>
        <v/>
      </c>
      <c r="D791" s="107"/>
      <c r="E791" s="107"/>
      <c r="F791" s="106" t="str">
        <f>IFERROR(INDEX(Lista_Precios[CÓDIGO],MATCH(Movimientos!$G791,Lista_Precios[PRODUCTO],0)),"")</f>
        <v/>
      </c>
      <c r="G791" s="107"/>
      <c r="H791" s="108"/>
      <c r="I791" s="40"/>
    </row>
    <row r="792" spans="2:9" ht="15.5" x14ac:dyDescent="0.35">
      <c r="B792" s="105"/>
      <c r="C792" s="106" t="str">
        <f t="shared" si="13"/>
        <v/>
      </c>
      <c r="D792" s="107"/>
      <c r="E792" s="107"/>
      <c r="F792" s="106" t="str">
        <f>IFERROR(INDEX(Lista_Precios[CÓDIGO],MATCH(Movimientos!$G792,Lista_Precios[PRODUCTO],0)),"")</f>
        <v/>
      </c>
      <c r="G792" s="107"/>
      <c r="H792" s="108"/>
      <c r="I792" s="40"/>
    </row>
    <row r="793" spans="2:9" ht="15.5" x14ac:dyDescent="0.35">
      <c r="B793" s="105"/>
      <c r="C793" s="106" t="str">
        <f t="shared" si="13"/>
        <v/>
      </c>
      <c r="D793" s="107"/>
      <c r="E793" s="107"/>
      <c r="F793" s="106" t="str">
        <f>IFERROR(INDEX(Lista_Precios[CÓDIGO],MATCH(Movimientos!$G793,Lista_Precios[PRODUCTO],0)),"")</f>
        <v/>
      </c>
      <c r="G793" s="107"/>
      <c r="H793" s="108"/>
      <c r="I793" s="40"/>
    </row>
    <row r="794" spans="2:9" ht="15.5" x14ac:dyDescent="0.35">
      <c r="B794" s="105"/>
      <c r="C794" s="106" t="str">
        <f t="shared" si="13"/>
        <v/>
      </c>
      <c r="D794" s="107"/>
      <c r="E794" s="107"/>
      <c r="F794" s="106" t="str">
        <f>IFERROR(INDEX(Lista_Precios[CÓDIGO],MATCH(Movimientos!$G794,Lista_Precios[PRODUCTO],0)),"")</f>
        <v/>
      </c>
      <c r="G794" s="107"/>
      <c r="H794" s="108"/>
      <c r="I794" s="40"/>
    </row>
    <row r="795" spans="2:9" ht="15.5" x14ac:dyDescent="0.35">
      <c r="B795" s="105"/>
      <c r="C795" s="106" t="str">
        <f t="shared" si="13"/>
        <v/>
      </c>
      <c r="D795" s="107"/>
      <c r="E795" s="107"/>
      <c r="F795" s="106" t="str">
        <f>IFERROR(INDEX(Lista_Precios[CÓDIGO],MATCH(Movimientos!$G795,Lista_Precios[PRODUCTO],0)),"")</f>
        <v/>
      </c>
      <c r="G795" s="107"/>
      <c r="H795" s="108"/>
      <c r="I795" s="40"/>
    </row>
    <row r="796" spans="2:9" ht="15.5" x14ac:dyDescent="0.35">
      <c r="B796" s="105"/>
      <c r="C796" s="106" t="str">
        <f t="shared" si="13"/>
        <v/>
      </c>
      <c r="D796" s="107"/>
      <c r="E796" s="107"/>
      <c r="F796" s="106" t="str">
        <f>IFERROR(INDEX(Lista_Precios[CÓDIGO],MATCH(Movimientos!$G796,Lista_Precios[PRODUCTO],0)),"")</f>
        <v/>
      </c>
      <c r="G796" s="107"/>
      <c r="H796" s="108"/>
      <c r="I796" s="40"/>
    </row>
    <row r="797" spans="2:9" ht="15.5" x14ac:dyDescent="0.35">
      <c r="B797" s="105"/>
      <c r="C797" s="106" t="str">
        <f t="shared" si="13"/>
        <v/>
      </c>
      <c r="D797" s="107"/>
      <c r="E797" s="107"/>
      <c r="F797" s="106" t="str">
        <f>IFERROR(INDEX(Lista_Precios[CÓDIGO],MATCH(Movimientos!$G797,Lista_Precios[PRODUCTO],0)),"")</f>
        <v/>
      </c>
      <c r="G797" s="107"/>
      <c r="H797" s="108"/>
      <c r="I797" s="40"/>
    </row>
    <row r="798" spans="2:9" ht="15.5" x14ac:dyDescent="0.35">
      <c r="B798" s="105"/>
      <c r="C798" s="106" t="str">
        <f t="shared" si="13"/>
        <v/>
      </c>
      <c r="D798" s="107"/>
      <c r="E798" s="107"/>
      <c r="F798" s="106" t="str">
        <f>IFERROR(INDEX(Lista_Precios[CÓDIGO],MATCH(Movimientos!$G798,Lista_Precios[PRODUCTO],0)),"")</f>
        <v/>
      </c>
      <c r="G798" s="107"/>
      <c r="H798" s="108"/>
      <c r="I798" s="40"/>
    </row>
    <row r="799" spans="2:9" ht="15.5" x14ac:dyDescent="0.35">
      <c r="B799" s="105"/>
      <c r="C799" s="106" t="str">
        <f t="shared" si="13"/>
        <v/>
      </c>
      <c r="D799" s="107"/>
      <c r="E799" s="107"/>
      <c r="F799" s="106" t="str">
        <f>IFERROR(INDEX(Lista_Precios[CÓDIGO],MATCH(Movimientos!$G799,Lista_Precios[PRODUCTO],0)),"")</f>
        <v/>
      </c>
      <c r="G799" s="107"/>
      <c r="H799" s="108"/>
      <c r="I799" s="40"/>
    </row>
    <row r="800" spans="2:9" ht="15.5" x14ac:dyDescent="0.35">
      <c r="B800" s="105"/>
      <c r="C800" s="106" t="str">
        <f t="shared" si="13"/>
        <v/>
      </c>
      <c r="D800" s="107"/>
      <c r="E800" s="107"/>
      <c r="F800" s="106" t="str">
        <f>IFERROR(INDEX(Lista_Precios[CÓDIGO],MATCH(Movimientos!$G800,Lista_Precios[PRODUCTO],0)),"")</f>
        <v/>
      </c>
      <c r="G800" s="107"/>
      <c r="H800" s="108"/>
      <c r="I800" s="40"/>
    </row>
    <row r="801" spans="2:9" ht="15.5" x14ac:dyDescent="0.35">
      <c r="B801" s="105"/>
      <c r="C801" s="106" t="str">
        <f t="shared" si="13"/>
        <v/>
      </c>
      <c r="D801" s="107"/>
      <c r="E801" s="107"/>
      <c r="F801" s="106" t="str">
        <f>IFERROR(INDEX(Lista_Precios[CÓDIGO],MATCH(Movimientos!$G801,Lista_Precios[PRODUCTO],0)),"")</f>
        <v/>
      </c>
      <c r="G801" s="107"/>
      <c r="H801" s="108"/>
      <c r="I801" s="40"/>
    </row>
    <row r="802" spans="2:9" ht="15.5" x14ac:dyDescent="0.35">
      <c r="B802" s="105"/>
      <c r="C802" s="106" t="str">
        <f t="shared" si="13"/>
        <v/>
      </c>
      <c r="D802" s="107"/>
      <c r="E802" s="107"/>
      <c r="F802" s="106" t="str">
        <f>IFERROR(INDEX(Lista_Precios[CÓDIGO],MATCH(Movimientos!$G802,Lista_Precios[PRODUCTO],0)),"")</f>
        <v/>
      </c>
      <c r="G802" s="107"/>
      <c r="H802" s="108"/>
      <c r="I802" s="40"/>
    </row>
    <row r="803" spans="2:9" ht="15.5" x14ac:dyDescent="0.35">
      <c r="B803" s="105"/>
      <c r="C803" s="106" t="str">
        <f t="shared" si="13"/>
        <v/>
      </c>
      <c r="D803" s="107"/>
      <c r="E803" s="107"/>
      <c r="F803" s="106" t="str">
        <f>IFERROR(INDEX(Lista_Precios[CÓDIGO],MATCH(Movimientos!$G803,Lista_Precios[PRODUCTO],0)),"")</f>
        <v/>
      </c>
      <c r="G803" s="107"/>
      <c r="H803" s="108"/>
      <c r="I803" s="40"/>
    </row>
    <row r="804" spans="2:9" ht="15.5" x14ac:dyDescent="0.35">
      <c r="B804" s="105"/>
      <c r="C804" s="106" t="str">
        <f t="shared" si="13"/>
        <v/>
      </c>
      <c r="D804" s="107"/>
      <c r="E804" s="107"/>
      <c r="F804" s="106" t="str">
        <f>IFERROR(INDEX(Lista_Precios[CÓDIGO],MATCH(Movimientos!$G804,Lista_Precios[PRODUCTO],0)),"")</f>
        <v/>
      </c>
      <c r="G804" s="107"/>
      <c r="H804" s="108"/>
      <c r="I804" s="40"/>
    </row>
    <row r="805" spans="2:9" ht="15.5" x14ac:dyDescent="0.35">
      <c r="B805" s="105"/>
      <c r="C805" s="106" t="str">
        <f t="shared" si="13"/>
        <v/>
      </c>
      <c r="D805" s="107"/>
      <c r="E805" s="107"/>
      <c r="F805" s="106" t="str">
        <f>IFERROR(INDEX(Lista_Precios[CÓDIGO],MATCH(Movimientos!$G805,Lista_Precios[PRODUCTO],0)),"")</f>
        <v/>
      </c>
      <c r="G805" s="107"/>
      <c r="H805" s="108"/>
      <c r="I805" s="40"/>
    </row>
    <row r="806" spans="2:9" ht="15.5" x14ac:dyDescent="0.35">
      <c r="B806" s="105"/>
      <c r="C806" s="106" t="str">
        <f t="shared" si="13"/>
        <v/>
      </c>
      <c r="D806" s="107"/>
      <c r="E806" s="107"/>
      <c r="F806" s="106" t="str">
        <f>IFERROR(INDEX(Lista_Precios[CÓDIGO],MATCH(Movimientos!$G806,Lista_Precios[PRODUCTO],0)),"")</f>
        <v/>
      </c>
      <c r="G806" s="107"/>
      <c r="H806" s="108"/>
      <c r="I806" s="40"/>
    </row>
    <row r="807" spans="2:9" ht="15.5" x14ac:dyDescent="0.35">
      <c r="B807" s="105"/>
      <c r="C807" s="106" t="str">
        <f t="shared" ref="C807:C870" si="14">IF(B807="","",TEXT(B807,"Mmmm"))</f>
        <v/>
      </c>
      <c r="D807" s="107"/>
      <c r="E807" s="107"/>
      <c r="F807" s="106" t="str">
        <f>IFERROR(INDEX(Lista_Precios[CÓDIGO],MATCH(Movimientos!$G807,Lista_Precios[PRODUCTO],0)),"")</f>
        <v/>
      </c>
      <c r="G807" s="107"/>
      <c r="H807" s="108"/>
      <c r="I807" s="40"/>
    </row>
    <row r="808" spans="2:9" ht="15.5" x14ac:dyDescent="0.35">
      <c r="B808" s="105"/>
      <c r="C808" s="106" t="str">
        <f t="shared" si="14"/>
        <v/>
      </c>
      <c r="D808" s="107"/>
      <c r="E808" s="107"/>
      <c r="F808" s="106" t="str">
        <f>IFERROR(INDEX(Lista_Precios[CÓDIGO],MATCH(Movimientos!$G808,Lista_Precios[PRODUCTO],0)),"")</f>
        <v/>
      </c>
      <c r="G808" s="107"/>
      <c r="H808" s="108"/>
      <c r="I808" s="40"/>
    </row>
    <row r="809" spans="2:9" ht="15.5" x14ac:dyDescent="0.35">
      <c r="B809" s="105"/>
      <c r="C809" s="106" t="str">
        <f t="shared" si="14"/>
        <v/>
      </c>
      <c r="D809" s="107"/>
      <c r="E809" s="107"/>
      <c r="F809" s="106" t="str">
        <f>IFERROR(INDEX(Lista_Precios[CÓDIGO],MATCH(Movimientos!$G809,Lista_Precios[PRODUCTO],0)),"")</f>
        <v/>
      </c>
      <c r="G809" s="107"/>
      <c r="H809" s="108"/>
      <c r="I809" s="40"/>
    </row>
    <row r="810" spans="2:9" ht="15.5" x14ac:dyDescent="0.35">
      <c r="B810" s="105"/>
      <c r="C810" s="106" t="str">
        <f t="shared" si="14"/>
        <v/>
      </c>
      <c r="D810" s="107"/>
      <c r="E810" s="107"/>
      <c r="F810" s="106" t="str">
        <f>IFERROR(INDEX(Lista_Precios[CÓDIGO],MATCH(Movimientos!$G810,Lista_Precios[PRODUCTO],0)),"")</f>
        <v/>
      </c>
      <c r="G810" s="107"/>
      <c r="H810" s="108"/>
      <c r="I810" s="40"/>
    </row>
    <row r="811" spans="2:9" ht="15.5" x14ac:dyDescent="0.35">
      <c r="B811" s="105"/>
      <c r="C811" s="106" t="str">
        <f t="shared" si="14"/>
        <v/>
      </c>
      <c r="D811" s="107"/>
      <c r="E811" s="107"/>
      <c r="F811" s="106" t="str">
        <f>IFERROR(INDEX(Lista_Precios[CÓDIGO],MATCH(Movimientos!$G811,Lista_Precios[PRODUCTO],0)),"")</f>
        <v/>
      </c>
      <c r="G811" s="107"/>
      <c r="H811" s="108"/>
      <c r="I811" s="40"/>
    </row>
    <row r="812" spans="2:9" ht="15.5" x14ac:dyDescent="0.35">
      <c r="B812" s="105"/>
      <c r="C812" s="106" t="str">
        <f t="shared" si="14"/>
        <v/>
      </c>
      <c r="D812" s="107"/>
      <c r="E812" s="107"/>
      <c r="F812" s="106" t="str">
        <f>IFERROR(INDEX(Lista_Precios[CÓDIGO],MATCH(Movimientos!$G812,Lista_Precios[PRODUCTO],0)),"")</f>
        <v/>
      </c>
      <c r="G812" s="107"/>
      <c r="H812" s="108"/>
      <c r="I812" s="40"/>
    </row>
    <row r="813" spans="2:9" ht="15.5" x14ac:dyDescent="0.35">
      <c r="B813" s="105"/>
      <c r="C813" s="106" t="str">
        <f t="shared" si="14"/>
        <v/>
      </c>
      <c r="D813" s="107"/>
      <c r="E813" s="107"/>
      <c r="F813" s="106" t="str">
        <f>IFERROR(INDEX(Lista_Precios[CÓDIGO],MATCH(Movimientos!$G813,Lista_Precios[PRODUCTO],0)),"")</f>
        <v/>
      </c>
      <c r="G813" s="107"/>
      <c r="H813" s="108"/>
      <c r="I813" s="40"/>
    </row>
    <row r="814" spans="2:9" ht="15.5" x14ac:dyDescent="0.35">
      <c r="B814" s="105"/>
      <c r="C814" s="106" t="str">
        <f t="shared" si="14"/>
        <v/>
      </c>
      <c r="D814" s="107"/>
      <c r="E814" s="107"/>
      <c r="F814" s="106" t="str">
        <f>IFERROR(INDEX(Lista_Precios[CÓDIGO],MATCH(Movimientos!$G814,Lista_Precios[PRODUCTO],0)),"")</f>
        <v/>
      </c>
      <c r="G814" s="107"/>
      <c r="H814" s="108"/>
      <c r="I814" s="40"/>
    </row>
    <row r="815" spans="2:9" ht="15.5" x14ac:dyDescent="0.35">
      <c r="B815" s="105"/>
      <c r="C815" s="106" t="str">
        <f t="shared" si="14"/>
        <v/>
      </c>
      <c r="D815" s="107"/>
      <c r="E815" s="107"/>
      <c r="F815" s="106" t="str">
        <f>IFERROR(INDEX(Lista_Precios[CÓDIGO],MATCH(Movimientos!$G815,Lista_Precios[PRODUCTO],0)),"")</f>
        <v/>
      </c>
      <c r="G815" s="107"/>
      <c r="H815" s="108"/>
      <c r="I815" s="40"/>
    </row>
    <row r="816" spans="2:9" ht="15.5" x14ac:dyDescent="0.35">
      <c r="B816" s="105"/>
      <c r="C816" s="106" t="str">
        <f t="shared" si="14"/>
        <v/>
      </c>
      <c r="D816" s="107"/>
      <c r="E816" s="107"/>
      <c r="F816" s="106" t="str">
        <f>IFERROR(INDEX(Lista_Precios[CÓDIGO],MATCH(Movimientos!$G816,Lista_Precios[PRODUCTO],0)),"")</f>
        <v/>
      </c>
      <c r="G816" s="107"/>
      <c r="H816" s="108"/>
      <c r="I816" s="40"/>
    </row>
    <row r="817" spans="2:9" ht="15.5" x14ac:dyDescent="0.35">
      <c r="B817" s="105"/>
      <c r="C817" s="106" t="str">
        <f t="shared" si="14"/>
        <v/>
      </c>
      <c r="D817" s="107"/>
      <c r="E817" s="107"/>
      <c r="F817" s="106" t="str">
        <f>IFERROR(INDEX(Lista_Precios[CÓDIGO],MATCH(Movimientos!$G817,Lista_Precios[PRODUCTO],0)),"")</f>
        <v/>
      </c>
      <c r="G817" s="107"/>
      <c r="H817" s="108"/>
      <c r="I817" s="40"/>
    </row>
    <row r="818" spans="2:9" ht="15.5" x14ac:dyDescent="0.35">
      <c r="B818" s="105"/>
      <c r="C818" s="106" t="str">
        <f t="shared" si="14"/>
        <v/>
      </c>
      <c r="D818" s="107"/>
      <c r="E818" s="107"/>
      <c r="F818" s="106" t="str">
        <f>IFERROR(INDEX(Lista_Precios[CÓDIGO],MATCH(Movimientos!$G818,Lista_Precios[PRODUCTO],0)),"")</f>
        <v/>
      </c>
      <c r="G818" s="107"/>
      <c r="H818" s="108"/>
      <c r="I818" s="40"/>
    </row>
    <row r="819" spans="2:9" ht="15.5" x14ac:dyDescent="0.35">
      <c r="B819" s="105"/>
      <c r="C819" s="106" t="str">
        <f t="shared" si="14"/>
        <v/>
      </c>
      <c r="D819" s="107"/>
      <c r="E819" s="107"/>
      <c r="F819" s="106" t="str">
        <f>IFERROR(INDEX(Lista_Precios[CÓDIGO],MATCH(Movimientos!$G819,Lista_Precios[PRODUCTO],0)),"")</f>
        <v/>
      </c>
      <c r="G819" s="107"/>
      <c r="H819" s="108"/>
      <c r="I819" s="40"/>
    </row>
    <row r="820" spans="2:9" ht="15.5" x14ac:dyDescent="0.35">
      <c r="B820" s="105"/>
      <c r="C820" s="106" t="str">
        <f t="shared" si="14"/>
        <v/>
      </c>
      <c r="D820" s="107"/>
      <c r="E820" s="107"/>
      <c r="F820" s="106" t="str">
        <f>IFERROR(INDEX(Lista_Precios[CÓDIGO],MATCH(Movimientos!$G820,Lista_Precios[PRODUCTO],0)),"")</f>
        <v/>
      </c>
      <c r="G820" s="107"/>
      <c r="H820" s="108"/>
      <c r="I820" s="40"/>
    </row>
    <row r="821" spans="2:9" ht="15.5" x14ac:dyDescent="0.35">
      <c r="B821" s="105"/>
      <c r="C821" s="106" t="str">
        <f t="shared" si="14"/>
        <v/>
      </c>
      <c r="D821" s="107"/>
      <c r="E821" s="107"/>
      <c r="F821" s="106" t="str">
        <f>IFERROR(INDEX(Lista_Precios[CÓDIGO],MATCH(Movimientos!$G821,Lista_Precios[PRODUCTO],0)),"")</f>
        <v/>
      </c>
      <c r="G821" s="107"/>
      <c r="H821" s="108"/>
      <c r="I821" s="40"/>
    </row>
    <row r="822" spans="2:9" ht="15.5" x14ac:dyDescent="0.35">
      <c r="B822" s="105"/>
      <c r="C822" s="106" t="str">
        <f t="shared" si="14"/>
        <v/>
      </c>
      <c r="D822" s="107"/>
      <c r="E822" s="107"/>
      <c r="F822" s="106" t="str">
        <f>IFERROR(INDEX(Lista_Precios[CÓDIGO],MATCH(Movimientos!$G822,Lista_Precios[PRODUCTO],0)),"")</f>
        <v/>
      </c>
      <c r="G822" s="107"/>
      <c r="H822" s="108"/>
      <c r="I822" s="40"/>
    </row>
    <row r="823" spans="2:9" ht="15.5" x14ac:dyDescent="0.35">
      <c r="B823" s="105"/>
      <c r="C823" s="106" t="str">
        <f t="shared" si="14"/>
        <v/>
      </c>
      <c r="D823" s="107"/>
      <c r="E823" s="107"/>
      <c r="F823" s="106" t="str">
        <f>IFERROR(INDEX(Lista_Precios[CÓDIGO],MATCH(Movimientos!$G823,Lista_Precios[PRODUCTO],0)),"")</f>
        <v/>
      </c>
      <c r="G823" s="107"/>
      <c r="H823" s="108"/>
      <c r="I823" s="40"/>
    </row>
    <row r="824" spans="2:9" ht="15.5" x14ac:dyDescent="0.35">
      <c r="B824" s="105"/>
      <c r="C824" s="106" t="str">
        <f t="shared" si="14"/>
        <v/>
      </c>
      <c r="D824" s="107"/>
      <c r="E824" s="107"/>
      <c r="F824" s="106" t="str">
        <f>IFERROR(INDEX(Lista_Precios[CÓDIGO],MATCH(Movimientos!$G824,Lista_Precios[PRODUCTO],0)),"")</f>
        <v/>
      </c>
      <c r="G824" s="107"/>
      <c r="H824" s="108"/>
      <c r="I824" s="40"/>
    </row>
    <row r="825" spans="2:9" ht="15.5" x14ac:dyDescent="0.35">
      <c r="B825" s="105"/>
      <c r="C825" s="106" t="str">
        <f t="shared" si="14"/>
        <v/>
      </c>
      <c r="D825" s="107"/>
      <c r="E825" s="107"/>
      <c r="F825" s="106" t="str">
        <f>IFERROR(INDEX(Lista_Precios[CÓDIGO],MATCH(Movimientos!$G825,Lista_Precios[PRODUCTO],0)),"")</f>
        <v/>
      </c>
      <c r="G825" s="107"/>
      <c r="H825" s="108"/>
      <c r="I825" s="40"/>
    </row>
    <row r="826" spans="2:9" ht="15.5" x14ac:dyDescent="0.35">
      <c r="B826" s="105"/>
      <c r="C826" s="106" t="str">
        <f t="shared" si="14"/>
        <v/>
      </c>
      <c r="D826" s="107"/>
      <c r="E826" s="107"/>
      <c r="F826" s="106" t="str">
        <f>IFERROR(INDEX(Lista_Precios[CÓDIGO],MATCH(Movimientos!$G826,Lista_Precios[PRODUCTO],0)),"")</f>
        <v/>
      </c>
      <c r="G826" s="107"/>
      <c r="H826" s="108"/>
      <c r="I826" s="40"/>
    </row>
    <row r="827" spans="2:9" ht="15.5" x14ac:dyDescent="0.35">
      <c r="B827" s="105"/>
      <c r="C827" s="106" t="str">
        <f t="shared" si="14"/>
        <v/>
      </c>
      <c r="D827" s="107"/>
      <c r="E827" s="107"/>
      <c r="F827" s="106" t="str">
        <f>IFERROR(INDEX(Lista_Precios[CÓDIGO],MATCH(Movimientos!$G827,Lista_Precios[PRODUCTO],0)),"")</f>
        <v/>
      </c>
      <c r="G827" s="107"/>
      <c r="H827" s="108"/>
      <c r="I827" s="40"/>
    </row>
    <row r="828" spans="2:9" ht="15.5" x14ac:dyDescent="0.35">
      <c r="B828" s="105"/>
      <c r="C828" s="106" t="str">
        <f t="shared" si="14"/>
        <v/>
      </c>
      <c r="D828" s="107"/>
      <c r="E828" s="107"/>
      <c r="F828" s="106" t="str">
        <f>IFERROR(INDEX(Lista_Precios[CÓDIGO],MATCH(Movimientos!$G828,Lista_Precios[PRODUCTO],0)),"")</f>
        <v/>
      </c>
      <c r="G828" s="107"/>
      <c r="H828" s="108"/>
      <c r="I828" s="40"/>
    </row>
    <row r="829" spans="2:9" ht="15.5" x14ac:dyDescent="0.35">
      <c r="B829" s="105"/>
      <c r="C829" s="106" t="str">
        <f t="shared" si="14"/>
        <v/>
      </c>
      <c r="D829" s="107"/>
      <c r="E829" s="107"/>
      <c r="F829" s="106" t="str">
        <f>IFERROR(INDEX(Lista_Precios[CÓDIGO],MATCH(Movimientos!$G829,Lista_Precios[PRODUCTO],0)),"")</f>
        <v/>
      </c>
      <c r="G829" s="107"/>
      <c r="H829" s="108"/>
      <c r="I829" s="40"/>
    </row>
    <row r="830" spans="2:9" ht="15.5" x14ac:dyDescent="0.35">
      <c r="B830" s="105"/>
      <c r="C830" s="106" t="str">
        <f t="shared" si="14"/>
        <v/>
      </c>
      <c r="D830" s="107"/>
      <c r="E830" s="107"/>
      <c r="F830" s="106" t="str">
        <f>IFERROR(INDEX(Lista_Precios[CÓDIGO],MATCH(Movimientos!$G830,Lista_Precios[PRODUCTO],0)),"")</f>
        <v/>
      </c>
      <c r="G830" s="107"/>
      <c r="H830" s="108"/>
      <c r="I830" s="40"/>
    </row>
    <row r="831" spans="2:9" ht="15.5" x14ac:dyDescent="0.35">
      <c r="B831" s="105"/>
      <c r="C831" s="106" t="str">
        <f t="shared" si="14"/>
        <v/>
      </c>
      <c r="D831" s="107"/>
      <c r="E831" s="107"/>
      <c r="F831" s="106" t="str">
        <f>IFERROR(INDEX(Lista_Precios[CÓDIGO],MATCH(Movimientos!$G831,Lista_Precios[PRODUCTO],0)),"")</f>
        <v/>
      </c>
      <c r="G831" s="107"/>
      <c r="H831" s="108"/>
      <c r="I831" s="40"/>
    </row>
    <row r="832" spans="2:9" ht="15.5" x14ac:dyDescent="0.35">
      <c r="B832" s="105"/>
      <c r="C832" s="106" t="str">
        <f t="shared" si="14"/>
        <v/>
      </c>
      <c r="D832" s="107"/>
      <c r="E832" s="107"/>
      <c r="F832" s="106" t="str">
        <f>IFERROR(INDEX(Lista_Precios[CÓDIGO],MATCH(Movimientos!$G832,Lista_Precios[PRODUCTO],0)),"")</f>
        <v/>
      </c>
      <c r="G832" s="107"/>
      <c r="H832" s="108"/>
      <c r="I832" s="40"/>
    </row>
    <row r="833" spans="2:9" ht="15.5" x14ac:dyDescent="0.35">
      <c r="B833" s="105"/>
      <c r="C833" s="106" t="str">
        <f t="shared" si="14"/>
        <v/>
      </c>
      <c r="D833" s="107"/>
      <c r="E833" s="107"/>
      <c r="F833" s="106" t="str">
        <f>IFERROR(INDEX(Lista_Precios[CÓDIGO],MATCH(Movimientos!$G833,Lista_Precios[PRODUCTO],0)),"")</f>
        <v/>
      </c>
      <c r="G833" s="107"/>
      <c r="H833" s="108"/>
      <c r="I833" s="40"/>
    </row>
    <row r="834" spans="2:9" ht="15.5" x14ac:dyDescent="0.35">
      <c r="B834" s="105"/>
      <c r="C834" s="106" t="str">
        <f t="shared" si="14"/>
        <v/>
      </c>
      <c r="D834" s="107"/>
      <c r="E834" s="107"/>
      <c r="F834" s="106" t="str">
        <f>IFERROR(INDEX(Lista_Precios[CÓDIGO],MATCH(Movimientos!$G834,Lista_Precios[PRODUCTO],0)),"")</f>
        <v/>
      </c>
      <c r="G834" s="107"/>
      <c r="H834" s="108"/>
      <c r="I834" s="40"/>
    </row>
    <row r="835" spans="2:9" ht="15.5" x14ac:dyDescent="0.35">
      <c r="B835" s="105"/>
      <c r="C835" s="106" t="str">
        <f t="shared" si="14"/>
        <v/>
      </c>
      <c r="D835" s="107"/>
      <c r="E835" s="107"/>
      <c r="F835" s="106" t="str">
        <f>IFERROR(INDEX(Lista_Precios[CÓDIGO],MATCH(Movimientos!$G835,Lista_Precios[PRODUCTO],0)),"")</f>
        <v/>
      </c>
      <c r="G835" s="107"/>
      <c r="H835" s="108"/>
      <c r="I835" s="40"/>
    </row>
    <row r="836" spans="2:9" ht="15.5" x14ac:dyDescent="0.35">
      <c r="B836" s="105"/>
      <c r="C836" s="106" t="str">
        <f t="shared" si="14"/>
        <v/>
      </c>
      <c r="D836" s="107"/>
      <c r="E836" s="107"/>
      <c r="F836" s="106" t="str">
        <f>IFERROR(INDEX(Lista_Precios[CÓDIGO],MATCH(Movimientos!$G836,Lista_Precios[PRODUCTO],0)),"")</f>
        <v/>
      </c>
      <c r="G836" s="107"/>
      <c r="H836" s="108"/>
      <c r="I836" s="40"/>
    </row>
    <row r="837" spans="2:9" ht="15.5" x14ac:dyDescent="0.35">
      <c r="B837" s="105"/>
      <c r="C837" s="106" t="str">
        <f t="shared" si="14"/>
        <v/>
      </c>
      <c r="D837" s="107"/>
      <c r="E837" s="107"/>
      <c r="F837" s="106" t="str">
        <f>IFERROR(INDEX(Lista_Precios[CÓDIGO],MATCH(Movimientos!$G837,Lista_Precios[PRODUCTO],0)),"")</f>
        <v/>
      </c>
      <c r="G837" s="107"/>
      <c r="H837" s="108"/>
      <c r="I837" s="40"/>
    </row>
    <row r="838" spans="2:9" ht="15.5" x14ac:dyDescent="0.35">
      <c r="B838" s="105"/>
      <c r="C838" s="106" t="str">
        <f t="shared" si="14"/>
        <v/>
      </c>
      <c r="D838" s="107"/>
      <c r="E838" s="107"/>
      <c r="F838" s="106" t="str">
        <f>IFERROR(INDEX(Lista_Precios[CÓDIGO],MATCH(Movimientos!$G838,Lista_Precios[PRODUCTO],0)),"")</f>
        <v/>
      </c>
      <c r="G838" s="107"/>
      <c r="H838" s="108"/>
      <c r="I838" s="40"/>
    </row>
    <row r="839" spans="2:9" ht="15.5" x14ac:dyDescent="0.35">
      <c r="B839" s="105"/>
      <c r="C839" s="106" t="str">
        <f t="shared" si="14"/>
        <v/>
      </c>
      <c r="D839" s="107"/>
      <c r="E839" s="107"/>
      <c r="F839" s="106" t="str">
        <f>IFERROR(INDEX(Lista_Precios[CÓDIGO],MATCH(Movimientos!$G839,Lista_Precios[PRODUCTO],0)),"")</f>
        <v/>
      </c>
      <c r="G839" s="107"/>
      <c r="H839" s="108"/>
      <c r="I839" s="40"/>
    </row>
    <row r="840" spans="2:9" ht="15.5" x14ac:dyDescent="0.35">
      <c r="B840" s="105"/>
      <c r="C840" s="106" t="str">
        <f t="shared" si="14"/>
        <v/>
      </c>
      <c r="D840" s="107"/>
      <c r="E840" s="107"/>
      <c r="F840" s="106" t="str">
        <f>IFERROR(INDEX(Lista_Precios[CÓDIGO],MATCH(Movimientos!$G840,Lista_Precios[PRODUCTO],0)),"")</f>
        <v/>
      </c>
      <c r="G840" s="107"/>
      <c r="H840" s="108"/>
      <c r="I840" s="40"/>
    </row>
    <row r="841" spans="2:9" ht="15.5" x14ac:dyDescent="0.35">
      <c r="B841" s="105"/>
      <c r="C841" s="106" t="str">
        <f t="shared" si="14"/>
        <v/>
      </c>
      <c r="D841" s="107"/>
      <c r="E841" s="107"/>
      <c r="F841" s="106" t="str">
        <f>IFERROR(INDEX(Lista_Precios[CÓDIGO],MATCH(Movimientos!$G841,Lista_Precios[PRODUCTO],0)),"")</f>
        <v/>
      </c>
      <c r="G841" s="107"/>
      <c r="H841" s="108"/>
      <c r="I841" s="40"/>
    </row>
    <row r="842" spans="2:9" ht="15.5" x14ac:dyDescent="0.35">
      <c r="B842" s="105"/>
      <c r="C842" s="106" t="str">
        <f t="shared" si="14"/>
        <v/>
      </c>
      <c r="D842" s="107"/>
      <c r="E842" s="107"/>
      <c r="F842" s="106" t="str">
        <f>IFERROR(INDEX(Lista_Precios[CÓDIGO],MATCH(Movimientos!$G842,Lista_Precios[PRODUCTO],0)),"")</f>
        <v/>
      </c>
      <c r="G842" s="107"/>
      <c r="H842" s="108"/>
      <c r="I842" s="40"/>
    </row>
    <row r="843" spans="2:9" ht="15.5" x14ac:dyDescent="0.35">
      <c r="B843" s="105"/>
      <c r="C843" s="106" t="str">
        <f t="shared" si="14"/>
        <v/>
      </c>
      <c r="D843" s="107"/>
      <c r="E843" s="107"/>
      <c r="F843" s="106" t="str">
        <f>IFERROR(INDEX(Lista_Precios[CÓDIGO],MATCH(Movimientos!$G843,Lista_Precios[PRODUCTO],0)),"")</f>
        <v/>
      </c>
      <c r="G843" s="107"/>
      <c r="H843" s="108"/>
      <c r="I843" s="40"/>
    </row>
    <row r="844" spans="2:9" ht="15.5" x14ac:dyDescent="0.35">
      <c r="B844" s="105"/>
      <c r="C844" s="106" t="str">
        <f t="shared" si="14"/>
        <v/>
      </c>
      <c r="D844" s="107"/>
      <c r="E844" s="107"/>
      <c r="F844" s="106" t="str">
        <f>IFERROR(INDEX(Lista_Precios[CÓDIGO],MATCH(Movimientos!$G844,Lista_Precios[PRODUCTO],0)),"")</f>
        <v/>
      </c>
      <c r="G844" s="107"/>
      <c r="H844" s="108"/>
      <c r="I844" s="40"/>
    </row>
    <row r="845" spans="2:9" ht="15.5" x14ac:dyDescent="0.35">
      <c r="B845" s="105"/>
      <c r="C845" s="106" t="str">
        <f t="shared" si="14"/>
        <v/>
      </c>
      <c r="D845" s="107"/>
      <c r="E845" s="107"/>
      <c r="F845" s="106" t="str">
        <f>IFERROR(INDEX(Lista_Precios[CÓDIGO],MATCH(Movimientos!$G845,Lista_Precios[PRODUCTO],0)),"")</f>
        <v/>
      </c>
      <c r="G845" s="107"/>
      <c r="H845" s="108"/>
      <c r="I845" s="40"/>
    </row>
    <row r="846" spans="2:9" ht="15.5" x14ac:dyDescent="0.35">
      <c r="B846" s="105"/>
      <c r="C846" s="106" t="str">
        <f t="shared" si="14"/>
        <v/>
      </c>
      <c r="D846" s="107"/>
      <c r="E846" s="107"/>
      <c r="F846" s="106" t="str">
        <f>IFERROR(INDEX(Lista_Precios[CÓDIGO],MATCH(Movimientos!$G846,Lista_Precios[PRODUCTO],0)),"")</f>
        <v/>
      </c>
      <c r="G846" s="107"/>
      <c r="H846" s="108"/>
      <c r="I846" s="40"/>
    </row>
    <row r="847" spans="2:9" ht="15.5" x14ac:dyDescent="0.35">
      <c r="B847" s="105"/>
      <c r="C847" s="106" t="str">
        <f t="shared" si="14"/>
        <v/>
      </c>
      <c r="D847" s="107"/>
      <c r="E847" s="107"/>
      <c r="F847" s="106" t="str">
        <f>IFERROR(INDEX(Lista_Precios[CÓDIGO],MATCH(Movimientos!$G847,Lista_Precios[PRODUCTO],0)),"")</f>
        <v/>
      </c>
      <c r="G847" s="107"/>
      <c r="H847" s="108"/>
      <c r="I847" s="40"/>
    </row>
    <row r="848" spans="2:9" ht="15.5" x14ac:dyDescent="0.35">
      <c r="B848" s="105"/>
      <c r="C848" s="106" t="str">
        <f t="shared" si="14"/>
        <v/>
      </c>
      <c r="D848" s="107"/>
      <c r="E848" s="107"/>
      <c r="F848" s="106" t="str">
        <f>IFERROR(INDEX(Lista_Precios[CÓDIGO],MATCH(Movimientos!$G848,Lista_Precios[PRODUCTO],0)),"")</f>
        <v/>
      </c>
      <c r="G848" s="107"/>
      <c r="H848" s="108"/>
      <c r="I848" s="40"/>
    </row>
    <row r="849" spans="2:9" ht="15.5" x14ac:dyDescent="0.35">
      <c r="B849" s="105"/>
      <c r="C849" s="106" t="str">
        <f t="shared" si="14"/>
        <v/>
      </c>
      <c r="D849" s="107"/>
      <c r="E849" s="107"/>
      <c r="F849" s="106" t="str">
        <f>IFERROR(INDEX(Lista_Precios[CÓDIGO],MATCH(Movimientos!$G849,Lista_Precios[PRODUCTO],0)),"")</f>
        <v/>
      </c>
      <c r="G849" s="107"/>
      <c r="H849" s="108"/>
      <c r="I849" s="40"/>
    </row>
    <row r="850" spans="2:9" ht="15.5" x14ac:dyDescent="0.35">
      <c r="B850" s="105"/>
      <c r="C850" s="106" t="str">
        <f t="shared" si="14"/>
        <v/>
      </c>
      <c r="D850" s="107"/>
      <c r="E850" s="107"/>
      <c r="F850" s="106" t="str">
        <f>IFERROR(INDEX(Lista_Precios[CÓDIGO],MATCH(Movimientos!$G850,Lista_Precios[PRODUCTO],0)),"")</f>
        <v/>
      </c>
      <c r="G850" s="107"/>
      <c r="H850" s="108"/>
      <c r="I850" s="40"/>
    </row>
    <row r="851" spans="2:9" ht="15.5" x14ac:dyDescent="0.35">
      <c r="B851" s="105"/>
      <c r="C851" s="106" t="str">
        <f t="shared" si="14"/>
        <v/>
      </c>
      <c r="D851" s="107"/>
      <c r="E851" s="107"/>
      <c r="F851" s="106" t="str">
        <f>IFERROR(INDEX(Lista_Precios[CÓDIGO],MATCH(Movimientos!$G851,Lista_Precios[PRODUCTO],0)),"")</f>
        <v/>
      </c>
      <c r="G851" s="107"/>
      <c r="H851" s="108"/>
      <c r="I851" s="40"/>
    </row>
    <row r="852" spans="2:9" ht="15.5" x14ac:dyDescent="0.35">
      <c r="B852" s="105"/>
      <c r="C852" s="106" t="str">
        <f t="shared" si="14"/>
        <v/>
      </c>
      <c r="D852" s="107"/>
      <c r="E852" s="107"/>
      <c r="F852" s="106" t="str">
        <f>IFERROR(INDEX(Lista_Precios[CÓDIGO],MATCH(Movimientos!$G852,Lista_Precios[PRODUCTO],0)),"")</f>
        <v/>
      </c>
      <c r="G852" s="107"/>
      <c r="H852" s="108"/>
      <c r="I852" s="40"/>
    </row>
    <row r="853" spans="2:9" ht="15.5" x14ac:dyDescent="0.35">
      <c r="B853" s="105"/>
      <c r="C853" s="106" t="str">
        <f t="shared" si="14"/>
        <v/>
      </c>
      <c r="D853" s="107"/>
      <c r="E853" s="107"/>
      <c r="F853" s="106" t="str">
        <f>IFERROR(INDEX(Lista_Precios[CÓDIGO],MATCH(Movimientos!$G853,Lista_Precios[PRODUCTO],0)),"")</f>
        <v/>
      </c>
      <c r="G853" s="107"/>
      <c r="H853" s="108"/>
      <c r="I853" s="40"/>
    </row>
    <row r="854" spans="2:9" ht="15.5" x14ac:dyDescent="0.35">
      <c r="B854" s="105"/>
      <c r="C854" s="106" t="str">
        <f t="shared" si="14"/>
        <v/>
      </c>
      <c r="D854" s="107"/>
      <c r="E854" s="107"/>
      <c r="F854" s="106" t="str">
        <f>IFERROR(INDEX(Lista_Precios[CÓDIGO],MATCH(Movimientos!$G854,Lista_Precios[PRODUCTO],0)),"")</f>
        <v/>
      </c>
      <c r="G854" s="107"/>
      <c r="H854" s="108"/>
      <c r="I854" s="40"/>
    </row>
    <row r="855" spans="2:9" ht="15.5" x14ac:dyDescent="0.35">
      <c r="B855" s="105"/>
      <c r="C855" s="106" t="str">
        <f t="shared" si="14"/>
        <v/>
      </c>
      <c r="D855" s="107"/>
      <c r="E855" s="107"/>
      <c r="F855" s="106" t="str">
        <f>IFERROR(INDEX(Lista_Precios[CÓDIGO],MATCH(Movimientos!$G855,Lista_Precios[PRODUCTO],0)),"")</f>
        <v/>
      </c>
      <c r="G855" s="107"/>
      <c r="H855" s="108"/>
      <c r="I855" s="40"/>
    </row>
    <row r="856" spans="2:9" ht="15.5" x14ac:dyDescent="0.35">
      <c r="B856" s="105"/>
      <c r="C856" s="106" t="str">
        <f t="shared" si="14"/>
        <v/>
      </c>
      <c r="D856" s="107"/>
      <c r="E856" s="107"/>
      <c r="F856" s="106" t="str">
        <f>IFERROR(INDEX(Lista_Precios[CÓDIGO],MATCH(Movimientos!$G856,Lista_Precios[PRODUCTO],0)),"")</f>
        <v/>
      </c>
      <c r="G856" s="107"/>
      <c r="H856" s="108"/>
      <c r="I856" s="40"/>
    </row>
    <row r="857" spans="2:9" ht="15.5" x14ac:dyDescent="0.35">
      <c r="B857" s="105"/>
      <c r="C857" s="106" t="str">
        <f t="shared" si="14"/>
        <v/>
      </c>
      <c r="D857" s="107"/>
      <c r="E857" s="107"/>
      <c r="F857" s="106" t="str">
        <f>IFERROR(INDEX(Lista_Precios[CÓDIGO],MATCH(Movimientos!$G857,Lista_Precios[PRODUCTO],0)),"")</f>
        <v/>
      </c>
      <c r="G857" s="107"/>
      <c r="H857" s="108"/>
      <c r="I857" s="40"/>
    </row>
    <row r="858" spans="2:9" ht="15.5" x14ac:dyDescent="0.35">
      <c r="B858" s="105"/>
      <c r="C858" s="106" t="str">
        <f t="shared" si="14"/>
        <v/>
      </c>
      <c r="D858" s="107"/>
      <c r="E858" s="107"/>
      <c r="F858" s="106" t="str">
        <f>IFERROR(INDEX(Lista_Precios[CÓDIGO],MATCH(Movimientos!$G858,Lista_Precios[PRODUCTO],0)),"")</f>
        <v/>
      </c>
      <c r="G858" s="107"/>
      <c r="H858" s="108"/>
      <c r="I858" s="40"/>
    </row>
    <row r="859" spans="2:9" ht="15.5" x14ac:dyDescent="0.35">
      <c r="B859" s="105"/>
      <c r="C859" s="106" t="str">
        <f t="shared" si="14"/>
        <v/>
      </c>
      <c r="D859" s="107"/>
      <c r="E859" s="107"/>
      <c r="F859" s="106" t="str">
        <f>IFERROR(INDEX(Lista_Precios[CÓDIGO],MATCH(Movimientos!$G859,Lista_Precios[PRODUCTO],0)),"")</f>
        <v/>
      </c>
      <c r="G859" s="107"/>
      <c r="H859" s="108"/>
      <c r="I859" s="40"/>
    </row>
    <row r="860" spans="2:9" ht="15.5" x14ac:dyDescent="0.35">
      <c r="B860" s="105"/>
      <c r="C860" s="106" t="str">
        <f t="shared" si="14"/>
        <v/>
      </c>
      <c r="D860" s="107"/>
      <c r="E860" s="107"/>
      <c r="F860" s="106" t="str">
        <f>IFERROR(INDEX(Lista_Precios[CÓDIGO],MATCH(Movimientos!$G860,Lista_Precios[PRODUCTO],0)),"")</f>
        <v/>
      </c>
      <c r="G860" s="107"/>
      <c r="H860" s="108"/>
      <c r="I860" s="40"/>
    </row>
    <row r="861" spans="2:9" ht="15.5" x14ac:dyDescent="0.35">
      <c r="B861" s="105"/>
      <c r="C861" s="106" t="str">
        <f t="shared" si="14"/>
        <v/>
      </c>
      <c r="D861" s="107"/>
      <c r="E861" s="107"/>
      <c r="F861" s="106" t="str">
        <f>IFERROR(INDEX(Lista_Precios[CÓDIGO],MATCH(Movimientos!$G861,Lista_Precios[PRODUCTO],0)),"")</f>
        <v/>
      </c>
      <c r="G861" s="107"/>
      <c r="H861" s="108"/>
      <c r="I861" s="40"/>
    </row>
    <row r="862" spans="2:9" ht="15.5" x14ac:dyDescent="0.35">
      <c r="B862" s="105"/>
      <c r="C862" s="106" t="str">
        <f t="shared" si="14"/>
        <v/>
      </c>
      <c r="D862" s="107"/>
      <c r="E862" s="107"/>
      <c r="F862" s="106" t="str">
        <f>IFERROR(INDEX(Lista_Precios[CÓDIGO],MATCH(Movimientos!$G862,Lista_Precios[PRODUCTO],0)),"")</f>
        <v/>
      </c>
      <c r="G862" s="107"/>
      <c r="H862" s="108"/>
      <c r="I862" s="40"/>
    </row>
    <row r="863" spans="2:9" ht="15.5" x14ac:dyDescent="0.35">
      <c r="B863" s="105"/>
      <c r="C863" s="106" t="str">
        <f t="shared" si="14"/>
        <v/>
      </c>
      <c r="D863" s="107"/>
      <c r="E863" s="107"/>
      <c r="F863" s="106" t="str">
        <f>IFERROR(INDEX(Lista_Precios[CÓDIGO],MATCH(Movimientos!$G863,Lista_Precios[PRODUCTO],0)),"")</f>
        <v/>
      </c>
      <c r="G863" s="107"/>
      <c r="H863" s="108"/>
      <c r="I863" s="40"/>
    </row>
    <row r="864" spans="2:9" ht="15.5" x14ac:dyDescent="0.35">
      <c r="B864" s="105"/>
      <c r="C864" s="106" t="str">
        <f t="shared" si="14"/>
        <v/>
      </c>
      <c r="D864" s="107"/>
      <c r="E864" s="107"/>
      <c r="F864" s="106" t="str">
        <f>IFERROR(INDEX(Lista_Precios[CÓDIGO],MATCH(Movimientos!$G864,Lista_Precios[PRODUCTO],0)),"")</f>
        <v/>
      </c>
      <c r="G864" s="107"/>
      <c r="H864" s="108"/>
      <c r="I864" s="40"/>
    </row>
    <row r="865" spans="2:9" ht="15.5" x14ac:dyDescent="0.35">
      <c r="B865" s="105"/>
      <c r="C865" s="106" t="str">
        <f t="shared" si="14"/>
        <v/>
      </c>
      <c r="D865" s="107"/>
      <c r="E865" s="107"/>
      <c r="F865" s="106" t="str">
        <f>IFERROR(INDEX(Lista_Precios[CÓDIGO],MATCH(Movimientos!$G865,Lista_Precios[PRODUCTO],0)),"")</f>
        <v/>
      </c>
      <c r="G865" s="107"/>
      <c r="H865" s="108"/>
      <c r="I865" s="40"/>
    </row>
    <row r="866" spans="2:9" ht="15.5" x14ac:dyDescent="0.35">
      <c r="B866" s="105"/>
      <c r="C866" s="106" t="str">
        <f t="shared" si="14"/>
        <v/>
      </c>
      <c r="D866" s="107"/>
      <c r="E866" s="107"/>
      <c r="F866" s="106" t="str">
        <f>IFERROR(INDEX(Lista_Precios[CÓDIGO],MATCH(Movimientos!$G866,Lista_Precios[PRODUCTO],0)),"")</f>
        <v/>
      </c>
      <c r="G866" s="107"/>
      <c r="H866" s="108"/>
      <c r="I866" s="40"/>
    </row>
    <row r="867" spans="2:9" ht="15.5" x14ac:dyDescent="0.35">
      <c r="B867" s="105"/>
      <c r="C867" s="106" t="str">
        <f t="shared" si="14"/>
        <v/>
      </c>
      <c r="D867" s="107"/>
      <c r="E867" s="107"/>
      <c r="F867" s="106" t="str">
        <f>IFERROR(INDEX(Lista_Precios[CÓDIGO],MATCH(Movimientos!$G867,Lista_Precios[PRODUCTO],0)),"")</f>
        <v/>
      </c>
      <c r="G867" s="107"/>
      <c r="H867" s="108"/>
      <c r="I867" s="40"/>
    </row>
    <row r="868" spans="2:9" ht="15.5" x14ac:dyDescent="0.35">
      <c r="B868" s="105"/>
      <c r="C868" s="106" t="str">
        <f t="shared" si="14"/>
        <v/>
      </c>
      <c r="D868" s="107"/>
      <c r="E868" s="107"/>
      <c r="F868" s="106" t="str">
        <f>IFERROR(INDEX(Lista_Precios[CÓDIGO],MATCH(Movimientos!$G868,Lista_Precios[PRODUCTO],0)),"")</f>
        <v/>
      </c>
      <c r="G868" s="107"/>
      <c r="H868" s="108"/>
      <c r="I868" s="40"/>
    </row>
    <row r="869" spans="2:9" ht="15.5" x14ac:dyDescent="0.35">
      <c r="B869" s="105"/>
      <c r="C869" s="106" t="str">
        <f t="shared" si="14"/>
        <v/>
      </c>
      <c r="D869" s="107"/>
      <c r="E869" s="107"/>
      <c r="F869" s="106" t="str">
        <f>IFERROR(INDEX(Lista_Precios[CÓDIGO],MATCH(Movimientos!$G869,Lista_Precios[PRODUCTO],0)),"")</f>
        <v/>
      </c>
      <c r="G869" s="107"/>
      <c r="H869" s="108"/>
      <c r="I869" s="40"/>
    </row>
    <row r="870" spans="2:9" ht="15.5" x14ac:dyDescent="0.35">
      <c r="B870" s="105"/>
      <c r="C870" s="106" t="str">
        <f t="shared" si="14"/>
        <v/>
      </c>
      <c r="D870" s="107"/>
      <c r="E870" s="107"/>
      <c r="F870" s="106" t="str">
        <f>IFERROR(INDEX(Lista_Precios[CÓDIGO],MATCH(Movimientos!$G870,Lista_Precios[PRODUCTO],0)),"")</f>
        <v/>
      </c>
      <c r="G870" s="107"/>
      <c r="H870" s="108"/>
      <c r="I870" s="40"/>
    </row>
    <row r="871" spans="2:9" ht="15.5" x14ac:dyDescent="0.35">
      <c r="B871" s="105"/>
      <c r="C871" s="106" t="str">
        <f t="shared" ref="C871:C934" si="15">IF(B871="","",TEXT(B871,"Mmmm"))</f>
        <v/>
      </c>
      <c r="D871" s="107"/>
      <c r="E871" s="107"/>
      <c r="F871" s="106" t="str">
        <f>IFERROR(INDEX(Lista_Precios[CÓDIGO],MATCH(Movimientos!$G871,Lista_Precios[PRODUCTO],0)),"")</f>
        <v/>
      </c>
      <c r="G871" s="107"/>
      <c r="H871" s="108"/>
      <c r="I871" s="40"/>
    </row>
    <row r="872" spans="2:9" ht="15.5" x14ac:dyDescent="0.35">
      <c r="B872" s="105"/>
      <c r="C872" s="106" t="str">
        <f t="shared" si="15"/>
        <v/>
      </c>
      <c r="D872" s="107"/>
      <c r="E872" s="107"/>
      <c r="F872" s="106" t="str">
        <f>IFERROR(INDEX(Lista_Precios[CÓDIGO],MATCH(Movimientos!$G872,Lista_Precios[PRODUCTO],0)),"")</f>
        <v/>
      </c>
      <c r="G872" s="107"/>
      <c r="H872" s="108"/>
      <c r="I872" s="40"/>
    </row>
    <row r="873" spans="2:9" ht="15.5" x14ac:dyDescent="0.35">
      <c r="B873" s="105"/>
      <c r="C873" s="106" t="str">
        <f t="shared" si="15"/>
        <v/>
      </c>
      <c r="D873" s="107"/>
      <c r="E873" s="107"/>
      <c r="F873" s="106" t="str">
        <f>IFERROR(INDEX(Lista_Precios[CÓDIGO],MATCH(Movimientos!$G873,Lista_Precios[PRODUCTO],0)),"")</f>
        <v/>
      </c>
      <c r="G873" s="107"/>
      <c r="H873" s="108"/>
      <c r="I873" s="40"/>
    </row>
    <row r="874" spans="2:9" ht="15.5" x14ac:dyDescent="0.35">
      <c r="B874" s="105"/>
      <c r="C874" s="106" t="str">
        <f t="shared" si="15"/>
        <v/>
      </c>
      <c r="D874" s="107"/>
      <c r="E874" s="107"/>
      <c r="F874" s="106" t="str">
        <f>IFERROR(INDEX(Lista_Precios[CÓDIGO],MATCH(Movimientos!$G874,Lista_Precios[PRODUCTO],0)),"")</f>
        <v/>
      </c>
      <c r="G874" s="107"/>
      <c r="H874" s="108"/>
      <c r="I874" s="40"/>
    </row>
    <row r="875" spans="2:9" ht="15.5" x14ac:dyDescent="0.35">
      <c r="B875" s="105"/>
      <c r="C875" s="106" t="str">
        <f t="shared" si="15"/>
        <v/>
      </c>
      <c r="D875" s="107"/>
      <c r="E875" s="107"/>
      <c r="F875" s="106" t="str">
        <f>IFERROR(INDEX(Lista_Precios[CÓDIGO],MATCH(Movimientos!$G875,Lista_Precios[PRODUCTO],0)),"")</f>
        <v/>
      </c>
      <c r="G875" s="107"/>
      <c r="H875" s="108"/>
      <c r="I875" s="40"/>
    </row>
    <row r="876" spans="2:9" ht="15.5" x14ac:dyDescent="0.35">
      <c r="B876" s="105"/>
      <c r="C876" s="106" t="str">
        <f t="shared" si="15"/>
        <v/>
      </c>
      <c r="D876" s="107"/>
      <c r="E876" s="107"/>
      <c r="F876" s="106" t="str">
        <f>IFERROR(INDEX(Lista_Precios[CÓDIGO],MATCH(Movimientos!$G876,Lista_Precios[PRODUCTO],0)),"")</f>
        <v/>
      </c>
      <c r="G876" s="107"/>
      <c r="H876" s="108"/>
      <c r="I876" s="40"/>
    </row>
    <row r="877" spans="2:9" ht="15.5" x14ac:dyDescent="0.35">
      <c r="B877" s="105"/>
      <c r="C877" s="106" t="str">
        <f t="shared" si="15"/>
        <v/>
      </c>
      <c r="D877" s="107"/>
      <c r="E877" s="107"/>
      <c r="F877" s="106" t="str">
        <f>IFERROR(INDEX(Lista_Precios[CÓDIGO],MATCH(Movimientos!$G877,Lista_Precios[PRODUCTO],0)),"")</f>
        <v/>
      </c>
      <c r="G877" s="107"/>
      <c r="H877" s="108"/>
      <c r="I877" s="40"/>
    </row>
    <row r="878" spans="2:9" ht="15.5" x14ac:dyDescent="0.35">
      <c r="B878" s="105"/>
      <c r="C878" s="106" t="str">
        <f t="shared" si="15"/>
        <v/>
      </c>
      <c r="D878" s="107"/>
      <c r="E878" s="107"/>
      <c r="F878" s="106" t="str">
        <f>IFERROR(INDEX(Lista_Precios[CÓDIGO],MATCH(Movimientos!$G878,Lista_Precios[PRODUCTO],0)),"")</f>
        <v/>
      </c>
      <c r="G878" s="107"/>
      <c r="H878" s="108"/>
      <c r="I878" s="40"/>
    </row>
    <row r="879" spans="2:9" ht="15.5" x14ac:dyDescent="0.35">
      <c r="B879" s="105"/>
      <c r="C879" s="106" t="str">
        <f t="shared" si="15"/>
        <v/>
      </c>
      <c r="D879" s="107"/>
      <c r="E879" s="107"/>
      <c r="F879" s="106" t="str">
        <f>IFERROR(INDEX(Lista_Precios[CÓDIGO],MATCH(Movimientos!$G879,Lista_Precios[PRODUCTO],0)),"")</f>
        <v/>
      </c>
      <c r="G879" s="107"/>
      <c r="H879" s="108"/>
      <c r="I879" s="40"/>
    </row>
    <row r="880" spans="2:9" ht="15.5" x14ac:dyDescent="0.35">
      <c r="B880" s="105"/>
      <c r="C880" s="106" t="str">
        <f t="shared" si="15"/>
        <v/>
      </c>
      <c r="D880" s="107"/>
      <c r="E880" s="107"/>
      <c r="F880" s="106" t="str">
        <f>IFERROR(INDEX(Lista_Precios[CÓDIGO],MATCH(Movimientos!$G880,Lista_Precios[PRODUCTO],0)),"")</f>
        <v/>
      </c>
      <c r="G880" s="107"/>
      <c r="H880" s="108"/>
      <c r="I880" s="40"/>
    </row>
    <row r="881" spans="2:9" ht="15.5" x14ac:dyDescent="0.35">
      <c r="B881" s="105"/>
      <c r="C881" s="106" t="str">
        <f t="shared" si="15"/>
        <v/>
      </c>
      <c r="D881" s="107"/>
      <c r="E881" s="107"/>
      <c r="F881" s="106" t="str">
        <f>IFERROR(INDEX(Lista_Precios[CÓDIGO],MATCH(Movimientos!$G881,Lista_Precios[PRODUCTO],0)),"")</f>
        <v/>
      </c>
      <c r="G881" s="107"/>
      <c r="H881" s="108"/>
      <c r="I881" s="40"/>
    </row>
    <row r="882" spans="2:9" ht="15.5" x14ac:dyDescent="0.35">
      <c r="B882" s="105"/>
      <c r="C882" s="106" t="str">
        <f t="shared" si="15"/>
        <v/>
      </c>
      <c r="D882" s="107"/>
      <c r="E882" s="107"/>
      <c r="F882" s="106" t="str">
        <f>IFERROR(INDEX(Lista_Precios[CÓDIGO],MATCH(Movimientos!$G882,Lista_Precios[PRODUCTO],0)),"")</f>
        <v/>
      </c>
      <c r="G882" s="107"/>
      <c r="H882" s="108"/>
      <c r="I882" s="40"/>
    </row>
    <row r="883" spans="2:9" ht="15.5" x14ac:dyDescent="0.35">
      <c r="B883" s="105"/>
      <c r="C883" s="106" t="str">
        <f t="shared" si="15"/>
        <v/>
      </c>
      <c r="D883" s="107"/>
      <c r="E883" s="107"/>
      <c r="F883" s="106" t="str">
        <f>IFERROR(INDEX(Lista_Precios[CÓDIGO],MATCH(Movimientos!$G883,Lista_Precios[PRODUCTO],0)),"")</f>
        <v/>
      </c>
      <c r="G883" s="107"/>
      <c r="H883" s="108"/>
      <c r="I883" s="40"/>
    </row>
    <row r="884" spans="2:9" ht="15.5" x14ac:dyDescent="0.35">
      <c r="B884" s="105"/>
      <c r="C884" s="106" t="str">
        <f t="shared" si="15"/>
        <v/>
      </c>
      <c r="D884" s="107"/>
      <c r="E884" s="107"/>
      <c r="F884" s="106" t="str">
        <f>IFERROR(INDEX(Lista_Precios[CÓDIGO],MATCH(Movimientos!$G884,Lista_Precios[PRODUCTO],0)),"")</f>
        <v/>
      </c>
      <c r="G884" s="107"/>
      <c r="H884" s="108"/>
      <c r="I884" s="40"/>
    </row>
    <row r="885" spans="2:9" ht="15.5" x14ac:dyDescent="0.35">
      <c r="B885" s="105"/>
      <c r="C885" s="106" t="str">
        <f t="shared" si="15"/>
        <v/>
      </c>
      <c r="D885" s="107"/>
      <c r="E885" s="107"/>
      <c r="F885" s="106" t="str">
        <f>IFERROR(INDEX(Lista_Precios[CÓDIGO],MATCH(Movimientos!$G885,Lista_Precios[PRODUCTO],0)),"")</f>
        <v/>
      </c>
      <c r="G885" s="107"/>
      <c r="H885" s="108"/>
      <c r="I885" s="40"/>
    </row>
    <row r="886" spans="2:9" ht="15.5" x14ac:dyDescent="0.35">
      <c r="B886" s="105"/>
      <c r="C886" s="106" t="str">
        <f t="shared" si="15"/>
        <v/>
      </c>
      <c r="D886" s="107"/>
      <c r="E886" s="107"/>
      <c r="F886" s="106" t="str">
        <f>IFERROR(INDEX(Lista_Precios[CÓDIGO],MATCH(Movimientos!$G886,Lista_Precios[PRODUCTO],0)),"")</f>
        <v/>
      </c>
      <c r="G886" s="107"/>
      <c r="H886" s="108"/>
      <c r="I886" s="40"/>
    </row>
    <row r="887" spans="2:9" ht="15.5" x14ac:dyDescent="0.35">
      <c r="B887" s="105"/>
      <c r="C887" s="106" t="str">
        <f t="shared" si="15"/>
        <v/>
      </c>
      <c r="D887" s="107"/>
      <c r="E887" s="107"/>
      <c r="F887" s="106" t="str">
        <f>IFERROR(INDEX(Lista_Precios[CÓDIGO],MATCH(Movimientos!$G887,Lista_Precios[PRODUCTO],0)),"")</f>
        <v/>
      </c>
      <c r="G887" s="107"/>
      <c r="H887" s="108"/>
      <c r="I887" s="40"/>
    </row>
    <row r="888" spans="2:9" ht="15.5" x14ac:dyDescent="0.35">
      <c r="B888" s="105"/>
      <c r="C888" s="106" t="str">
        <f t="shared" si="15"/>
        <v/>
      </c>
      <c r="D888" s="107"/>
      <c r="E888" s="107"/>
      <c r="F888" s="106" t="str">
        <f>IFERROR(INDEX(Lista_Precios[CÓDIGO],MATCH(Movimientos!$G888,Lista_Precios[PRODUCTO],0)),"")</f>
        <v/>
      </c>
      <c r="G888" s="107"/>
      <c r="H888" s="108"/>
      <c r="I888" s="40"/>
    </row>
    <row r="889" spans="2:9" ht="15.5" x14ac:dyDescent="0.35">
      <c r="B889" s="105"/>
      <c r="C889" s="106" t="str">
        <f t="shared" si="15"/>
        <v/>
      </c>
      <c r="D889" s="107"/>
      <c r="E889" s="107"/>
      <c r="F889" s="106" t="str">
        <f>IFERROR(INDEX(Lista_Precios[CÓDIGO],MATCH(Movimientos!$G889,Lista_Precios[PRODUCTO],0)),"")</f>
        <v/>
      </c>
      <c r="G889" s="107"/>
      <c r="H889" s="108"/>
      <c r="I889" s="40"/>
    </row>
    <row r="890" spans="2:9" ht="15.5" x14ac:dyDescent="0.35">
      <c r="B890" s="105"/>
      <c r="C890" s="106" t="str">
        <f t="shared" si="15"/>
        <v/>
      </c>
      <c r="D890" s="107"/>
      <c r="E890" s="107"/>
      <c r="F890" s="106" t="str">
        <f>IFERROR(INDEX(Lista_Precios[CÓDIGO],MATCH(Movimientos!$G890,Lista_Precios[PRODUCTO],0)),"")</f>
        <v/>
      </c>
      <c r="G890" s="107"/>
      <c r="H890" s="108"/>
      <c r="I890" s="40"/>
    </row>
    <row r="891" spans="2:9" ht="15.5" x14ac:dyDescent="0.35">
      <c r="B891" s="105"/>
      <c r="C891" s="106" t="str">
        <f t="shared" si="15"/>
        <v/>
      </c>
      <c r="D891" s="107"/>
      <c r="E891" s="107"/>
      <c r="F891" s="106" t="str">
        <f>IFERROR(INDEX(Lista_Precios[CÓDIGO],MATCH(Movimientos!$G891,Lista_Precios[PRODUCTO],0)),"")</f>
        <v/>
      </c>
      <c r="G891" s="107"/>
      <c r="H891" s="108"/>
      <c r="I891" s="40"/>
    </row>
    <row r="892" spans="2:9" ht="15.5" x14ac:dyDescent="0.35">
      <c r="B892" s="105"/>
      <c r="C892" s="106" t="str">
        <f t="shared" si="15"/>
        <v/>
      </c>
      <c r="D892" s="107"/>
      <c r="E892" s="107"/>
      <c r="F892" s="106" t="str">
        <f>IFERROR(INDEX(Lista_Precios[CÓDIGO],MATCH(Movimientos!$G892,Lista_Precios[PRODUCTO],0)),"")</f>
        <v/>
      </c>
      <c r="G892" s="107"/>
      <c r="H892" s="108"/>
      <c r="I892" s="40"/>
    </row>
    <row r="893" spans="2:9" ht="15.5" x14ac:dyDescent="0.35">
      <c r="B893" s="105"/>
      <c r="C893" s="106" t="str">
        <f t="shared" si="15"/>
        <v/>
      </c>
      <c r="D893" s="107"/>
      <c r="E893" s="107"/>
      <c r="F893" s="106" t="str">
        <f>IFERROR(INDEX(Lista_Precios[CÓDIGO],MATCH(Movimientos!$G893,Lista_Precios[PRODUCTO],0)),"")</f>
        <v/>
      </c>
      <c r="G893" s="107"/>
      <c r="H893" s="108"/>
      <c r="I893" s="40"/>
    </row>
    <row r="894" spans="2:9" ht="15.5" x14ac:dyDescent="0.35">
      <c r="B894" s="105"/>
      <c r="C894" s="106" t="str">
        <f t="shared" si="15"/>
        <v/>
      </c>
      <c r="D894" s="107"/>
      <c r="E894" s="107"/>
      <c r="F894" s="106" t="str">
        <f>IFERROR(INDEX(Lista_Precios[CÓDIGO],MATCH(Movimientos!$G894,Lista_Precios[PRODUCTO],0)),"")</f>
        <v/>
      </c>
      <c r="G894" s="107"/>
      <c r="H894" s="108"/>
      <c r="I894" s="40"/>
    </row>
    <row r="895" spans="2:9" ht="15.5" x14ac:dyDescent="0.35">
      <c r="B895" s="105"/>
      <c r="C895" s="106" t="str">
        <f t="shared" si="15"/>
        <v/>
      </c>
      <c r="D895" s="107"/>
      <c r="E895" s="107"/>
      <c r="F895" s="106" t="str">
        <f>IFERROR(INDEX(Lista_Precios[CÓDIGO],MATCH(Movimientos!$G895,Lista_Precios[PRODUCTO],0)),"")</f>
        <v/>
      </c>
      <c r="G895" s="107"/>
      <c r="H895" s="108"/>
      <c r="I895" s="40"/>
    </row>
    <row r="896" spans="2:9" ht="15.5" x14ac:dyDescent="0.35">
      <c r="B896" s="105"/>
      <c r="C896" s="106" t="str">
        <f t="shared" si="15"/>
        <v/>
      </c>
      <c r="D896" s="107"/>
      <c r="E896" s="107"/>
      <c r="F896" s="106" t="str">
        <f>IFERROR(INDEX(Lista_Precios[CÓDIGO],MATCH(Movimientos!$G896,Lista_Precios[PRODUCTO],0)),"")</f>
        <v/>
      </c>
      <c r="G896" s="107"/>
      <c r="H896" s="108"/>
      <c r="I896" s="40"/>
    </row>
    <row r="897" spans="2:9" ht="15.5" x14ac:dyDescent="0.35">
      <c r="B897" s="105"/>
      <c r="C897" s="106" t="str">
        <f t="shared" si="15"/>
        <v/>
      </c>
      <c r="D897" s="107"/>
      <c r="E897" s="107"/>
      <c r="F897" s="106" t="str">
        <f>IFERROR(INDEX(Lista_Precios[CÓDIGO],MATCH(Movimientos!$G897,Lista_Precios[PRODUCTO],0)),"")</f>
        <v/>
      </c>
      <c r="G897" s="107"/>
      <c r="H897" s="108"/>
      <c r="I897" s="40"/>
    </row>
    <row r="898" spans="2:9" ht="15.5" x14ac:dyDescent="0.35">
      <c r="B898" s="105"/>
      <c r="C898" s="106" t="str">
        <f t="shared" si="15"/>
        <v/>
      </c>
      <c r="D898" s="107"/>
      <c r="E898" s="107"/>
      <c r="F898" s="106" t="str">
        <f>IFERROR(INDEX(Lista_Precios[CÓDIGO],MATCH(Movimientos!$G898,Lista_Precios[PRODUCTO],0)),"")</f>
        <v/>
      </c>
      <c r="G898" s="107"/>
      <c r="H898" s="108"/>
      <c r="I898" s="40"/>
    </row>
    <row r="899" spans="2:9" ht="15.5" x14ac:dyDescent="0.35">
      <c r="B899" s="105"/>
      <c r="C899" s="106" t="str">
        <f t="shared" si="15"/>
        <v/>
      </c>
      <c r="D899" s="107"/>
      <c r="E899" s="107"/>
      <c r="F899" s="106" t="str">
        <f>IFERROR(INDEX(Lista_Precios[CÓDIGO],MATCH(Movimientos!$G899,Lista_Precios[PRODUCTO],0)),"")</f>
        <v/>
      </c>
      <c r="G899" s="107"/>
      <c r="H899" s="108"/>
      <c r="I899" s="40"/>
    </row>
    <row r="900" spans="2:9" ht="15.5" x14ac:dyDescent="0.35">
      <c r="B900" s="105"/>
      <c r="C900" s="106" t="str">
        <f t="shared" si="15"/>
        <v/>
      </c>
      <c r="D900" s="107"/>
      <c r="E900" s="107"/>
      <c r="F900" s="106" t="str">
        <f>IFERROR(INDEX(Lista_Precios[CÓDIGO],MATCH(Movimientos!$G900,Lista_Precios[PRODUCTO],0)),"")</f>
        <v/>
      </c>
      <c r="G900" s="107"/>
      <c r="H900" s="108"/>
      <c r="I900" s="40"/>
    </row>
    <row r="901" spans="2:9" ht="15.5" x14ac:dyDescent="0.35">
      <c r="B901" s="105"/>
      <c r="C901" s="106" t="str">
        <f t="shared" si="15"/>
        <v/>
      </c>
      <c r="D901" s="107"/>
      <c r="E901" s="107"/>
      <c r="F901" s="106" t="str">
        <f>IFERROR(INDEX(Lista_Precios[CÓDIGO],MATCH(Movimientos!$G901,Lista_Precios[PRODUCTO],0)),"")</f>
        <v/>
      </c>
      <c r="G901" s="107"/>
      <c r="H901" s="108"/>
      <c r="I901" s="40"/>
    </row>
    <row r="902" spans="2:9" ht="15.5" x14ac:dyDescent="0.35">
      <c r="B902" s="105"/>
      <c r="C902" s="106" t="str">
        <f t="shared" si="15"/>
        <v/>
      </c>
      <c r="D902" s="107"/>
      <c r="E902" s="107"/>
      <c r="F902" s="106" t="str">
        <f>IFERROR(INDEX(Lista_Precios[CÓDIGO],MATCH(Movimientos!$G902,Lista_Precios[PRODUCTO],0)),"")</f>
        <v/>
      </c>
      <c r="G902" s="107"/>
      <c r="H902" s="108"/>
      <c r="I902" s="40"/>
    </row>
    <row r="903" spans="2:9" ht="15.5" x14ac:dyDescent="0.35">
      <c r="B903" s="105"/>
      <c r="C903" s="106" t="str">
        <f t="shared" si="15"/>
        <v/>
      </c>
      <c r="D903" s="107"/>
      <c r="E903" s="107"/>
      <c r="F903" s="106" t="str">
        <f>IFERROR(INDEX(Lista_Precios[CÓDIGO],MATCH(Movimientos!$G903,Lista_Precios[PRODUCTO],0)),"")</f>
        <v/>
      </c>
      <c r="G903" s="107"/>
      <c r="H903" s="108"/>
      <c r="I903" s="40"/>
    </row>
    <row r="904" spans="2:9" ht="15.5" x14ac:dyDescent="0.35">
      <c r="B904" s="105"/>
      <c r="C904" s="106" t="str">
        <f t="shared" si="15"/>
        <v/>
      </c>
      <c r="D904" s="107"/>
      <c r="E904" s="107"/>
      <c r="F904" s="106" t="str">
        <f>IFERROR(INDEX(Lista_Precios[CÓDIGO],MATCH(Movimientos!$G904,Lista_Precios[PRODUCTO],0)),"")</f>
        <v/>
      </c>
      <c r="G904" s="107"/>
      <c r="H904" s="108"/>
      <c r="I904" s="40"/>
    </row>
    <row r="905" spans="2:9" ht="15.5" x14ac:dyDescent="0.35">
      <c r="B905" s="105"/>
      <c r="C905" s="106" t="str">
        <f t="shared" si="15"/>
        <v/>
      </c>
      <c r="D905" s="107"/>
      <c r="E905" s="107"/>
      <c r="F905" s="106" t="str">
        <f>IFERROR(INDEX(Lista_Precios[CÓDIGO],MATCH(Movimientos!$G905,Lista_Precios[PRODUCTO],0)),"")</f>
        <v/>
      </c>
      <c r="G905" s="107"/>
      <c r="H905" s="108"/>
      <c r="I905" s="40"/>
    </row>
    <row r="906" spans="2:9" ht="15.5" x14ac:dyDescent="0.35">
      <c r="B906" s="105"/>
      <c r="C906" s="106" t="str">
        <f t="shared" si="15"/>
        <v/>
      </c>
      <c r="D906" s="107"/>
      <c r="E906" s="107"/>
      <c r="F906" s="106" t="str">
        <f>IFERROR(INDEX(Lista_Precios[CÓDIGO],MATCH(Movimientos!$G906,Lista_Precios[PRODUCTO],0)),"")</f>
        <v/>
      </c>
      <c r="G906" s="107"/>
      <c r="H906" s="108"/>
      <c r="I906" s="40"/>
    </row>
    <row r="907" spans="2:9" ht="15.5" x14ac:dyDescent="0.35">
      <c r="B907" s="105"/>
      <c r="C907" s="106" t="str">
        <f t="shared" si="15"/>
        <v/>
      </c>
      <c r="D907" s="107"/>
      <c r="E907" s="107"/>
      <c r="F907" s="106" t="str">
        <f>IFERROR(INDEX(Lista_Precios[CÓDIGO],MATCH(Movimientos!$G907,Lista_Precios[PRODUCTO],0)),"")</f>
        <v/>
      </c>
      <c r="G907" s="107"/>
      <c r="H907" s="108"/>
      <c r="I907" s="40"/>
    </row>
    <row r="908" spans="2:9" ht="15.5" x14ac:dyDescent="0.35">
      <c r="B908" s="105"/>
      <c r="C908" s="106" t="str">
        <f t="shared" si="15"/>
        <v/>
      </c>
      <c r="D908" s="107"/>
      <c r="E908" s="107"/>
      <c r="F908" s="106" t="str">
        <f>IFERROR(INDEX(Lista_Precios[CÓDIGO],MATCH(Movimientos!$G908,Lista_Precios[PRODUCTO],0)),"")</f>
        <v/>
      </c>
      <c r="G908" s="107"/>
      <c r="H908" s="108"/>
      <c r="I908" s="40"/>
    </row>
    <row r="909" spans="2:9" ht="15.5" x14ac:dyDescent="0.35">
      <c r="B909" s="105"/>
      <c r="C909" s="106" t="str">
        <f t="shared" si="15"/>
        <v/>
      </c>
      <c r="D909" s="107"/>
      <c r="E909" s="107"/>
      <c r="F909" s="106" t="str">
        <f>IFERROR(INDEX(Lista_Precios[CÓDIGO],MATCH(Movimientos!$G909,Lista_Precios[PRODUCTO],0)),"")</f>
        <v/>
      </c>
      <c r="G909" s="107"/>
      <c r="H909" s="108"/>
      <c r="I909" s="40"/>
    </row>
    <row r="910" spans="2:9" ht="15.5" x14ac:dyDescent="0.35">
      <c r="B910" s="105"/>
      <c r="C910" s="106" t="str">
        <f t="shared" si="15"/>
        <v/>
      </c>
      <c r="D910" s="107"/>
      <c r="E910" s="107"/>
      <c r="F910" s="106" t="str">
        <f>IFERROR(INDEX(Lista_Precios[CÓDIGO],MATCH(Movimientos!$G910,Lista_Precios[PRODUCTO],0)),"")</f>
        <v/>
      </c>
      <c r="G910" s="107"/>
      <c r="H910" s="108"/>
      <c r="I910" s="40"/>
    </row>
    <row r="911" spans="2:9" ht="15.5" x14ac:dyDescent="0.35">
      <c r="B911" s="105"/>
      <c r="C911" s="106" t="str">
        <f t="shared" si="15"/>
        <v/>
      </c>
      <c r="D911" s="107"/>
      <c r="E911" s="107"/>
      <c r="F911" s="106" t="str">
        <f>IFERROR(INDEX(Lista_Precios[CÓDIGO],MATCH(Movimientos!$G911,Lista_Precios[PRODUCTO],0)),"")</f>
        <v/>
      </c>
      <c r="G911" s="107"/>
      <c r="H911" s="108"/>
      <c r="I911" s="40"/>
    </row>
    <row r="912" spans="2:9" ht="15.5" x14ac:dyDescent="0.35">
      <c r="B912" s="105"/>
      <c r="C912" s="106" t="str">
        <f t="shared" si="15"/>
        <v/>
      </c>
      <c r="D912" s="107"/>
      <c r="E912" s="107"/>
      <c r="F912" s="106" t="str">
        <f>IFERROR(INDEX(Lista_Precios[CÓDIGO],MATCH(Movimientos!$G912,Lista_Precios[PRODUCTO],0)),"")</f>
        <v/>
      </c>
      <c r="G912" s="107"/>
      <c r="H912" s="108"/>
      <c r="I912" s="40"/>
    </row>
    <row r="913" spans="2:9" ht="15.5" x14ac:dyDescent="0.35">
      <c r="B913" s="105"/>
      <c r="C913" s="106" t="str">
        <f t="shared" si="15"/>
        <v/>
      </c>
      <c r="D913" s="107"/>
      <c r="E913" s="107"/>
      <c r="F913" s="106" t="str">
        <f>IFERROR(INDEX(Lista_Precios[CÓDIGO],MATCH(Movimientos!$G913,Lista_Precios[PRODUCTO],0)),"")</f>
        <v/>
      </c>
      <c r="G913" s="107"/>
      <c r="H913" s="108"/>
      <c r="I913" s="40"/>
    </row>
    <row r="914" spans="2:9" ht="15.5" x14ac:dyDescent="0.35">
      <c r="B914" s="105"/>
      <c r="C914" s="106" t="str">
        <f t="shared" si="15"/>
        <v/>
      </c>
      <c r="D914" s="107"/>
      <c r="E914" s="107"/>
      <c r="F914" s="106" t="str">
        <f>IFERROR(INDEX(Lista_Precios[CÓDIGO],MATCH(Movimientos!$G914,Lista_Precios[PRODUCTO],0)),"")</f>
        <v/>
      </c>
      <c r="G914" s="107"/>
      <c r="H914" s="108"/>
      <c r="I914" s="40"/>
    </row>
    <row r="915" spans="2:9" ht="15.5" x14ac:dyDescent="0.35">
      <c r="B915" s="105"/>
      <c r="C915" s="106" t="str">
        <f t="shared" si="15"/>
        <v/>
      </c>
      <c r="D915" s="107"/>
      <c r="E915" s="107"/>
      <c r="F915" s="106" t="str">
        <f>IFERROR(INDEX(Lista_Precios[CÓDIGO],MATCH(Movimientos!$G915,Lista_Precios[PRODUCTO],0)),"")</f>
        <v/>
      </c>
      <c r="G915" s="107"/>
      <c r="H915" s="108"/>
      <c r="I915" s="40"/>
    </row>
    <row r="916" spans="2:9" ht="15.5" x14ac:dyDescent="0.35">
      <c r="B916" s="105"/>
      <c r="C916" s="106" t="str">
        <f t="shared" si="15"/>
        <v/>
      </c>
      <c r="D916" s="107"/>
      <c r="E916" s="107"/>
      <c r="F916" s="106" t="str">
        <f>IFERROR(INDEX(Lista_Precios[CÓDIGO],MATCH(Movimientos!$G916,Lista_Precios[PRODUCTO],0)),"")</f>
        <v/>
      </c>
      <c r="G916" s="107"/>
      <c r="H916" s="108"/>
      <c r="I916" s="40"/>
    </row>
    <row r="917" spans="2:9" ht="15.5" x14ac:dyDescent="0.35">
      <c r="B917" s="105"/>
      <c r="C917" s="106" t="str">
        <f t="shared" si="15"/>
        <v/>
      </c>
      <c r="D917" s="107"/>
      <c r="E917" s="107"/>
      <c r="F917" s="106" t="str">
        <f>IFERROR(INDEX(Lista_Precios[CÓDIGO],MATCH(Movimientos!$G917,Lista_Precios[PRODUCTO],0)),"")</f>
        <v/>
      </c>
      <c r="G917" s="107"/>
      <c r="H917" s="108"/>
      <c r="I917" s="40"/>
    </row>
    <row r="918" spans="2:9" ht="15.5" x14ac:dyDescent="0.35">
      <c r="B918" s="105"/>
      <c r="C918" s="106" t="str">
        <f t="shared" si="15"/>
        <v/>
      </c>
      <c r="D918" s="107"/>
      <c r="E918" s="107"/>
      <c r="F918" s="106" t="str">
        <f>IFERROR(INDEX(Lista_Precios[CÓDIGO],MATCH(Movimientos!$G918,Lista_Precios[PRODUCTO],0)),"")</f>
        <v/>
      </c>
      <c r="G918" s="107"/>
      <c r="H918" s="108"/>
      <c r="I918" s="40"/>
    </row>
    <row r="919" spans="2:9" ht="15.5" x14ac:dyDescent="0.35">
      <c r="B919" s="105"/>
      <c r="C919" s="106" t="str">
        <f t="shared" si="15"/>
        <v/>
      </c>
      <c r="D919" s="107"/>
      <c r="E919" s="107"/>
      <c r="F919" s="106" t="str">
        <f>IFERROR(INDEX(Lista_Precios[CÓDIGO],MATCH(Movimientos!$G919,Lista_Precios[PRODUCTO],0)),"")</f>
        <v/>
      </c>
      <c r="G919" s="107"/>
      <c r="H919" s="108"/>
      <c r="I919" s="40"/>
    </row>
    <row r="920" spans="2:9" ht="15.5" x14ac:dyDescent="0.35">
      <c r="B920" s="105"/>
      <c r="C920" s="106" t="str">
        <f t="shared" si="15"/>
        <v/>
      </c>
      <c r="D920" s="107"/>
      <c r="E920" s="107"/>
      <c r="F920" s="106" t="str">
        <f>IFERROR(INDEX(Lista_Precios[CÓDIGO],MATCH(Movimientos!$G920,Lista_Precios[PRODUCTO],0)),"")</f>
        <v/>
      </c>
      <c r="G920" s="107"/>
      <c r="H920" s="108"/>
      <c r="I920" s="40"/>
    </row>
    <row r="921" spans="2:9" ht="15.5" x14ac:dyDescent="0.35">
      <c r="B921" s="105"/>
      <c r="C921" s="106" t="str">
        <f t="shared" si="15"/>
        <v/>
      </c>
      <c r="D921" s="107"/>
      <c r="E921" s="107"/>
      <c r="F921" s="106" t="str">
        <f>IFERROR(INDEX(Lista_Precios[CÓDIGO],MATCH(Movimientos!$G921,Lista_Precios[PRODUCTO],0)),"")</f>
        <v/>
      </c>
      <c r="G921" s="107"/>
      <c r="H921" s="108"/>
      <c r="I921" s="40"/>
    </row>
    <row r="922" spans="2:9" ht="15.5" x14ac:dyDescent="0.35">
      <c r="B922" s="105"/>
      <c r="C922" s="106" t="str">
        <f t="shared" si="15"/>
        <v/>
      </c>
      <c r="D922" s="107"/>
      <c r="E922" s="107"/>
      <c r="F922" s="106" t="str">
        <f>IFERROR(INDEX(Lista_Precios[CÓDIGO],MATCH(Movimientos!$G922,Lista_Precios[PRODUCTO],0)),"")</f>
        <v/>
      </c>
      <c r="G922" s="107"/>
      <c r="H922" s="108"/>
      <c r="I922" s="40"/>
    </row>
    <row r="923" spans="2:9" ht="15.5" x14ac:dyDescent="0.35">
      <c r="B923" s="105"/>
      <c r="C923" s="106" t="str">
        <f t="shared" si="15"/>
        <v/>
      </c>
      <c r="D923" s="107"/>
      <c r="E923" s="107"/>
      <c r="F923" s="106" t="str">
        <f>IFERROR(INDEX(Lista_Precios[CÓDIGO],MATCH(Movimientos!$G923,Lista_Precios[PRODUCTO],0)),"")</f>
        <v/>
      </c>
      <c r="G923" s="107"/>
      <c r="H923" s="108"/>
      <c r="I923" s="40"/>
    </row>
    <row r="924" spans="2:9" ht="15.5" x14ac:dyDescent="0.35">
      <c r="B924" s="105"/>
      <c r="C924" s="106" t="str">
        <f t="shared" si="15"/>
        <v/>
      </c>
      <c r="D924" s="107"/>
      <c r="E924" s="107"/>
      <c r="F924" s="106" t="str">
        <f>IFERROR(INDEX(Lista_Precios[CÓDIGO],MATCH(Movimientos!$G924,Lista_Precios[PRODUCTO],0)),"")</f>
        <v/>
      </c>
      <c r="G924" s="107"/>
      <c r="H924" s="108"/>
      <c r="I924" s="40"/>
    </row>
    <row r="925" spans="2:9" ht="15.5" x14ac:dyDescent="0.35">
      <c r="B925" s="105"/>
      <c r="C925" s="106" t="str">
        <f t="shared" si="15"/>
        <v/>
      </c>
      <c r="D925" s="107"/>
      <c r="E925" s="107"/>
      <c r="F925" s="106" t="str">
        <f>IFERROR(INDEX(Lista_Precios[CÓDIGO],MATCH(Movimientos!$G925,Lista_Precios[PRODUCTO],0)),"")</f>
        <v/>
      </c>
      <c r="G925" s="107"/>
      <c r="H925" s="108"/>
      <c r="I925" s="40"/>
    </row>
    <row r="926" spans="2:9" ht="15.5" x14ac:dyDescent="0.35">
      <c r="B926" s="105"/>
      <c r="C926" s="106" t="str">
        <f t="shared" si="15"/>
        <v/>
      </c>
      <c r="D926" s="107"/>
      <c r="E926" s="107"/>
      <c r="F926" s="106" t="str">
        <f>IFERROR(INDEX(Lista_Precios[CÓDIGO],MATCH(Movimientos!$G926,Lista_Precios[PRODUCTO],0)),"")</f>
        <v/>
      </c>
      <c r="G926" s="107"/>
      <c r="H926" s="108"/>
      <c r="I926" s="40"/>
    </row>
    <row r="927" spans="2:9" ht="15.5" x14ac:dyDescent="0.35">
      <c r="B927" s="105"/>
      <c r="C927" s="106" t="str">
        <f t="shared" si="15"/>
        <v/>
      </c>
      <c r="D927" s="107"/>
      <c r="E927" s="107"/>
      <c r="F927" s="106" t="str">
        <f>IFERROR(INDEX(Lista_Precios[CÓDIGO],MATCH(Movimientos!$G927,Lista_Precios[PRODUCTO],0)),"")</f>
        <v/>
      </c>
      <c r="G927" s="107"/>
      <c r="H927" s="108"/>
      <c r="I927" s="40"/>
    </row>
    <row r="928" spans="2:9" ht="15.5" x14ac:dyDescent="0.35">
      <c r="B928" s="105"/>
      <c r="C928" s="106" t="str">
        <f t="shared" si="15"/>
        <v/>
      </c>
      <c r="D928" s="107"/>
      <c r="E928" s="107"/>
      <c r="F928" s="106" t="str">
        <f>IFERROR(INDEX(Lista_Precios[CÓDIGO],MATCH(Movimientos!$G928,Lista_Precios[PRODUCTO],0)),"")</f>
        <v/>
      </c>
      <c r="G928" s="107"/>
      <c r="H928" s="108"/>
      <c r="I928" s="40"/>
    </row>
    <row r="929" spans="2:9" ht="15.5" x14ac:dyDescent="0.35">
      <c r="B929" s="105"/>
      <c r="C929" s="106" t="str">
        <f t="shared" si="15"/>
        <v/>
      </c>
      <c r="D929" s="107"/>
      <c r="E929" s="107"/>
      <c r="F929" s="106" t="str">
        <f>IFERROR(INDEX(Lista_Precios[CÓDIGO],MATCH(Movimientos!$G929,Lista_Precios[PRODUCTO],0)),"")</f>
        <v/>
      </c>
      <c r="G929" s="107"/>
      <c r="H929" s="108"/>
      <c r="I929" s="40"/>
    </row>
    <row r="930" spans="2:9" ht="15.5" x14ac:dyDescent="0.35">
      <c r="B930" s="105"/>
      <c r="C930" s="106" t="str">
        <f t="shared" si="15"/>
        <v/>
      </c>
      <c r="D930" s="107"/>
      <c r="E930" s="107"/>
      <c r="F930" s="106" t="str">
        <f>IFERROR(INDEX(Lista_Precios[CÓDIGO],MATCH(Movimientos!$G930,Lista_Precios[PRODUCTO],0)),"")</f>
        <v/>
      </c>
      <c r="G930" s="107"/>
      <c r="H930" s="108"/>
      <c r="I930" s="40"/>
    </row>
    <row r="931" spans="2:9" ht="15.5" x14ac:dyDescent="0.35">
      <c r="B931" s="105"/>
      <c r="C931" s="106" t="str">
        <f t="shared" si="15"/>
        <v/>
      </c>
      <c r="D931" s="107"/>
      <c r="E931" s="107"/>
      <c r="F931" s="106" t="str">
        <f>IFERROR(INDEX(Lista_Precios[CÓDIGO],MATCH(Movimientos!$G931,Lista_Precios[PRODUCTO],0)),"")</f>
        <v/>
      </c>
      <c r="G931" s="107"/>
      <c r="H931" s="108"/>
      <c r="I931" s="40"/>
    </row>
    <row r="932" spans="2:9" ht="15.5" x14ac:dyDescent="0.35">
      <c r="B932" s="105"/>
      <c r="C932" s="106" t="str">
        <f t="shared" si="15"/>
        <v/>
      </c>
      <c r="D932" s="107"/>
      <c r="E932" s="107"/>
      <c r="F932" s="106" t="str">
        <f>IFERROR(INDEX(Lista_Precios[CÓDIGO],MATCH(Movimientos!$G932,Lista_Precios[PRODUCTO],0)),"")</f>
        <v/>
      </c>
      <c r="G932" s="107"/>
      <c r="H932" s="108"/>
      <c r="I932" s="40"/>
    </row>
    <row r="933" spans="2:9" ht="15.5" x14ac:dyDescent="0.35">
      <c r="B933" s="105"/>
      <c r="C933" s="106" t="str">
        <f t="shared" si="15"/>
        <v/>
      </c>
      <c r="D933" s="107"/>
      <c r="E933" s="107"/>
      <c r="F933" s="106" t="str">
        <f>IFERROR(INDEX(Lista_Precios[CÓDIGO],MATCH(Movimientos!$G933,Lista_Precios[PRODUCTO],0)),"")</f>
        <v/>
      </c>
      <c r="G933" s="107"/>
      <c r="H933" s="108"/>
      <c r="I933" s="40"/>
    </row>
    <row r="934" spans="2:9" ht="15.5" x14ac:dyDescent="0.35">
      <c r="B934" s="105"/>
      <c r="C934" s="106" t="str">
        <f t="shared" si="15"/>
        <v/>
      </c>
      <c r="D934" s="107"/>
      <c r="E934" s="107"/>
      <c r="F934" s="106" t="str">
        <f>IFERROR(INDEX(Lista_Precios[CÓDIGO],MATCH(Movimientos!$G934,Lista_Precios[PRODUCTO],0)),"")</f>
        <v/>
      </c>
      <c r="G934" s="107"/>
      <c r="H934" s="108"/>
      <c r="I934" s="40"/>
    </row>
    <row r="935" spans="2:9" ht="15.5" x14ac:dyDescent="0.35">
      <c r="B935" s="105"/>
      <c r="C935" s="106" t="str">
        <f t="shared" ref="C935:C998" si="16">IF(B935="","",TEXT(B935,"Mmmm"))</f>
        <v/>
      </c>
      <c r="D935" s="107"/>
      <c r="E935" s="107"/>
      <c r="F935" s="106" t="str">
        <f>IFERROR(INDEX(Lista_Precios[CÓDIGO],MATCH(Movimientos!$G935,Lista_Precios[PRODUCTO],0)),"")</f>
        <v/>
      </c>
      <c r="G935" s="107"/>
      <c r="H935" s="108"/>
      <c r="I935" s="40"/>
    </row>
    <row r="936" spans="2:9" ht="15.5" x14ac:dyDescent="0.35">
      <c r="B936" s="105"/>
      <c r="C936" s="106" t="str">
        <f t="shared" si="16"/>
        <v/>
      </c>
      <c r="D936" s="107"/>
      <c r="E936" s="107"/>
      <c r="F936" s="106" t="str">
        <f>IFERROR(INDEX(Lista_Precios[CÓDIGO],MATCH(Movimientos!$G936,Lista_Precios[PRODUCTO],0)),"")</f>
        <v/>
      </c>
      <c r="G936" s="107"/>
      <c r="H936" s="108"/>
      <c r="I936" s="40"/>
    </row>
    <row r="937" spans="2:9" ht="15.5" x14ac:dyDescent="0.35">
      <c r="B937" s="105"/>
      <c r="C937" s="106" t="str">
        <f t="shared" si="16"/>
        <v/>
      </c>
      <c r="D937" s="107"/>
      <c r="E937" s="107"/>
      <c r="F937" s="106" t="str">
        <f>IFERROR(INDEX(Lista_Precios[CÓDIGO],MATCH(Movimientos!$G937,Lista_Precios[PRODUCTO],0)),"")</f>
        <v/>
      </c>
      <c r="G937" s="107"/>
      <c r="H937" s="108"/>
      <c r="I937" s="40"/>
    </row>
    <row r="938" spans="2:9" ht="15.5" x14ac:dyDescent="0.35">
      <c r="B938" s="105"/>
      <c r="C938" s="106" t="str">
        <f t="shared" si="16"/>
        <v/>
      </c>
      <c r="D938" s="107"/>
      <c r="E938" s="107"/>
      <c r="F938" s="106" t="str">
        <f>IFERROR(INDEX(Lista_Precios[CÓDIGO],MATCH(Movimientos!$G938,Lista_Precios[PRODUCTO],0)),"")</f>
        <v/>
      </c>
      <c r="G938" s="107"/>
      <c r="H938" s="108"/>
      <c r="I938" s="40"/>
    </row>
    <row r="939" spans="2:9" ht="15.5" x14ac:dyDescent="0.35">
      <c r="B939" s="105"/>
      <c r="C939" s="106" t="str">
        <f t="shared" si="16"/>
        <v/>
      </c>
      <c r="D939" s="107"/>
      <c r="E939" s="107"/>
      <c r="F939" s="106" t="str">
        <f>IFERROR(INDEX(Lista_Precios[CÓDIGO],MATCH(Movimientos!$G939,Lista_Precios[PRODUCTO],0)),"")</f>
        <v/>
      </c>
      <c r="G939" s="107"/>
      <c r="H939" s="108"/>
      <c r="I939" s="40"/>
    </row>
    <row r="940" spans="2:9" ht="15.5" x14ac:dyDescent="0.35">
      <c r="B940" s="105"/>
      <c r="C940" s="106" t="str">
        <f t="shared" si="16"/>
        <v/>
      </c>
      <c r="D940" s="107"/>
      <c r="E940" s="107"/>
      <c r="F940" s="106" t="str">
        <f>IFERROR(INDEX(Lista_Precios[CÓDIGO],MATCH(Movimientos!$G940,Lista_Precios[PRODUCTO],0)),"")</f>
        <v/>
      </c>
      <c r="G940" s="107"/>
      <c r="H940" s="108"/>
      <c r="I940" s="40"/>
    </row>
    <row r="941" spans="2:9" ht="15.5" x14ac:dyDescent="0.35">
      <c r="B941" s="105"/>
      <c r="C941" s="106" t="str">
        <f t="shared" si="16"/>
        <v/>
      </c>
      <c r="D941" s="107"/>
      <c r="E941" s="107"/>
      <c r="F941" s="106" t="str">
        <f>IFERROR(INDEX(Lista_Precios[CÓDIGO],MATCH(Movimientos!$G941,Lista_Precios[PRODUCTO],0)),"")</f>
        <v/>
      </c>
      <c r="G941" s="107"/>
      <c r="H941" s="108"/>
      <c r="I941" s="40"/>
    </row>
    <row r="942" spans="2:9" ht="15.5" x14ac:dyDescent="0.35">
      <c r="B942" s="105"/>
      <c r="C942" s="106" t="str">
        <f t="shared" si="16"/>
        <v/>
      </c>
      <c r="D942" s="107"/>
      <c r="E942" s="107"/>
      <c r="F942" s="106" t="str">
        <f>IFERROR(INDEX(Lista_Precios[CÓDIGO],MATCH(Movimientos!$G942,Lista_Precios[PRODUCTO],0)),"")</f>
        <v/>
      </c>
      <c r="G942" s="107"/>
      <c r="H942" s="108"/>
      <c r="I942" s="40"/>
    </row>
    <row r="943" spans="2:9" ht="15.5" x14ac:dyDescent="0.35">
      <c r="B943" s="105"/>
      <c r="C943" s="106" t="str">
        <f t="shared" si="16"/>
        <v/>
      </c>
      <c r="D943" s="107"/>
      <c r="E943" s="107"/>
      <c r="F943" s="106" t="str">
        <f>IFERROR(INDEX(Lista_Precios[CÓDIGO],MATCH(Movimientos!$G943,Lista_Precios[PRODUCTO],0)),"")</f>
        <v/>
      </c>
      <c r="G943" s="107"/>
      <c r="H943" s="108"/>
      <c r="I943" s="40"/>
    </row>
    <row r="944" spans="2:9" ht="15.5" x14ac:dyDescent="0.35">
      <c r="B944" s="105"/>
      <c r="C944" s="106" t="str">
        <f t="shared" si="16"/>
        <v/>
      </c>
      <c r="D944" s="107"/>
      <c r="E944" s="107"/>
      <c r="F944" s="106" t="str">
        <f>IFERROR(INDEX(Lista_Precios[CÓDIGO],MATCH(Movimientos!$G944,Lista_Precios[PRODUCTO],0)),"")</f>
        <v/>
      </c>
      <c r="G944" s="107"/>
      <c r="H944" s="108"/>
      <c r="I944" s="40"/>
    </row>
    <row r="945" spans="2:9" ht="15.5" x14ac:dyDescent="0.35">
      <c r="B945" s="105"/>
      <c r="C945" s="106" t="str">
        <f t="shared" si="16"/>
        <v/>
      </c>
      <c r="D945" s="107"/>
      <c r="E945" s="107"/>
      <c r="F945" s="106" t="str">
        <f>IFERROR(INDEX(Lista_Precios[CÓDIGO],MATCH(Movimientos!$G945,Lista_Precios[PRODUCTO],0)),"")</f>
        <v/>
      </c>
      <c r="G945" s="107"/>
      <c r="H945" s="108"/>
      <c r="I945" s="40"/>
    </row>
    <row r="946" spans="2:9" ht="15.5" x14ac:dyDescent="0.35">
      <c r="B946" s="105"/>
      <c r="C946" s="106" t="str">
        <f t="shared" si="16"/>
        <v/>
      </c>
      <c r="D946" s="107"/>
      <c r="E946" s="107"/>
      <c r="F946" s="106" t="str">
        <f>IFERROR(INDEX(Lista_Precios[CÓDIGO],MATCH(Movimientos!$G946,Lista_Precios[PRODUCTO],0)),"")</f>
        <v/>
      </c>
      <c r="G946" s="107"/>
      <c r="H946" s="108"/>
      <c r="I946" s="40"/>
    </row>
    <row r="947" spans="2:9" ht="15.5" x14ac:dyDescent="0.35">
      <c r="B947" s="105"/>
      <c r="C947" s="106" t="str">
        <f t="shared" si="16"/>
        <v/>
      </c>
      <c r="D947" s="107"/>
      <c r="E947" s="107"/>
      <c r="F947" s="106" t="str">
        <f>IFERROR(INDEX(Lista_Precios[CÓDIGO],MATCH(Movimientos!$G947,Lista_Precios[PRODUCTO],0)),"")</f>
        <v/>
      </c>
      <c r="G947" s="107"/>
      <c r="H947" s="108"/>
      <c r="I947" s="40"/>
    </row>
    <row r="948" spans="2:9" ht="15.5" x14ac:dyDescent="0.35">
      <c r="B948" s="105"/>
      <c r="C948" s="106" t="str">
        <f t="shared" si="16"/>
        <v/>
      </c>
      <c r="D948" s="107"/>
      <c r="E948" s="107"/>
      <c r="F948" s="106" t="str">
        <f>IFERROR(INDEX(Lista_Precios[CÓDIGO],MATCH(Movimientos!$G948,Lista_Precios[PRODUCTO],0)),"")</f>
        <v/>
      </c>
      <c r="G948" s="107"/>
      <c r="H948" s="108"/>
      <c r="I948" s="40"/>
    </row>
    <row r="949" spans="2:9" ht="15.5" x14ac:dyDescent="0.35">
      <c r="B949" s="105"/>
      <c r="C949" s="106" t="str">
        <f t="shared" si="16"/>
        <v/>
      </c>
      <c r="D949" s="107"/>
      <c r="E949" s="107"/>
      <c r="F949" s="106" t="str">
        <f>IFERROR(INDEX(Lista_Precios[CÓDIGO],MATCH(Movimientos!$G949,Lista_Precios[PRODUCTO],0)),"")</f>
        <v/>
      </c>
      <c r="G949" s="107"/>
      <c r="H949" s="108"/>
      <c r="I949" s="40"/>
    </row>
    <row r="950" spans="2:9" ht="15.5" x14ac:dyDescent="0.35">
      <c r="B950" s="105"/>
      <c r="C950" s="106" t="str">
        <f t="shared" si="16"/>
        <v/>
      </c>
      <c r="D950" s="107"/>
      <c r="E950" s="107"/>
      <c r="F950" s="106" t="str">
        <f>IFERROR(INDEX(Lista_Precios[CÓDIGO],MATCH(Movimientos!$G950,Lista_Precios[PRODUCTO],0)),"")</f>
        <v/>
      </c>
      <c r="G950" s="107"/>
      <c r="H950" s="108"/>
      <c r="I950" s="40"/>
    </row>
    <row r="951" spans="2:9" ht="15.5" x14ac:dyDescent="0.35">
      <c r="B951" s="105"/>
      <c r="C951" s="106" t="str">
        <f t="shared" si="16"/>
        <v/>
      </c>
      <c r="D951" s="107"/>
      <c r="E951" s="107"/>
      <c r="F951" s="106" t="str">
        <f>IFERROR(INDEX(Lista_Precios[CÓDIGO],MATCH(Movimientos!$G951,Lista_Precios[PRODUCTO],0)),"")</f>
        <v/>
      </c>
      <c r="G951" s="107"/>
      <c r="H951" s="108"/>
      <c r="I951" s="40"/>
    </row>
    <row r="952" spans="2:9" ht="15.5" x14ac:dyDescent="0.35">
      <c r="B952" s="105"/>
      <c r="C952" s="106" t="str">
        <f t="shared" si="16"/>
        <v/>
      </c>
      <c r="D952" s="107"/>
      <c r="E952" s="107"/>
      <c r="F952" s="106" t="str">
        <f>IFERROR(INDEX(Lista_Precios[CÓDIGO],MATCH(Movimientos!$G952,Lista_Precios[PRODUCTO],0)),"")</f>
        <v/>
      </c>
      <c r="G952" s="107"/>
      <c r="H952" s="108"/>
      <c r="I952" s="40"/>
    </row>
    <row r="953" spans="2:9" ht="15.5" x14ac:dyDescent="0.35">
      <c r="B953" s="105"/>
      <c r="C953" s="106" t="str">
        <f t="shared" si="16"/>
        <v/>
      </c>
      <c r="D953" s="107"/>
      <c r="E953" s="107"/>
      <c r="F953" s="106" t="str">
        <f>IFERROR(INDEX(Lista_Precios[CÓDIGO],MATCH(Movimientos!$G953,Lista_Precios[PRODUCTO],0)),"")</f>
        <v/>
      </c>
      <c r="G953" s="107"/>
      <c r="H953" s="108"/>
      <c r="I953" s="40"/>
    </row>
    <row r="954" spans="2:9" ht="15.5" x14ac:dyDescent="0.35">
      <c r="B954" s="105"/>
      <c r="C954" s="106" t="str">
        <f t="shared" si="16"/>
        <v/>
      </c>
      <c r="D954" s="107"/>
      <c r="E954" s="107"/>
      <c r="F954" s="106" t="str">
        <f>IFERROR(INDEX(Lista_Precios[CÓDIGO],MATCH(Movimientos!$G954,Lista_Precios[PRODUCTO],0)),"")</f>
        <v/>
      </c>
      <c r="G954" s="107"/>
      <c r="H954" s="108"/>
      <c r="I954" s="40"/>
    </row>
    <row r="955" spans="2:9" ht="15.5" x14ac:dyDescent="0.35">
      <c r="B955" s="105"/>
      <c r="C955" s="106" t="str">
        <f t="shared" si="16"/>
        <v/>
      </c>
      <c r="D955" s="107"/>
      <c r="E955" s="107"/>
      <c r="F955" s="106" t="str">
        <f>IFERROR(INDEX(Lista_Precios[CÓDIGO],MATCH(Movimientos!$G955,Lista_Precios[PRODUCTO],0)),"")</f>
        <v/>
      </c>
      <c r="G955" s="107"/>
      <c r="H955" s="108"/>
      <c r="I955" s="40"/>
    </row>
    <row r="956" spans="2:9" ht="15.5" x14ac:dyDescent="0.35">
      <c r="B956" s="105"/>
      <c r="C956" s="106" t="str">
        <f t="shared" si="16"/>
        <v/>
      </c>
      <c r="D956" s="107"/>
      <c r="E956" s="107"/>
      <c r="F956" s="106" t="str">
        <f>IFERROR(INDEX(Lista_Precios[CÓDIGO],MATCH(Movimientos!$G956,Lista_Precios[PRODUCTO],0)),"")</f>
        <v/>
      </c>
      <c r="G956" s="107"/>
      <c r="H956" s="108"/>
      <c r="I956" s="40"/>
    </row>
    <row r="957" spans="2:9" ht="15.5" x14ac:dyDescent="0.35">
      <c r="B957" s="105"/>
      <c r="C957" s="106" t="str">
        <f t="shared" si="16"/>
        <v/>
      </c>
      <c r="D957" s="107"/>
      <c r="E957" s="107"/>
      <c r="F957" s="106" t="str">
        <f>IFERROR(INDEX(Lista_Precios[CÓDIGO],MATCH(Movimientos!$G957,Lista_Precios[PRODUCTO],0)),"")</f>
        <v/>
      </c>
      <c r="G957" s="107"/>
      <c r="H957" s="108"/>
      <c r="I957" s="40"/>
    </row>
    <row r="958" spans="2:9" ht="15.5" x14ac:dyDescent="0.35">
      <c r="B958" s="105"/>
      <c r="C958" s="106" t="str">
        <f t="shared" si="16"/>
        <v/>
      </c>
      <c r="D958" s="107"/>
      <c r="E958" s="107"/>
      <c r="F958" s="106" t="str">
        <f>IFERROR(INDEX(Lista_Precios[CÓDIGO],MATCH(Movimientos!$G958,Lista_Precios[PRODUCTO],0)),"")</f>
        <v/>
      </c>
      <c r="G958" s="107"/>
      <c r="H958" s="108"/>
      <c r="I958" s="40"/>
    </row>
    <row r="959" spans="2:9" ht="15.5" x14ac:dyDescent="0.35">
      <c r="B959" s="105"/>
      <c r="C959" s="106" t="str">
        <f t="shared" si="16"/>
        <v/>
      </c>
      <c r="D959" s="107"/>
      <c r="E959" s="107"/>
      <c r="F959" s="106" t="str">
        <f>IFERROR(INDEX(Lista_Precios[CÓDIGO],MATCH(Movimientos!$G959,Lista_Precios[PRODUCTO],0)),"")</f>
        <v/>
      </c>
      <c r="G959" s="107"/>
      <c r="H959" s="108"/>
      <c r="I959" s="40"/>
    </row>
    <row r="960" spans="2:9" ht="15.5" x14ac:dyDescent="0.35">
      <c r="B960" s="105"/>
      <c r="C960" s="106" t="str">
        <f t="shared" si="16"/>
        <v/>
      </c>
      <c r="D960" s="107"/>
      <c r="E960" s="107"/>
      <c r="F960" s="106" t="str">
        <f>IFERROR(INDEX(Lista_Precios[CÓDIGO],MATCH(Movimientos!$G960,Lista_Precios[PRODUCTO],0)),"")</f>
        <v/>
      </c>
      <c r="G960" s="107"/>
      <c r="H960" s="108"/>
      <c r="I960" s="40"/>
    </row>
    <row r="961" spans="2:9" ht="15.5" x14ac:dyDescent="0.35">
      <c r="B961" s="105"/>
      <c r="C961" s="106" t="str">
        <f t="shared" si="16"/>
        <v/>
      </c>
      <c r="D961" s="107"/>
      <c r="E961" s="107"/>
      <c r="F961" s="106" t="str">
        <f>IFERROR(INDEX(Lista_Precios[CÓDIGO],MATCH(Movimientos!$G961,Lista_Precios[PRODUCTO],0)),"")</f>
        <v/>
      </c>
      <c r="G961" s="107"/>
      <c r="H961" s="108"/>
      <c r="I961" s="40"/>
    </row>
    <row r="962" spans="2:9" ht="15.5" x14ac:dyDescent="0.35">
      <c r="B962" s="105"/>
      <c r="C962" s="106" t="str">
        <f t="shared" si="16"/>
        <v/>
      </c>
      <c r="D962" s="107"/>
      <c r="E962" s="107"/>
      <c r="F962" s="106" t="str">
        <f>IFERROR(INDEX(Lista_Precios[CÓDIGO],MATCH(Movimientos!$G962,Lista_Precios[PRODUCTO],0)),"")</f>
        <v/>
      </c>
      <c r="G962" s="107"/>
      <c r="H962" s="108"/>
      <c r="I962" s="40"/>
    </row>
    <row r="963" spans="2:9" ht="15.5" x14ac:dyDescent="0.35">
      <c r="B963" s="105"/>
      <c r="C963" s="106" t="str">
        <f t="shared" si="16"/>
        <v/>
      </c>
      <c r="D963" s="107"/>
      <c r="E963" s="107"/>
      <c r="F963" s="106" t="str">
        <f>IFERROR(INDEX(Lista_Precios[CÓDIGO],MATCH(Movimientos!$G963,Lista_Precios[PRODUCTO],0)),"")</f>
        <v/>
      </c>
      <c r="G963" s="107"/>
      <c r="H963" s="108"/>
      <c r="I963" s="40"/>
    </row>
    <row r="964" spans="2:9" ht="15.5" x14ac:dyDescent="0.35">
      <c r="B964" s="105"/>
      <c r="C964" s="106" t="str">
        <f t="shared" si="16"/>
        <v/>
      </c>
      <c r="D964" s="107"/>
      <c r="E964" s="107"/>
      <c r="F964" s="106" t="str">
        <f>IFERROR(INDEX(Lista_Precios[CÓDIGO],MATCH(Movimientos!$G964,Lista_Precios[PRODUCTO],0)),"")</f>
        <v/>
      </c>
      <c r="G964" s="107"/>
      <c r="H964" s="108"/>
      <c r="I964" s="40"/>
    </row>
    <row r="965" spans="2:9" ht="15.5" x14ac:dyDescent="0.35">
      <c r="B965" s="105"/>
      <c r="C965" s="106" t="str">
        <f t="shared" si="16"/>
        <v/>
      </c>
      <c r="D965" s="107"/>
      <c r="E965" s="107"/>
      <c r="F965" s="106" t="str">
        <f>IFERROR(INDEX(Lista_Precios[CÓDIGO],MATCH(Movimientos!$G965,Lista_Precios[PRODUCTO],0)),"")</f>
        <v/>
      </c>
      <c r="G965" s="107"/>
      <c r="H965" s="108"/>
      <c r="I965" s="40"/>
    </row>
    <row r="966" spans="2:9" ht="15.5" x14ac:dyDescent="0.35">
      <c r="B966" s="105"/>
      <c r="C966" s="106" t="str">
        <f t="shared" si="16"/>
        <v/>
      </c>
      <c r="D966" s="107"/>
      <c r="E966" s="107"/>
      <c r="F966" s="106" t="str">
        <f>IFERROR(INDEX(Lista_Precios[CÓDIGO],MATCH(Movimientos!$G966,Lista_Precios[PRODUCTO],0)),"")</f>
        <v/>
      </c>
      <c r="G966" s="107"/>
      <c r="H966" s="108"/>
      <c r="I966" s="40"/>
    </row>
    <row r="967" spans="2:9" ht="15.5" x14ac:dyDescent="0.35">
      <c r="B967" s="105"/>
      <c r="C967" s="106" t="str">
        <f t="shared" si="16"/>
        <v/>
      </c>
      <c r="D967" s="107"/>
      <c r="E967" s="107"/>
      <c r="F967" s="106" t="str">
        <f>IFERROR(INDEX(Lista_Precios[CÓDIGO],MATCH(Movimientos!$G967,Lista_Precios[PRODUCTO],0)),"")</f>
        <v/>
      </c>
      <c r="G967" s="107"/>
      <c r="H967" s="108"/>
      <c r="I967" s="40"/>
    </row>
    <row r="968" spans="2:9" ht="15.5" x14ac:dyDescent="0.35">
      <c r="B968" s="105"/>
      <c r="C968" s="106" t="str">
        <f t="shared" si="16"/>
        <v/>
      </c>
      <c r="D968" s="107"/>
      <c r="E968" s="107"/>
      <c r="F968" s="106" t="str">
        <f>IFERROR(INDEX(Lista_Precios[CÓDIGO],MATCH(Movimientos!$G968,Lista_Precios[PRODUCTO],0)),"")</f>
        <v/>
      </c>
      <c r="G968" s="107"/>
      <c r="H968" s="108"/>
      <c r="I968" s="40"/>
    </row>
    <row r="969" spans="2:9" ht="15.5" x14ac:dyDescent="0.35">
      <c r="B969" s="105"/>
      <c r="C969" s="106" t="str">
        <f t="shared" si="16"/>
        <v/>
      </c>
      <c r="D969" s="107"/>
      <c r="E969" s="107"/>
      <c r="F969" s="106" t="str">
        <f>IFERROR(INDEX(Lista_Precios[CÓDIGO],MATCH(Movimientos!$G969,Lista_Precios[PRODUCTO],0)),"")</f>
        <v/>
      </c>
      <c r="G969" s="107"/>
      <c r="H969" s="108"/>
      <c r="I969" s="40"/>
    </row>
    <row r="970" spans="2:9" ht="15.5" x14ac:dyDescent="0.35">
      <c r="B970" s="105"/>
      <c r="C970" s="106" t="str">
        <f t="shared" si="16"/>
        <v/>
      </c>
      <c r="D970" s="107"/>
      <c r="E970" s="107"/>
      <c r="F970" s="106" t="str">
        <f>IFERROR(INDEX(Lista_Precios[CÓDIGO],MATCH(Movimientos!$G970,Lista_Precios[PRODUCTO],0)),"")</f>
        <v/>
      </c>
      <c r="G970" s="107"/>
      <c r="H970" s="108"/>
      <c r="I970" s="40"/>
    </row>
    <row r="971" spans="2:9" ht="15.5" x14ac:dyDescent="0.35">
      <c r="B971" s="105"/>
      <c r="C971" s="106" t="str">
        <f t="shared" si="16"/>
        <v/>
      </c>
      <c r="D971" s="107"/>
      <c r="E971" s="107"/>
      <c r="F971" s="106" t="str">
        <f>IFERROR(INDEX(Lista_Precios[CÓDIGO],MATCH(Movimientos!$G971,Lista_Precios[PRODUCTO],0)),"")</f>
        <v/>
      </c>
      <c r="G971" s="107"/>
      <c r="H971" s="108"/>
      <c r="I971" s="40"/>
    </row>
    <row r="972" spans="2:9" ht="15.5" x14ac:dyDescent="0.35">
      <c r="B972" s="105"/>
      <c r="C972" s="106" t="str">
        <f t="shared" si="16"/>
        <v/>
      </c>
      <c r="D972" s="107"/>
      <c r="E972" s="107"/>
      <c r="F972" s="106" t="str">
        <f>IFERROR(INDEX(Lista_Precios[CÓDIGO],MATCH(Movimientos!$G972,Lista_Precios[PRODUCTO],0)),"")</f>
        <v/>
      </c>
      <c r="G972" s="107"/>
      <c r="H972" s="108"/>
      <c r="I972" s="40"/>
    </row>
    <row r="973" spans="2:9" ht="15.5" x14ac:dyDescent="0.35">
      <c r="B973" s="105"/>
      <c r="C973" s="106" t="str">
        <f t="shared" si="16"/>
        <v/>
      </c>
      <c r="D973" s="107"/>
      <c r="E973" s="107"/>
      <c r="F973" s="106" t="str">
        <f>IFERROR(INDEX(Lista_Precios[CÓDIGO],MATCH(Movimientos!$G973,Lista_Precios[PRODUCTO],0)),"")</f>
        <v/>
      </c>
      <c r="G973" s="107"/>
      <c r="H973" s="108"/>
      <c r="I973" s="40"/>
    </row>
    <row r="974" spans="2:9" ht="15.5" x14ac:dyDescent="0.35">
      <c r="B974" s="105"/>
      <c r="C974" s="106" t="str">
        <f t="shared" si="16"/>
        <v/>
      </c>
      <c r="D974" s="107"/>
      <c r="E974" s="107"/>
      <c r="F974" s="106" t="str">
        <f>IFERROR(INDEX(Lista_Precios[CÓDIGO],MATCH(Movimientos!$G974,Lista_Precios[PRODUCTO],0)),"")</f>
        <v/>
      </c>
      <c r="G974" s="107"/>
      <c r="H974" s="108"/>
      <c r="I974" s="40"/>
    </row>
    <row r="975" spans="2:9" ht="15.5" x14ac:dyDescent="0.35">
      <c r="B975" s="105"/>
      <c r="C975" s="106" t="str">
        <f t="shared" si="16"/>
        <v/>
      </c>
      <c r="D975" s="107"/>
      <c r="E975" s="107"/>
      <c r="F975" s="106" t="str">
        <f>IFERROR(INDEX(Lista_Precios[CÓDIGO],MATCH(Movimientos!$G975,Lista_Precios[PRODUCTO],0)),"")</f>
        <v/>
      </c>
      <c r="G975" s="107"/>
      <c r="H975" s="108"/>
      <c r="I975" s="40"/>
    </row>
    <row r="976" spans="2:9" ht="15.5" x14ac:dyDescent="0.35">
      <c r="B976" s="105"/>
      <c r="C976" s="106" t="str">
        <f t="shared" si="16"/>
        <v/>
      </c>
      <c r="D976" s="107"/>
      <c r="E976" s="107"/>
      <c r="F976" s="106" t="str">
        <f>IFERROR(INDEX(Lista_Precios[CÓDIGO],MATCH(Movimientos!$G976,Lista_Precios[PRODUCTO],0)),"")</f>
        <v/>
      </c>
      <c r="G976" s="107"/>
      <c r="H976" s="108"/>
      <c r="I976" s="40"/>
    </row>
    <row r="977" spans="2:9" ht="15.5" x14ac:dyDescent="0.35">
      <c r="B977" s="105"/>
      <c r="C977" s="106" t="str">
        <f t="shared" si="16"/>
        <v/>
      </c>
      <c r="D977" s="107"/>
      <c r="E977" s="107"/>
      <c r="F977" s="106" t="str">
        <f>IFERROR(INDEX(Lista_Precios[CÓDIGO],MATCH(Movimientos!$G977,Lista_Precios[PRODUCTO],0)),"")</f>
        <v/>
      </c>
      <c r="G977" s="107"/>
      <c r="H977" s="108"/>
      <c r="I977" s="40"/>
    </row>
    <row r="978" spans="2:9" ht="15.5" x14ac:dyDescent="0.35">
      <c r="B978" s="105"/>
      <c r="C978" s="106" t="str">
        <f t="shared" si="16"/>
        <v/>
      </c>
      <c r="D978" s="107"/>
      <c r="E978" s="107"/>
      <c r="F978" s="106" t="str">
        <f>IFERROR(INDEX(Lista_Precios[CÓDIGO],MATCH(Movimientos!$G978,Lista_Precios[PRODUCTO],0)),"")</f>
        <v/>
      </c>
      <c r="G978" s="107"/>
      <c r="H978" s="108"/>
      <c r="I978" s="40"/>
    </row>
    <row r="979" spans="2:9" ht="15.5" x14ac:dyDescent="0.35">
      <c r="B979" s="105"/>
      <c r="C979" s="106" t="str">
        <f t="shared" si="16"/>
        <v/>
      </c>
      <c r="D979" s="107"/>
      <c r="E979" s="107"/>
      <c r="F979" s="106" t="str">
        <f>IFERROR(INDEX(Lista_Precios[CÓDIGO],MATCH(Movimientos!$G979,Lista_Precios[PRODUCTO],0)),"")</f>
        <v/>
      </c>
      <c r="G979" s="107"/>
      <c r="H979" s="108"/>
      <c r="I979" s="40"/>
    </row>
    <row r="980" spans="2:9" ht="15.5" x14ac:dyDescent="0.35">
      <c r="B980" s="105"/>
      <c r="C980" s="106" t="str">
        <f t="shared" si="16"/>
        <v/>
      </c>
      <c r="D980" s="107"/>
      <c r="E980" s="107"/>
      <c r="F980" s="106" t="str">
        <f>IFERROR(INDEX(Lista_Precios[CÓDIGO],MATCH(Movimientos!$G980,Lista_Precios[PRODUCTO],0)),"")</f>
        <v/>
      </c>
      <c r="G980" s="107"/>
      <c r="H980" s="108"/>
      <c r="I980" s="40"/>
    </row>
    <row r="981" spans="2:9" ht="15.5" x14ac:dyDescent="0.35">
      <c r="B981" s="105"/>
      <c r="C981" s="106" t="str">
        <f t="shared" si="16"/>
        <v/>
      </c>
      <c r="D981" s="107"/>
      <c r="E981" s="107"/>
      <c r="F981" s="106" t="str">
        <f>IFERROR(INDEX(Lista_Precios[CÓDIGO],MATCH(Movimientos!$G981,Lista_Precios[PRODUCTO],0)),"")</f>
        <v/>
      </c>
      <c r="G981" s="107"/>
      <c r="H981" s="108"/>
      <c r="I981" s="40"/>
    </row>
    <row r="982" spans="2:9" ht="15.5" x14ac:dyDescent="0.35">
      <c r="B982" s="105"/>
      <c r="C982" s="106" t="str">
        <f t="shared" si="16"/>
        <v/>
      </c>
      <c r="D982" s="107"/>
      <c r="E982" s="107"/>
      <c r="F982" s="106" t="str">
        <f>IFERROR(INDEX(Lista_Precios[CÓDIGO],MATCH(Movimientos!$G982,Lista_Precios[PRODUCTO],0)),"")</f>
        <v/>
      </c>
      <c r="G982" s="107"/>
      <c r="H982" s="108"/>
      <c r="I982" s="40"/>
    </row>
    <row r="983" spans="2:9" ht="15.5" x14ac:dyDescent="0.35">
      <c r="B983" s="105"/>
      <c r="C983" s="106" t="str">
        <f t="shared" si="16"/>
        <v/>
      </c>
      <c r="D983" s="107"/>
      <c r="E983" s="107"/>
      <c r="F983" s="106" t="str">
        <f>IFERROR(INDEX(Lista_Precios[CÓDIGO],MATCH(Movimientos!$G983,Lista_Precios[PRODUCTO],0)),"")</f>
        <v/>
      </c>
      <c r="G983" s="107"/>
      <c r="H983" s="108"/>
      <c r="I983" s="40"/>
    </row>
    <row r="984" spans="2:9" ht="15.5" x14ac:dyDescent="0.35">
      <c r="B984" s="105"/>
      <c r="C984" s="106" t="str">
        <f t="shared" si="16"/>
        <v/>
      </c>
      <c r="D984" s="107"/>
      <c r="E984" s="107"/>
      <c r="F984" s="106" t="str">
        <f>IFERROR(INDEX(Lista_Precios[CÓDIGO],MATCH(Movimientos!$G984,Lista_Precios[PRODUCTO],0)),"")</f>
        <v/>
      </c>
      <c r="G984" s="107"/>
      <c r="H984" s="108"/>
      <c r="I984" s="40"/>
    </row>
    <row r="985" spans="2:9" ht="15.5" x14ac:dyDescent="0.35">
      <c r="B985" s="105"/>
      <c r="C985" s="106" t="str">
        <f t="shared" si="16"/>
        <v/>
      </c>
      <c r="D985" s="107"/>
      <c r="E985" s="107"/>
      <c r="F985" s="106" t="str">
        <f>IFERROR(INDEX(Lista_Precios[CÓDIGO],MATCH(Movimientos!$G985,Lista_Precios[PRODUCTO],0)),"")</f>
        <v/>
      </c>
      <c r="G985" s="107"/>
      <c r="H985" s="108"/>
      <c r="I985" s="40"/>
    </row>
    <row r="986" spans="2:9" ht="15.5" x14ac:dyDescent="0.35">
      <c r="B986" s="105"/>
      <c r="C986" s="106" t="str">
        <f t="shared" si="16"/>
        <v/>
      </c>
      <c r="D986" s="107"/>
      <c r="E986" s="107"/>
      <c r="F986" s="106" t="str">
        <f>IFERROR(INDEX(Lista_Precios[CÓDIGO],MATCH(Movimientos!$G986,Lista_Precios[PRODUCTO],0)),"")</f>
        <v/>
      </c>
      <c r="G986" s="107"/>
      <c r="H986" s="108"/>
      <c r="I986" s="40"/>
    </row>
    <row r="987" spans="2:9" ht="15.5" x14ac:dyDescent="0.35">
      <c r="B987" s="105"/>
      <c r="C987" s="106" t="str">
        <f t="shared" si="16"/>
        <v/>
      </c>
      <c r="D987" s="107"/>
      <c r="E987" s="107"/>
      <c r="F987" s="106" t="str">
        <f>IFERROR(INDEX(Lista_Precios[CÓDIGO],MATCH(Movimientos!$G987,Lista_Precios[PRODUCTO],0)),"")</f>
        <v/>
      </c>
      <c r="G987" s="107"/>
      <c r="H987" s="108"/>
      <c r="I987" s="40"/>
    </row>
    <row r="988" spans="2:9" ht="15.5" x14ac:dyDescent="0.35">
      <c r="B988" s="105"/>
      <c r="C988" s="106" t="str">
        <f t="shared" si="16"/>
        <v/>
      </c>
      <c r="D988" s="107"/>
      <c r="E988" s="107"/>
      <c r="F988" s="106" t="str">
        <f>IFERROR(INDEX(Lista_Precios[CÓDIGO],MATCH(Movimientos!$G988,Lista_Precios[PRODUCTO],0)),"")</f>
        <v/>
      </c>
      <c r="G988" s="107"/>
      <c r="H988" s="108"/>
      <c r="I988" s="40"/>
    </row>
    <row r="989" spans="2:9" ht="15.5" x14ac:dyDescent="0.35">
      <c r="B989" s="105"/>
      <c r="C989" s="106" t="str">
        <f t="shared" si="16"/>
        <v/>
      </c>
      <c r="D989" s="107"/>
      <c r="E989" s="107"/>
      <c r="F989" s="106" t="str">
        <f>IFERROR(INDEX(Lista_Precios[CÓDIGO],MATCH(Movimientos!$G989,Lista_Precios[PRODUCTO],0)),"")</f>
        <v/>
      </c>
      <c r="G989" s="107"/>
      <c r="H989" s="108"/>
      <c r="I989" s="40"/>
    </row>
    <row r="990" spans="2:9" ht="15.5" x14ac:dyDescent="0.35">
      <c r="B990" s="105"/>
      <c r="C990" s="106" t="str">
        <f t="shared" si="16"/>
        <v/>
      </c>
      <c r="D990" s="107"/>
      <c r="E990" s="107"/>
      <c r="F990" s="106" t="str">
        <f>IFERROR(INDEX(Lista_Precios[CÓDIGO],MATCH(Movimientos!$G990,Lista_Precios[PRODUCTO],0)),"")</f>
        <v/>
      </c>
      <c r="G990" s="107"/>
      <c r="H990" s="108"/>
      <c r="I990" s="40"/>
    </row>
    <row r="991" spans="2:9" ht="15.5" x14ac:dyDescent="0.35">
      <c r="B991" s="105"/>
      <c r="C991" s="106" t="str">
        <f t="shared" si="16"/>
        <v/>
      </c>
      <c r="D991" s="107"/>
      <c r="E991" s="107"/>
      <c r="F991" s="106" t="str">
        <f>IFERROR(INDEX(Lista_Precios[CÓDIGO],MATCH(Movimientos!$G991,Lista_Precios[PRODUCTO],0)),"")</f>
        <v/>
      </c>
      <c r="G991" s="107"/>
      <c r="H991" s="108"/>
      <c r="I991" s="40"/>
    </row>
    <row r="992" spans="2:9" ht="15.5" x14ac:dyDescent="0.35">
      <c r="B992" s="105"/>
      <c r="C992" s="106" t="str">
        <f t="shared" si="16"/>
        <v/>
      </c>
      <c r="D992" s="107"/>
      <c r="E992" s="107"/>
      <c r="F992" s="106" t="str">
        <f>IFERROR(INDEX(Lista_Precios[CÓDIGO],MATCH(Movimientos!$G992,Lista_Precios[PRODUCTO],0)),"")</f>
        <v/>
      </c>
      <c r="G992" s="107"/>
      <c r="H992" s="108"/>
      <c r="I992" s="40"/>
    </row>
    <row r="993" spans="2:9" ht="15.5" x14ac:dyDescent="0.35">
      <c r="B993" s="105"/>
      <c r="C993" s="106" t="str">
        <f t="shared" si="16"/>
        <v/>
      </c>
      <c r="D993" s="107"/>
      <c r="E993" s="107"/>
      <c r="F993" s="106" t="str">
        <f>IFERROR(INDEX(Lista_Precios[CÓDIGO],MATCH(Movimientos!$G993,Lista_Precios[PRODUCTO],0)),"")</f>
        <v/>
      </c>
      <c r="G993" s="107"/>
      <c r="H993" s="108"/>
      <c r="I993" s="40"/>
    </row>
    <row r="994" spans="2:9" ht="15.5" x14ac:dyDescent="0.35">
      <c r="B994" s="105"/>
      <c r="C994" s="106" t="str">
        <f t="shared" si="16"/>
        <v/>
      </c>
      <c r="D994" s="107"/>
      <c r="E994" s="107"/>
      <c r="F994" s="106" t="str">
        <f>IFERROR(INDEX(Lista_Precios[CÓDIGO],MATCH(Movimientos!$G994,Lista_Precios[PRODUCTO],0)),"")</f>
        <v/>
      </c>
      <c r="G994" s="107"/>
      <c r="H994" s="108"/>
      <c r="I994" s="40"/>
    </row>
    <row r="995" spans="2:9" ht="15.5" x14ac:dyDescent="0.35">
      <c r="B995" s="105"/>
      <c r="C995" s="106" t="str">
        <f t="shared" si="16"/>
        <v/>
      </c>
      <c r="D995" s="107"/>
      <c r="E995" s="107"/>
      <c r="F995" s="106" t="str">
        <f>IFERROR(INDEX(Lista_Precios[CÓDIGO],MATCH(Movimientos!$G995,Lista_Precios[PRODUCTO],0)),"")</f>
        <v/>
      </c>
      <c r="G995" s="107"/>
      <c r="H995" s="108"/>
      <c r="I995" s="40"/>
    </row>
    <row r="996" spans="2:9" ht="15.5" x14ac:dyDescent="0.35">
      <c r="B996" s="105"/>
      <c r="C996" s="106" t="str">
        <f t="shared" si="16"/>
        <v/>
      </c>
      <c r="D996" s="107"/>
      <c r="E996" s="107"/>
      <c r="F996" s="106" t="str">
        <f>IFERROR(INDEX(Lista_Precios[CÓDIGO],MATCH(Movimientos!$G996,Lista_Precios[PRODUCTO],0)),"")</f>
        <v/>
      </c>
      <c r="G996" s="107"/>
      <c r="H996" s="108"/>
      <c r="I996" s="40"/>
    </row>
    <row r="997" spans="2:9" ht="15.5" x14ac:dyDescent="0.35">
      <c r="B997" s="105"/>
      <c r="C997" s="106" t="str">
        <f t="shared" si="16"/>
        <v/>
      </c>
      <c r="D997" s="107"/>
      <c r="E997" s="107"/>
      <c r="F997" s="106" t="str">
        <f>IFERROR(INDEX(Lista_Precios[CÓDIGO],MATCH(Movimientos!$G997,Lista_Precios[PRODUCTO],0)),"")</f>
        <v/>
      </c>
      <c r="G997" s="107"/>
      <c r="H997" s="108"/>
      <c r="I997" s="40"/>
    </row>
    <row r="998" spans="2:9" ht="15.5" x14ac:dyDescent="0.35">
      <c r="B998" s="105"/>
      <c r="C998" s="106" t="str">
        <f t="shared" si="16"/>
        <v/>
      </c>
      <c r="D998" s="107"/>
      <c r="E998" s="107"/>
      <c r="F998" s="106" t="str">
        <f>IFERROR(INDEX(Lista_Precios[CÓDIGO],MATCH(Movimientos!$G998,Lista_Precios[PRODUCTO],0)),"")</f>
        <v/>
      </c>
      <c r="G998" s="107"/>
      <c r="H998" s="108"/>
      <c r="I998" s="40"/>
    </row>
    <row r="999" spans="2:9" ht="15.5" x14ac:dyDescent="0.35">
      <c r="B999" s="105"/>
      <c r="C999" s="106" t="str">
        <f t="shared" ref="C999:C1000" si="17">IF(B999="","",TEXT(B999,"Mmmm"))</f>
        <v/>
      </c>
      <c r="D999" s="107"/>
      <c r="E999" s="107"/>
      <c r="F999" s="106" t="str">
        <f>IFERROR(INDEX(Lista_Precios[CÓDIGO],MATCH(Movimientos!$G999,Lista_Precios[PRODUCTO],0)),"")</f>
        <v/>
      </c>
      <c r="G999" s="107"/>
      <c r="H999" s="108"/>
      <c r="I999" s="40"/>
    </row>
    <row r="1000" spans="2:9" ht="15.5" x14ac:dyDescent="0.35">
      <c r="B1000" s="105"/>
      <c r="C1000" s="106" t="str">
        <f t="shared" si="17"/>
        <v/>
      </c>
      <c r="D1000" s="107"/>
      <c r="E1000" s="107"/>
      <c r="F1000" s="106" t="str">
        <f>IFERROR(INDEX(Lista_Precios[CÓDIGO],MATCH(Movimientos!$G1000,Lista_Precios[PRODUCTO],0)),"")</f>
        <v/>
      </c>
      <c r="G1000" s="107"/>
      <c r="H1000" s="108"/>
      <c r="I1000" s="40"/>
    </row>
  </sheetData>
  <conditionalFormatting sqref="E7:E1000">
    <cfRule type="expression" dxfId="17" priority="1">
      <formula>OR(D7="Compra",D7="Stock Inicial")</formula>
    </cfRule>
  </conditionalFormatting>
  <dataValidations count="3">
    <dataValidation type="list" allowBlank="1" showInputMessage="1" showErrorMessage="1" sqref="D7:D1000" xr:uid="{00000000-0002-0000-0300-000000000000}">
      <formula1>"Stock Inicial,Compra,Venta"</formula1>
    </dataValidation>
    <dataValidation type="list" allowBlank="1" showInputMessage="1" showErrorMessage="1" sqref="G7:G1000" xr:uid="{CC50D5E8-3EF8-4E22-945A-1946EF541640}">
      <formula1>Producto</formula1>
    </dataValidation>
    <dataValidation type="list" allowBlank="1" showInputMessage="1" showErrorMessage="1" sqref="E7:E1000" xr:uid="{5672E4EA-7815-4B0D-9C0B-37942B3F3386}">
      <formula1>Cliente</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9">
    <tabColor rgb="FFF5F8EE"/>
  </sheetPr>
  <dimension ref="A2:F497"/>
  <sheetViews>
    <sheetView showGridLines="0" workbookViewId="0">
      <selection activeCell="B11" sqref="B11"/>
    </sheetView>
  </sheetViews>
  <sheetFormatPr baseColWidth="10" defaultRowHeight="14.5" x14ac:dyDescent="0.35"/>
  <cols>
    <col min="1" max="1" width="4.7265625" customWidth="1"/>
    <col min="2" max="2" width="16.453125" style="13" bestFit="1" customWidth="1"/>
    <col min="3" max="3" width="17.81640625" style="11" customWidth="1"/>
    <col min="4" max="4" width="23.26953125" customWidth="1"/>
    <col min="5" max="5" width="26.453125" customWidth="1"/>
    <col min="6" max="6" width="20.26953125" customWidth="1"/>
    <col min="8" max="8" width="33" customWidth="1"/>
    <col min="9" max="10" width="25.453125" customWidth="1"/>
    <col min="11" max="11" width="12.54296875" customWidth="1"/>
    <col min="12" max="12" width="11" customWidth="1"/>
    <col min="13" max="13" width="15.81640625" bestFit="1" customWidth="1"/>
    <col min="14" max="14" width="12.54296875" bestFit="1" customWidth="1"/>
  </cols>
  <sheetData>
    <row r="2" spans="1:6" ht="21" x14ac:dyDescent="0.35">
      <c r="C2" s="91" t="s">
        <v>95</v>
      </c>
      <c r="D2" s="88" t="s">
        <v>104</v>
      </c>
      <c r="E2" s="128" t="s">
        <v>96</v>
      </c>
    </row>
    <row r="3" spans="1:6" x14ac:dyDescent="0.35">
      <c r="E3" s="127"/>
    </row>
    <row r="4" spans="1:6" ht="21" x14ac:dyDescent="0.35">
      <c r="C4" s="91" t="s">
        <v>97</v>
      </c>
      <c r="D4" s="91" t="s">
        <v>98</v>
      </c>
      <c r="E4" s="91" t="s">
        <v>99</v>
      </c>
    </row>
    <row r="5" spans="1:6" x14ac:dyDescent="0.35">
      <c r="C5" s="142">
        <f>SUMIF($D$11:$D$221,$D$2,E$11:E$221)</f>
        <v>39930</v>
      </c>
      <c r="D5" s="142">
        <f>SUMIF($D$11:$D$221,$D$2,F$11:F$221)</f>
        <v>24000</v>
      </c>
      <c r="E5" s="144">
        <f>C5-D5</f>
        <v>15930</v>
      </c>
    </row>
    <row r="6" spans="1:6" ht="5.25" customHeight="1" x14ac:dyDescent="0.35">
      <c r="C6" s="143"/>
      <c r="D6" s="143"/>
      <c r="E6" s="145"/>
    </row>
    <row r="8" spans="1:6" ht="23.5" x14ac:dyDescent="0.35">
      <c r="B8" s="90" t="s">
        <v>19</v>
      </c>
      <c r="C8" s="90"/>
      <c r="D8" s="90"/>
      <c r="E8" s="90"/>
      <c r="F8" s="90"/>
    </row>
    <row r="9" spans="1:6" ht="8.15" customHeight="1" x14ac:dyDescent="0.35"/>
    <row r="10" spans="1:6" ht="37" x14ac:dyDescent="0.35">
      <c r="B10" s="89" t="s">
        <v>102</v>
      </c>
      <c r="C10" s="89" t="s">
        <v>7</v>
      </c>
      <c r="D10" s="89" t="s">
        <v>17</v>
      </c>
      <c r="E10" s="89" t="s">
        <v>18</v>
      </c>
      <c r="F10" s="89" t="s">
        <v>20</v>
      </c>
    </row>
    <row r="11" spans="1:6" ht="15.5" x14ac:dyDescent="0.35">
      <c r="A11" s="12"/>
      <c r="B11" s="120">
        <v>1</v>
      </c>
      <c r="C11" s="121">
        <v>45586</v>
      </c>
      <c r="D11" s="121" t="s">
        <v>104</v>
      </c>
      <c r="E11" s="122">
        <v>39930</v>
      </c>
      <c r="F11" s="122">
        <v>24000</v>
      </c>
    </row>
    <row r="12" spans="1:6" ht="15.5" x14ac:dyDescent="0.35">
      <c r="A12" s="12"/>
      <c r="B12" s="120"/>
      <c r="C12" s="121"/>
      <c r="D12" s="121"/>
      <c r="E12" s="122"/>
      <c r="F12" s="122"/>
    </row>
    <row r="13" spans="1:6" ht="15.5" x14ac:dyDescent="0.35">
      <c r="A13" s="12"/>
      <c r="B13" s="120"/>
      <c r="C13" s="121"/>
      <c r="D13" s="121"/>
      <c r="E13" s="122"/>
      <c r="F13" s="122"/>
    </row>
    <row r="14" spans="1:6" ht="15.5" x14ac:dyDescent="0.35">
      <c r="A14" s="12"/>
      <c r="B14" s="120"/>
      <c r="C14" s="121"/>
      <c r="D14" s="121"/>
      <c r="E14" s="122"/>
      <c r="F14" s="122"/>
    </row>
    <row r="15" spans="1:6" ht="15.5" x14ac:dyDescent="0.35">
      <c r="A15" s="12"/>
      <c r="B15" s="120"/>
      <c r="C15" s="121"/>
      <c r="D15" s="121"/>
      <c r="E15" s="122"/>
      <c r="F15" s="122"/>
    </row>
    <row r="16" spans="1:6" ht="15.5" x14ac:dyDescent="0.35">
      <c r="A16" s="12"/>
      <c r="B16" s="120"/>
      <c r="C16" s="121"/>
      <c r="D16" s="121"/>
      <c r="E16" s="122"/>
      <c r="F16" s="122"/>
    </row>
    <row r="17" spans="1:6" ht="15.5" x14ac:dyDescent="0.35">
      <c r="A17" s="12"/>
      <c r="B17" s="120"/>
      <c r="C17" s="121"/>
      <c r="D17" s="121"/>
      <c r="E17" s="122"/>
      <c r="F17" s="122"/>
    </row>
    <row r="18" spans="1:6" ht="15.5" x14ac:dyDescent="0.35">
      <c r="A18" s="12"/>
      <c r="B18" s="120"/>
      <c r="C18" s="121"/>
      <c r="D18" s="121"/>
      <c r="E18" s="122"/>
      <c r="F18" s="122"/>
    </row>
    <row r="19" spans="1:6" ht="15.5" x14ac:dyDescent="0.35">
      <c r="A19" s="12"/>
      <c r="B19" s="120"/>
      <c r="C19" s="121"/>
      <c r="D19" s="121"/>
      <c r="E19" s="122"/>
      <c r="F19" s="122"/>
    </row>
    <row r="20" spans="1:6" ht="15.5" x14ac:dyDescent="0.35">
      <c r="A20" s="12"/>
      <c r="B20" s="120"/>
      <c r="C20" s="121"/>
      <c r="D20" s="121"/>
      <c r="E20" s="122"/>
      <c r="F20" s="122"/>
    </row>
    <row r="21" spans="1:6" ht="15.5" x14ac:dyDescent="0.35">
      <c r="A21" s="12"/>
      <c r="B21" s="120"/>
      <c r="C21" s="121"/>
      <c r="D21" s="121"/>
      <c r="E21" s="122"/>
      <c r="F21" s="122"/>
    </row>
    <row r="22" spans="1:6" ht="15.5" x14ac:dyDescent="0.35">
      <c r="A22" s="12"/>
      <c r="B22" s="120"/>
      <c r="C22" s="121"/>
      <c r="D22" s="121"/>
      <c r="E22" s="122"/>
      <c r="F22" s="122"/>
    </row>
    <row r="23" spans="1:6" ht="15.5" x14ac:dyDescent="0.35">
      <c r="A23" s="12"/>
      <c r="B23" s="120"/>
      <c r="C23" s="121"/>
      <c r="D23" s="121"/>
      <c r="E23" s="122"/>
      <c r="F23" s="122"/>
    </row>
    <row r="24" spans="1:6" ht="15.5" x14ac:dyDescent="0.35">
      <c r="A24" s="12"/>
      <c r="B24" s="120"/>
      <c r="C24" s="121"/>
      <c r="D24" s="121"/>
      <c r="E24" s="122"/>
      <c r="F24" s="122"/>
    </row>
    <row r="25" spans="1:6" ht="15.5" x14ac:dyDescent="0.35">
      <c r="A25" s="12"/>
      <c r="B25" s="120"/>
      <c r="C25" s="121"/>
      <c r="D25" s="121"/>
      <c r="E25" s="122"/>
      <c r="F25" s="122"/>
    </row>
    <row r="26" spans="1:6" ht="15.5" x14ac:dyDescent="0.35">
      <c r="A26" s="12"/>
      <c r="B26" s="120"/>
      <c r="C26" s="121"/>
      <c r="D26" s="121"/>
      <c r="E26" s="122"/>
      <c r="F26" s="122"/>
    </row>
    <row r="27" spans="1:6" ht="15.5" x14ac:dyDescent="0.35">
      <c r="A27" s="12"/>
      <c r="B27" s="120"/>
      <c r="C27" s="121"/>
      <c r="D27" s="121"/>
      <c r="E27" s="122"/>
      <c r="F27" s="122"/>
    </row>
    <row r="28" spans="1:6" ht="15.5" x14ac:dyDescent="0.35">
      <c r="A28" s="12"/>
      <c r="B28" s="120"/>
      <c r="C28" s="121"/>
      <c r="D28" s="121"/>
      <c r="E28" s="122"/>
      <c r="F28" s="122"/>
    </row>
    <row r="29" spans="1:6" ht="15.5" x14ac:dyDescent="0.35">
      <c r="A29" s="12"/>
      <c r="B29" s="120"/>
      <c r="C29" s="121"/>
      <c r="D29" s="121"/>
      <c r="E29" s="122"/>
      <c r="F29" s="122"/>
    </row>
    <row r="30" spans="1:6" ht="15.5" x14ac:dyDescent="0.35">
      <c r="A30" s="12"/>
      <c r="B30" s="120"/>
      <c r="C30" s="121"/>
      <c r="D30" s="121"/>
      <c r="E30" s="122"/>
      <c r="F30" s="122"/>
    </row>
    <row r="31" spans="1:6" ht="15.5" x14ac:dyDescent="0.35">
      <c r="A31" s="12"/>
      <c r="B31" s="120"/>
      <c r="C31" s="121"/>
      <c r="D31" s="121"/>
      <c r="E31" s="122"/>
      <c r="F31" s="122"/>
    </row>
    <row r="32" spans="1:6" ht="15.5" x14ac:dyDescent="0.35">
      <c r="A32" s="12"/>
      <c r="B32" s="120"/>
      <c r="C32" s="121"/>
      <c r="D32" s="121"/>
      <c r="E32" s="122"/>
      <c r="F32" s="122"/>
    </row>
    <row r="33" spans="1:6" ht="15.5" x14ac:dyDescent="0.35">
      <c r="A33" s="12"/>
      <c r="B33" s="120"/>
      <c r="C33" s="121"/>
      <c r="D33" s="121"/>
      <c r="E33" s="122"/>
      <c r="F33" s="122"/>
    </row>
    <row r="34" spans="1:6" ht="15.5" x14ac:dyDescent="0.35">
      <c r="A34" s="12"/>
      <c r="B34" s="120"/>
      <c r="C34" s="121"/>
      <c r="D34" s="121"/>
      <c r="E34" s="122"/>
      <c r="F34" s="122"/>
    </row>
    <row r="35" spans="1:6" ht="15.5" x14ac:dyDescent="0.35">
      <c r="A35" s="12"/>
      <c r="B35" s="120"/>
      <c r="C35" s="121"/>
      <c r="D35" s="121"/>
      <c r="E35" s="122"/>
      <c r="F35" s="122"/>
    </row>
    <row r="36" spans="1:6" ht="15.5" x14ac:dyDescent="0.35">
      <c r="A36" s="12"/>
      <c r="B36" s="120"/>
      <c r="C36" s="121"/>
      <c r="D36" s="121"/>
      <c r="E36" s="122"/>
      <c r="F36" s="122"/>
    </row>
    <row r="37" spans="1:6" ht="15.5" x14ac:dyDescent="0.35">
      <c r="A37" s="12"/>
      <c r="B37" s="120"/>
      <c r="C37" s="121"/>
      <c r="D37" s="121"/>
      <c r="E37" s="122"/>
      <c r="F37" s="122"/>
    </row>
    <row r="38" spans="1:6" ht="15.5" x14ac:dyDescent="0.35">
      <c r="A38" s="12"/>
      <c r="B38" s="120"/>
      <c r="C38" s="121"/>
      <c r="D38" s="121"/>
      <c r="E38" s="122"/>
      <c r="F38" s="122"/>
    </row>
    <row r="39" spans="1:6" ht="15.5" x14ac:dyDescent="0.35">
      <c r="A39" s="12"/>
      <c r="B39" s="123"/>
      <c r="C39" s="124"/>
      <c r="D39" s="124"/>
      <c r="E39" s="125"/>
      <c r="F39" s="126"/>
    </row>
    <row r="40" spans="1:6" ht="15.5" x14ac:dyDescent="0.35">
      <c r="A40" s="12"/>
      <c r="B40" s="123"/>
      <c r="C40" s="124"/>
      <c r="D40" s="124"/>
      <c r="E40" s="125"/>
      <c r="F40" s="126"/>
    </row>
    <row r="41" spans="1:6" ht="15.5" x14ac:dyDescent="0.35">
      <c r="A41" s="12"/>
      <c r="B41" s="123"/>
      <c r="C41" s="124"/>
      <c r="D41" s="124"/>
      <c r="E41" s="125"/>
      <c r="F41" s="126"/>
    </row>
    <row r="42" spans="1:6" ht="15.5" x14ac:dyDescent="0.35">
      <c r="A42" s="12"/>
      <c r="B42" s="123"/>
      <c r="C42" s="124"/>
      <c r="D42" s="124"/>
      <c r="E42" s="125"/>
      <c r="F42" s="126"/>
    </row>
    <row r="43" spans="1:6" ht="15.5" x14ac:dyDescent="0.35">
      <c r="A43" s="12"/>
      <c r="B43" s="123"/>
      <c r="C43" s="124"/>
      <c r="D43" s="124"/>
      <c r="E43" s="125"/>
      <c r="F43" s="126"/>
    </row>
    <row r="44" spans="1:6" ht="15.5" x14ac:dyDescent="0.35">
      <c r="A44" s="12"/>
      <c r="B44" s="123"/>
      <c r="C44" s="124"/>
      <c r="D44" s="124"/>
      <c r="E44" s="125"/>
      <c r="F44" s="126"/>
    </row>
    <row r="45" spans="1:6" ht="15.5" x14ac:dyDescent="0.35">
      <c r="A45" s="12"/>
      <c r="B45" s="123"/>
      <c r="C45" s="124"/>
      <c r="D45" s="124"/>
      <c r="E45" s="125"/>
      <c r="F45" s="126"/>
    </row>
    <row r="46" spans="1:6" ht="15.5" x14ac:dyDescent="0.35">
      <c r="A46" s="12"/>
      <c r="B46" s="123"/>
      <c r="C46" s="124"/>
      <c r="D46" s="124"/>
      <c r="E46" s="125"/>
      <c r="F46" s="126"/>
    </row>
    <row r="47" spans="1:6" ht="15.5" x14ac:dyDescent="0.35">
      <c r="A47" s="12"/>
      <c r="B47" s="123"/>
      <c r="C47" s="124"/>
      <c r="D47" s="124"/>
      <c r="E47" s="125"/>
      <c r="F47" s="126"/>
    </row>
    <row r="48" spans="1:6" ht="15.5" x14ac:dyDescent="0.35">
      <c r="A48" s="12"/>
      <c r="B48" s="123"/>
      <c r="C48" s="124"/>
      <c r="D48" s="124"/>
      <c r="E48" s="125"/>
      <c r="F48" s="126"/>
    </row>
    <row r="49" spans="1:6" ht="15.5" x14ac:dyDescent="0.35">
      <c r="A49" s="12"/>
      <c r="B49" s="123"/>
      <c r="C49" s="124"/>
      <c r="D49" s="124"/>
      <c r="E49" s="125"/>
      <c r="F49" s="126"/>
    </row>
    <row r="50" spans="1:6" ht="15.5" x14ac:dyDescent="0.35">
      <c r="A50" s="12"/>
      <c r="B50" s="123"/>
      <c r="C50" s="124"/>
      <c r="D50" s="124"/>
      <c r="E50" s="125"/>
      <c r="F50" s="126"/>
    </row>
    <row r="51" spans="1:6" ht="15.5" x14ac:dyDescent="0.35">
      <c r="A51" s="12"/>
      <c r="B51" s="123"/>
      <c r="C51" s="124"/>
      <c r="D51" s="124"/>
      <c r="E51" s="125"/>
      <c r="F51" s="126"/>
    </row>
    <row r="52" spans="1:6" ht="15.5" x14ac:dyDescent="0.35">
      <c r="A52" s="12"/>
      <c r="B52" s="123"/>
      <c r="C52" s="124"/>
      <c r="D52" s="124"/>
      <c r="E52" s="125"/>
      <c r="F52" s="126"/>
    </row>
    <row r="53" spans="1:6" ht="15.5" x14ac:dyDescent="0.35">
      <c r="A53" s="12"/>
      <c r="B53" s="123"/>
      <c r="C53" s="124"/>
      <c r="D53" s="124"/>
      <c r="E53" s="125"/>
      <c r="F53" s="126"/>
    </row>
    <row r="54" spans="1:6" ht="15.5" x14ac:dyDescent="0.35">
      <c r="A54" s="12"/>
      <c r="B54" s="123"/>
      <c r="C54" s="124"/>
      <c r="D54" s="124"/>
      <c r="E54" s="125"/>
      <c r="F54" s="126"/>
    </row>
    <row r="55" spans="1:6" ht="15.5" x14ac:dyDescent="0.35">
      <c r="A55" s="12"/>
      <c r="B55" s="123"/>
      <c r="C55" s="124"/>
      <c r="D55" s="124"/>
      <c r="E55" s="125"/>
      <c r="F55" s="126"/>
    </row>
    <row r="56" spans="1:6" ht="15.5" x14ac:dyDescent="0.35">
      <c r="A56" s="12"/>
      <c r="B56" s="123"/>
      <c r="C56" s="124"/>
      <c r="D56" s="124"/>
      <c r="E56" s="125"/>
      <c r="F56" s="126"/>
    </row>
    <row r="57" spans="1:6" ht="15.5" x14ac:dyDescent="0.35">
      <c r="A57" s="12"/>
      <c r="B57" s="123"/>
      <c r="C57" s="124"/>
      <c r="D57" s="124"/>
      <c r="E57" s="125"/>
      <c r="F57" s="126"/>
    </row>
    <row r="58" spans="1:6" ht="15.5" x14ac:dyDescent="0.35">
      <c r="A58" s="12"/>
      <c r="B58" s="123"/>
      <c r="C58" s="124"/>
      <c r="D58" s="124"/>
      <c r="E58" s="125"/>
      <c r="F58" s="126"/>
    </row>
    <row r="59" spans="1:6" ht="15.5" x14ac:dyDescent="0.35">
      <c r="A59" s="12"/>
      <c r="B59" s="123"/>
      <c r="C59" s="124"/>
      <c r="D59" s="124"/>
      <c r="E59" s="125"/>
      <c r="F59" s="126"/>
    </row>
    <row r="60" spans="1:6" ht="15.5" x14ac:dyDescent="0.35">
      <c r="A60" s="12"/>
      <c r="B60" s="123"/>
      <c r="C60" s="124"/>
      <c r="D60" s="124"/>
      <c r="E60" s="125"/>
      <c r="F60" s="126"/>
    </row>
    <row r="61" spans="1:6" ht="15.5" x14ac:dyDescent="0.35">
      <c r="A61" s="12"/>
      <c r="B61" s="123"/>
      <c r="C61" s="124"/>
      <c r="D61" s="124"/>
      <c r="E61" s="125"/>
      <c r="F61" s="126"/>
    </row>
    <row r="62" spans="1:6" ht="15.5" x14ac:dyDescent="0.35">
      <c r="A62" s="12"/>
      <c r="B62" s="123"/>
      <c r="C62" s="124"/>
      <c r="D62" s="124"/>
      <c r="E62" s="125"/>
      <c r="F62" s="126"/>
    </row>
    <row r="63" spans="1:6" ht="15.5" x14ac:dyDescent="0.35">
      <c r="A63" s="12"/>
      <c r="B63" s="123"/>
      <c r="C63" s="124"/>
      <c r="D63" s="124"/>
      <c r="E63" s="125"/>
      <c r="F63" s="126"/>
    </row>
    <row r="64" spans="1:6" ht="15.5" x14ac:dyDescent="0.35">
      <c r="A64" s="12"/>
      <c r="B64" s="123"/>
      <c r="C64" s="124"/>
      <c r="D64" s="124"/>
      <c r="E64" s="125"/>
      <c r="F64" s="126"/>
    </row>
    <row r="65" spans="1:6" ht="15.5" x14ac:dyDescent="0.35">
      <c r="A65" s="12"/>
      <c r="B65" s="123"/>
      <c r="C65" s="124"/>
      <c r="D65" s="124"/>
      <c r="E65" s="125"/>
      <c r="F65" s="126"/>
    </row>
    <row r="66" spans="1:6" ht="15.5" x14ac:dyDescent="0.35">
      <c r="A66" s="12"/>
      <c r="B66" s="123"/>
      <c r="C66" s="124"/>
      <c r="D66" s="124"/>
      <c r="E66" s="125"/>
      <c r="F66" s="126"/>
    </row>
    <row r="67" spans="1:6" ht="15.5" x14ac:dyDescent="0.35">
      <c r="A67" s="12"/>
      <c r="B67" s="123"/>
      <c r="C67" s="124"/>
      <c r="D67" s="124"/>
      <c r="E67" s="125"/>
      <c r="F67" s="126"/>
    </row>
    <row r="68" spans="1:6" ht="15.5" x14ac:dyDescent="0.35">
      <c r="A68" s="12"/>
      <c r="B68" s="123"/>
      <c r="C68" s="124"/>
      <c r="D68" s="124"/>
      <c r="E68" s="125"/>
      <c r="F68" s="126"/>
    </row>
    <row r="69" spans="1:6" ht="15.5" x14ac:dyDescent="0.35">
      <c r="A69" s="12"/>
      <c r="B69" s="123"/>
      <c r="C69" s="124"/>
      <c r="D69" s="124"/>
      <c r="E69" s="125"/>
      <c r="F69" s="126"/>
    </row>
    <row r="70" spans="1:6" ht="15.5" x14ac:dyDescent="0.35">
      <c r="A70" s="12"/>
      <c r="B70" s="123"/>
      <c r="C70" s="124"/>
      <c r="D70" s="124"/>
      <c r="E70" s="125"/>
      <c r="F70" s="126"/>
    </row>
    <row r="71" spans="1:6" ht="15.5" x14ac:dyDescent="0.35">
      <c r="A71" s="12"/>
      <c r="B71" s="123"/>
      <c r="C71" s="124"/>
      <c r="D71" s="124"/>
      <c r="E71" s="125"/>
      <c r="F71" s="126"/>
    </row>
    <row r="72" spans="1:6" ht="15.5" x14ac:dyDescent="0.35">
      <c r="A72" s="12"/>
      <c r="B72" s="123"/>
      <c r="C72" s="124"/>
      <c r="D72" s="124"/>
      <c r="E72" s="125"/>
      <c r="F72" s="126"/>
    </row>
    <row r="73" spans="1:6" ht="15.5" x14ac:dyDescent="0.35">
      <c r="A73" s="12"/>
      <c r="B73" s="123"/>
      <c r="C73" s="124"/>
      <c r="D73" s="124"/>
      <c r="E73" s="125"/>
      <c r="F73" s="126"/>
    </row>
    <row r="74" spans="1:6" ht="15.5" x14ac:dyDescent="0.35">
      <c r="A74" s="12"/>
      <c r="B74" s="123"/>
      <c r="C74" s="124"/>
      <c r="D74" s="124"/>
      <c r="E74" s="125"/>
      <c r="F74" s="126"/>
    </row>
    <row r="75" spans="1:6" ht="15.5" x14ac:dyDescent="0.35">
      <c r="A75" s="12"/>
      <c r="B75" s="123"/>
      <c r="C75" s="124"/>
      <c r="D75" s="124"/>
      <c r="E75" s="125"/>
      <c r="F75" s="126"/>
    </row>
    <row r="76" spans="1:6" ht="15.5" x14ac:dyDescent="0.35">
      <c r="A76" s="12"/>
      <c r="B76" s="123"/>
      <c r="C76" s="124"/>
      <c r="D76" s="124"/>
      <c r="E76" s="125"/>
      <c r="F76" s="126"/>
    </row>
    <row r="77" spans="1:6" ht="15.5" x14ac:dyDescent="0.35">
      <c r="A77" s="12"/>
      <c r="B77" s="123"/>
      <c r="C77" s="124"/>
      <c r="D77" s="124"/>
      <c r="E77" s="125"/>
      <c r="F77" s="126"/>
    </row>
    <row r="78" spans="1:6" ht="15.5" x14ac:dyDescent="0.35">
      <c r="A78" s="12"/>
      <c r="B78" s="123"/>
      <c r="C78" s="124"/>
      <c r="D78" s="124"/>
      <c r="E78" s="125"/>
      <c r="F78" s="126"/>
    </row>
    <row r="79" spans="1:6" ht="15.5" x14ac:dyDescent="0.35">
      <c r="A79" s="12"/>
      <c r="B79" s="123"/>
      <c r="C79" s="124"/>
      <c r="D79" s="124"/>
      <c r="E79" s="125"/>
      <c r="F79" s="126"/>
    </row>
    <row r="80" spans="1:6" ht="15.5" x14ac:dyDescent="0.35">
      <c r="A80" s="12"/>
      <c r="B80" s="123"/>
      <c r="C80" s="124"/>
      <c r="D80" s="124"/>
      <c r="E80" s="125"/>
      <c r="F80" s="126"/>
    </row>
    <row r="81" spans="1:6" ht="15.5" x14ac:dyDescent="0.35">
      <c r="A81" s="12"/>
      <c r="B81" s="123"/>
      <c r="C81" s="124"/>
      <c r="D81" s="124"/>
      <c r="E81" s="125"/>
      <c r="F81" s="126"/>
    </row>
    <row r="82" spans="1:6" ht="15.5" x14ac:dyDescent="0.35">
      <c r="A82" s="12"/>
      <c r="B82" s="123"/>
      <c r="C82" s="124"/>
      <c r="D82" s="124"/>
      <c r="E82" s="125"/>
      <c r="F82" s="126"/>
    </row>
    <row r="83" spans="1:6" ht="15.5" x14ac:dyDescent="0.35">
      <c r="A83" s="12"/>
      <c r="B83" s="123"/>
      <c r="C83" s="124"/>
      <c r="D83" s="124"/>
      <c r="E83" s="125"/>
      <c r="F83" s="126"/>
    </row>
    <row r="84" spans="1:6" ht="15.5" x14ac:dyDescent="0.35">
      <c r="A84" s="12"/>
      <c r="B84" s="123"/>
      <c r="C84" s="124"/>
      <c r="D84" s="124"/>
      <c r="E84" s="125"/>
      <c r="F84" s="126"/>
    </row>
    <row r="85" spans="1:6" ht="15.5" x14ac:dyDescent="0.35">
      <c r="A85" s="12"/>
      <c r="B85" s="123"/>
      <c r="C85" s="124"/>
      <c r="D85" s="124"/>
      <c r="E85" s="125"/>
      <c r="F85" s="126"/>
    </row>
    <row r="86" spans="1:6" ht="15.5" x14ac:dyDescent="0.35">
      <c r="A86" s="12"/>
      <c r="B86" s="123"/>
      <c r="C86" s="124"/>
      <c r="D86" s="124"/>
      <c r="E86" s="125"/>
      <c r="F86" s="126"/>
    </row>
    <row r="87" spans="1:6" ht="15.5" x14ac:dyDescent="0.35">
      <c r="A87" s="12"/>
      <c r="B87" s="123"/>
      <c r="C87" s="124"/>
      <c r="D87" s="124"/>
      <c r="E87" s="125"/>
      <c r="F87" s="126"/>
    </row>
    <row r="88" spans="1:6" ht="15.5" x14ac:dyDescent="0.35">
      <c r="A88" s="12"/>
      <c r="B88" s="123"/>
      <c r="C88" s="124"/>
      <c r="D88" s="124"/>
      <c r="E88" s="125"/>
      <c r="F88" s="126"/>
    </row>
    <row r="89" spans="1:6" ht="15.5" x14ac:dyDescent="0.35">
      <c r="A89" s="12"/>
      <c r="B89" s="123"/>
      <c r="C89" s="124"/>
      <c r="D89" s="124"/>
      <c r="E89" s="125"/>
      <c r="F89" s="126"/>
    </row>
    <row r="90" spans="1:6" ht="15.5" x14ac:dyDescent="0.35">
      <c r="A90" s="12"/>
      <c r="B90" s="123"/>
      <c r="C90" s="124"/>
      <c r="D90" s="124"/>
      <c r="E90" s="125"/>
      <c r="F90" s="126"/>
    </row>
    <row r="91" spans="1:6" ht="15.5" x14ac:dyDescent="0.35">
      <c r="A91" s="12"/>
      <c r="B91" s="123"/>
      <c r="C91" s="124"/>
      <c r="D91" s="124"/>
      <c r="E91" s="125"/>
      <c r="F91" s="126"/>
    </row>
    <row r="92" spans="1:6" ht="15.5" x14ac:dyDescent="0.35">
      <c r="A92" s="12"/>
      <c r="B92" s="123"/>
      <c r="C92" s="124"/>
      <c r="D92" s="124"/>
      <c r="E92" s="125"/>
      <c r="F92" s="126"/>
    </row>
    <row r="93" spans="1:6" ht="15.5" x14ac:dyDescent="0.35">
      <c r="A93" s="12"/>
      <c r="B93" s="123"/>
      <c r="C93" s="124"/>
      <c r="D93" s="124"/>
      <c r="E93" s="125"/>
      <c r="F93" s="126"/>
    </row>
    <row r="94" spans="1:6" ht="15.5" x14ac:dyDescent="0.35">
      <c r="A94" s="12"/>
      <c r="B94" s="123"/>
      <c r="C94" s="124"/>
      <c r="D94" s="124"/>
      <c r="E94" s="125"/>
      <c r="F94" s="126"/>
    </row>
    <row r="95" spans="1:6" ht="15.5" x14ac:dyDescent="0.35">
      <c r="A95" s="12"/>
      <c r="B95" s="123"/>
      <c r="C95" s="124"/>
      <c r="D95" s="124"/>
      <c r="E95" s="125"/>
      <c r="F95" s="126"/>
    </row>
    <row r="96" spans="1:6" ht="15.5" x14ac:dyDescent="0.35">
      <c r="A96" s="12"/>
      <c r="B96" s="123"/>
      <c r="C96" s="124"/>
      <c r="D96" s="124"/>
      <c r="E96" s="125"/>
      <c r="F96" s="126"/>
    </row>
    <row r="97" spans="1:6" ht="15.5" x14ac:dyDescent="0.35">
      <c r="A97" s="12"/>
      <c r="B97" s="123"/>
      <c r="C97" s="124"/>
      <c r="D97" s="124"/>
      <c r="E97" s="125"/>
      <c r="F97" s="126"/>
    </row>
    <row r="98" spans="1:6" ht="15.5" x14ac:dyDescent="0.35">
      <c r="A98" s="12"/>
      <c r="B98" s="123"/>
      <c r="C98" s="124"/>
      <c r="D98" s="124"/>
      <c r="E98" s="125"/>
      <c r="F98" s="126"/>
    </row>
    <row r="99" spans="1:6" ht="15.5" x14ac:dyDescent="0.35">
      <c r="A99" s="12"/>
      <c r="B99" s="123"/>
      <c r="C99" s="124"/>
      <c r="D99" s="124"/>
      <c r="E99" s="125"/>
      <c r="F99" s="126"/>
    </row>
    <row r="100" spans="1:6" ht="15.5" x14ac:dyDescent="0.35">
      <c r="A100" s="12"/>
      <c r="B100" s="123"/>
      <c r="C100" s="124"/>
      <c r="D100" s="124"/>
      <c r="E100" s="125"/>
      <c r="F100" s="126"/>
    </row>
    <row r="101" spans="1:6" ht="15.5" x14ac:dyDescent="0.35">
      <c r="A101" s="12"/>
      <c r="B101" s="123"/>
      <c r="C101" s="124"/>
      <c r="D101" s="124"/>
      <c r="E101" s="125"/>
      <c r="F101" s="126"/>
    </row>
    <row r="102" spans="1:6" ht="15.5" x14ac:dyDescent="0.35">
      <c r="A102" s="12"/>
      <c r="B102" s="123"/>
      <c r="C102" s="124"/>
      <c r="D102" s="124"/>
      <c r="E102" s="125"/>
      <c r="F102" s="126"/>
    </row>
    <row r="103" spans="1:6" ht="15.5" x14ac:dyDescent="0.35">
      <c r="A103" s="12"/>
      <c r="B103" s="123"/>
      <c r="C103" s="124"/>
      <c r="D103" s="124"/>
      <c r="E103" s="125"/>
      <c r="F103" s="126"/>
    </row>
    <row r="104" spans="1:6" ht="15.5" x14ac:dyDescent="0.35">
      <c r="A104" s="12"/>
      <c r="B104" s="123"/>
      <c r="C104" s="124"/>
      <c r="D104" s="124"/>
      <c r="E104" s="125"/>
      <c r="F104" s="126"/>
    </row>
    <row r="105" spans="1:6" ht="15.5" x14ac:dyDescent="0.35">
      <c r="A105" s="12"/>
      <c r="B105" s="123"/>
      <c r="C105" s="124"/>
      <c r="D105" s="124"/>
      <c r="E105" s="125"/>
      <c r="F105" s="126"/>
    </row>
    <row r="106" spans="1:6" ht="15.5" x14ac:dyDescent="0.35">
      <c r="A106" s="12"/>
      <c r="B106" s="123"/>
      <c r="C106" s="124"/>
      <c r="D106" s="124"/>
      <c r="E106" s="125"/>
      <c r="F106" s="126"/>
    </row>
    <row r="107" spans="1:6" ht="15.5" x14ac:dyDescent="0.35">
      <c r="A107" s="12"/>
      <c r="B107" s="123"/>
      <c r="C107" s="124"/>
      <c r="D107" s="124"/>
      <c r="E107" s="125"/>
      <c r="F107" s="126"/>
    </row>
    <row r="108" spans="1:6" ht="15.5" x14ac:dyDescent="0.35">
      <c r="A108" s="12"/>
      <c r="B108" s="123"/>
      <c r="C108" s="124"/>
      <c r="D108" s="124"/>
      <c r="E108" s="125"/>
      <c r="F108" s="126"/>
    </row>
    <row r="109" spans="1:6" ht="15.5" x14ac:dyDescent="0.35">
      <c r="A109" s="12"/>
      <c r="B109" s="123"/>
      <c r="C109" s="124"/>
      <c r="D109" s="124"/>
      <c r="E109" s="125"/>
      <c r="F109" s="126"/>
    </row>
    <row r="110" spans="1:6" ht="15.5" x14ac:dyDescent="0.35">
      <c r="A110" s="12"/>
      <c r="B110" s="123"/>
      <c r="C110" s="124"/>
      <c r="D110" s="124"/>
      <c r="E110" s="125"/>
      <c r="F110" s="126"/>
    </row>
    <row r="111" spans="1:6" ht="15.5" x14ac:dyDescent="0.35">
      <c r="A111" s="12"/>
      <c r="B111" s="123"/>
      <c r="C111" s="124"/>
      <c r="D111" s="124"/>
      <c r="E111" s="125"/>
      <c r="F111" s="126"/>
    </row>
    <row r="112" spans="1:6" ht="15.5" x14ac:dyDescent="0.35">
      <c r="A112" s="12"/>
      <c r="B112" s="123"/>
      <c r="C112" s="124"/>
      <c r="D112" s="124"/>
      <c r="E112" s="125"/>
      <c r="F112" s="126"/>
    </row>
    <row r="113" spans="1:6" ht="15.5" x14ac:dyDescent="0.35">
      <c r="A113" s="12"/>
      <c r="B113" s="123"/>
      <c r="C113" s="124"/>
      <c r="D113" s="124"/>
      <c r="E113" s="125"/>
      <c r="F113" s="126"/>
    </row>
    <row r="114" spans="1:6" ht="15.5" x14ac:dyDescent="0.35">
      <c r="A114" s="12"/>
      <c r="B114" s="123"/>
      <c r="C114" s="124"/>
      <c r="D114" s="124"/>
      <c r="E114" s="125"/>
      <c r="F114" s="126"/>
    </row>
    <row r="115" spans="1:6" ht="15.5" x14ac:dyDescent="0.35">
      <c r="A115" s="12"/>
      <c r="B115" s="123"/>
      <c r="C115" s="124"/>
      <c r="D115" s="124"/>
      <c r="E115" s="125"/>
      <c r="F115" s="126"/>
    </row>
    <row r="116" spans="1:6" ht="15.5" x14ac:dyDescent="0.35">
      <c r="A116" s="12"/>
      <c r="B116" s="123"/>
      <c r="C116" s="124"/>
      <c r="D116" s="124"/>
      <c r="E116" s="125"/>
      <c r="F116" s="126"/>
    </row>
    <row r="117" spans="1:6" ht="15.5" x14ac:dyDescent="0.35">
      <c r="A117" s="12"/>
      <c r="B117" s="123"/>
      <c r="C117" s="124"/>
      <c r="D117" s="124"/>
      <c r="E117" s="125"/>
      <c r="F117" s="126"/>
    </row>
    <row r="118" spans="1:6" ht="15.5" x14ac:dyDescent="0.35">
      <c r="A118" s="12"/>
      <c r="B118" s="123"/>
      <c r="C118" s="124"/>
      <c r="D118" s="124"/>
      <c r="E118" s="125"/>
      <c r="F118" s="126"/>
    </row>
    <row r="119" spans="1:6" ht="15.5" x14ac:dyDescent="0.35">
      <c r="A119" s="12"/>
      <c r="B119" s="123"/>
      <c r="C119" s="124"/>
      <c r="D119" s="124"/>
      <c r="E119" s="125"/>
      <c r="F119" s="126"/>
    </row>
    <row r="120" spans="1:6" ht="15.5" x14ac:dyDescent="0.35">
      <c r="A120" s="12"/>
      <c r="B120" s="123"/>
      <c r="C120" s="124"/>
      <c r="D120" s="124"/>
      <c r="E120" s="125"/>
      <c r="F120" s="126"/>
    </row>
    <row r="121" spans="1:6" ht="15.5" x14ac:dyDescent="0.35">
      <c r="A121" s="12"/>
      <c r="B121" s="123"/>
      <c r="C121" s="124"/>
      <c r="D121" s="124"/>
      <c r="E121" s="125"/>
      <c r="F121" s="126"/>
    </row>
    <row r="122" spans="1:6" ht="15.5" x14ac:dyDescent="0.35">
      <c r="A122" s="12"/>
      <c r="B122" s="123"/>
      <c r="C122" s="124"/>
      <c r="D122" s="124"/>
      <c r="E122" s="125"/>
      <c r="F122" s="126"/>
    </row>
    <row r="123" spans="1:6" ht="15.5" x14ac:dyDescent="0.35">
      <c r="A123" s="12"/>
      <c r="B123" s="123"/>
      <c r="C123" s="124"/>
      <c r="D123" s="124"/>
      <c r="E123" s="125"/>
      <c r="F123" s="126"/>
    </row>
    <row r="124" spans="1:6" ht="15.5" x14ac:dyDescent="0.35">
      <c r="A124" s="12"/>
      <c r="B124" s="123"/>
      <c r="C124" s="124"/>
      <c r="D124" s="124"/>
      <c r="E124" s="125"/>
      <c r="F124" s="126"/>
    </row>
    <row r="125" spans="1:6" ht="15.5" x14ac:dyDescent="0.35">
      <c r="A125" s="12"/>
      <c r="B125" s="123"/>
      <c r="C125" s="124"/>
      <c r="D125" s="124"/>
      <c r="E125" s="125"/>
      <c r="F125" s="126"/>
    </row>
    <row r="126" spans="1:6" ht="15.5" x14ac:dyDescent="0.35">
      <c r="A126" s="12"/>
      <c r="B126" s="123"/>
      <c r="C126" s="124"/>
      <c r="D126" s="124"/>
      <c r="E126" s="125"/>
      <c r="F126" s="126"/>
    </row>
    <row r="127" spans="1:6" ht="15.5" x14ac:dyDescent="0.35">
      <c r="A127" s="12"/>
      <c r="B127" s="123"/>
      <c r="C127" s="124"/>
      <c r="D127" s="124"/>
      <c r="E127" s="125"/>
      <c r="F127" s="126"/>
    </row>
    <row r="128" spans="1:6" ht="15.5" x14ac:dyDescent="0.35">
      <c r="A128" s="12"/>
      <c r="B128" s="123"/>
      <c r="C128" s="124"/>
      <c r="D128" s="124"/>
      <c r="E128" s="125"/>
      <c r="F128" s="126"/>
    </row>
    <row r="129" spans="1:6" ht="15.5" x14ac:dyDescent="0.35">
      <c r="A129" s="12"/>
      <c r="B129" s="123"/>
      <c r="C129" s="124"/>
      <c r="D129" s="124"/>
      <c r="E129" s="125"/>
      <c r="F129" s="126"/>
    </row>
    <row r="130" spans="1:6" ht="15.5" x14ac:dyDescent="0.35">
      <c r="A130" s="12"/>
      <c r="B130" s="123"/>
      <c r="C130" s="124"/>
      <c r="D130" s="124"/>
      <c r="E130" s="125"/>
      <c r="F130" s="126"/>
    </row>
    <row r="131" spans="1:6" ht="15.5" x14ac:dyDescent="0.35">
      <c r="A131" s="12"/>
      <c r="B131" s="123"/>
      <c r="C131" s="124"/>
      <c r="D131" s="124"/>
      <c r="E131" s="125"/>
      <c r="F131" s="126"/>
    </row>
    <row r="132" spans="1:6" ht="15.5" x14ac:dyDescent="0.35">
      <c r="A132" s="12"/>
      <c r="B132" s="123"/>
      <c r="C132" s="124"/>
      <c r="D132" s="124"/>
      <c r="E132" s="125"/>
      <c r="F132" s="126"/>
    </row>
    <row r="133" spans="1:6" ht="15.5" x14ac:dyDescent="0.35">
      <c r="A133" s="12"/>
      <c r="B133" s="123"/>
      <c r="C133" s="124"/>
      <c r="D133" s="124"/>
      <c r="E133" s="125"/>
      <c r="F133" s="126"/>
    </row>
    <row r="134" spans="1:6" ht="15.5" x14ac:dyDescent="0.35">
      <c r="A134" s="12"/>
      <c r="B134" s="123"/>
      <c r="C134" s="124"/>
      <c r="D134" s="124"/>
      <c r="E134" s="125"/>
      <c r="F134" s="126"/>
    </row>
    <row r="135" spans="1:6" ht="15.5" x14ac:dyDescent="0.35">
      <c r="A135" s="12"/>
      <c r="B135" s="123"/>
      <c r="C135" s="124"/>
      <c r="D135" s="124"/>
      <c r="E135" s="125"/>
      <c r="F135" s="126"/>
    </row>
    <row r="136" spans="1:6" ht="15.5" x14ac:dyDescent="0.35">
      <c r="A136" s="12"/>
      <c r="B136" s="123"/>
      <c r="C136" s="124"/>
      <c r="D136" s="124"/>
      <c r="E136" s="125"/>
      <c r="F136" s="126"/>
    </row>
    <row r="137" spans="1:6" ht="15.5" x14ac:dyDescent="0.35">
      <c r="A137" s="12"/>
      <c r="B137" s="123"/>
      <c r="C137" s="124"/>
      <c r="D137" s="124"/>
      <c r="E137" s="125"/>
      <c r="F137" s="126"/>
    </row>
    <row r="138" spans="1:6" ht="15.5" x14ac:dyDescent="0.35">
      <c r="A138" s="12"/>
      <c r="B138" s="123"/>
      <c r="C138" s="124"/>
      <c r="D138" s="124"/>
      <c r="E138" s="125"/>
      <c r="F138" s="126"/>
    </row>
    <row r="139" spans="1:6" ht="15.5" x14ac:dyDescent="0.35">
      <c r="A139" s="12"/>
      <c r="B139" s="123"/>
      <c r="C139" s="124"/>
      <c r="D139" s="124"/>
      <c r="E139" s="125"/>
      <c r="F139" s="126"/>
    </row>
    <row r="140" spans="1:6" ht="15.5" x14ac:dyDescent="0.35">
      <c r="A140" s="12"/>
      <c r="B140" s="123"/>
      <c r="C140" s="124"/>
      <c r="D140" s="124"/>
      <c r="E140" s="125"/>
      <c r="F140" s="126"/>
    </row>
    <row r="141" spans="1:6" ht="15.5" x14ac:dyDescent="0.35">
      <c r="A141" s="12"/>
      <c r="B141" s="123"/>
      <c r="C141" s="124"/>
      <c r="D141" s="124"/>
      <c r="E141" s="125"/>
      <c r="F141" s="126"/>
    </row>
    <row r="142" spans="1:6" ht="15.5" x14ac:dyDescent="0.35">
      <c r="A142" s="12"/>
      <c r="B142" s="123"/>
      <c r="C142" s="124"/>
      <c r="D142" s="124"/>
      <c r="E142" s="125"/>
      <c r="F142" s="126"/>
    </row>
    <row r="143" spans="1:6" ht="15.5" x14ac:dyDescent="0.35">
      <c r="A143" s="12"/>
      <c r="B143" s="123"/>
      <c r="C143" s="124"/>
      <c r="D143" s="124"/>
      <c r="E143" s="125"/>
      <c r="F143" s="126"/>
    </row>
    <row r="144" spans="1:6" ht="15.5" x14ac:dyDescent="0.35">
      <c r="A144" s="12"/>
      <c r="B144" s="123"/>
      <c r="C144" s="124"/>
      <c r="D144" s="124"/>
      <c r="E144" s="125"/>
      <c r="F144" s="126"/>
    </row>
    <row r="145" spans="1:6" ht="15.5" x14ac:dyDescent="0.35">
      <c r="A145" s="12"/>
      <c r="B145" s="123"/>
      <c r="C145" s="124"/>
      <c r="D145" s="124"/>
      <c r="E145" s="125"/>
      <c r="F145" s="126"/>
    </row>
    <row r="146" spans="1:6" ht="15.5" x14ac:dyDescent="0.35">
      <c r="A146" s="12"/>
      <c r="B146" s="123"/>
      <c r="C146" s="124"/>
      <c r="D146" s="124"/>
      <c r="E146" s="125"/>
      <c r="F146" s="126"/>
    </row>
    <row r="147" spans="1:6" ht="15.5" x14ac:dyDescent="0.35">
      <c r="A147" s="12"/>
      <c r="B147" s="123"/>
      <c r="C147" s="124"/>
      <c r="D147" s="124"/>
      <c r="E147" s="125"/>
      <c r="F147" s="126"/>
    </row>
    <row r="148" spans="1:6" ht="15.5" x14ac:dyDescent="0.35">
      <c r="A148" s="12"/>
      <c r="B148" s="123"/>
      <c r="C148" s="124"/>
      <c r="D148" s="124"/>
      <c r="E148" s="125"/>
      <c r="F148" s="126"/>
    </row>
    <row r="149" spans="1:6" ht="15.5" x14ac:dyDescent="0.35">
      <c r="A149" s="12"/>
      <c r="B149" s="123"/>
      <c r="C149" s="124"/>
      <c r="D149" s="124"/>
      <c r="E149" s="125"/>
      <c r="F149" s="126"/>
    </row>
    <row r="150" spans="1:6" ht="15.5" x14ac:dyDescent="0.35">
      <c r="A150" s="12"/>
      <c r="B150" s="123"/>
      <c r="C150" s="124"/>
      <c r="D150" s="124"/>
      <c r="E150" s="125"/>
      <c r="F150" s="126"/>
    </row>
    <row r="151" spans="1:6" ht="15.5" x14ac:dyDescent="0.35">
      <c r="A151" s="12"/>
      <c r="B151" s="123"/>
      <c r="C151" s="124"/>
      <c r="D151" s="124"/>
      <c r="E151" s="125"/>
      <c r="F151" s="126"/>
    </row>
    <row r="152" spans="1:6" ht="15.5" x14ac:dyDescent="0.35">
      <c r="A152" s="12"/>
      <c r="B152" s="123"/>
      <c r="C152" s="124"/>
      <c r="D152" s="124"/>
      <c r="E152" s="125"/>
      <c r="F152" s="126"/>
    </row>
    <row r="153" spans="1:6" ht="15.5" x14ac:dyDescent="0.35">
      <c r="A153" s="12"/>
      <c r="B153" s="123"/>
      <c r="C153" s="124"/>
      <c r="D153" s="124"/>
      <c r="E153" s="125"/>
      <c r="F153" s="126"/>
    </row>
    <row r="154" spans="1:6" ht="15.5" x14ac:dyDescent="0.35">
      <c r="A154" s="12"/>
      <c r="B154" s="123"/>
      <c r="C154" s="124"/>
      <c r="D154" s="124"/>
      <c r="E154" s="125"/>
      <c r="F154" s="126"/>
    </row>
    <row r="155" spans="1:6" ht="15.5" x14ac:dyDescent="0.35">
      <c r="A155" s="12"/>
      <c r="B155" s="123"/>
      <c r="C155" s="124"/>
      <c r="D155" s="124"/>
      <c r="E155" s="125"/>
      <c r="F155" s="126"/>
    </row>
    <row r="156" spans="1:6" ht="15.5" x14ac:dyDescent="0.35">
      <c r="A156" s="12"/>
      <c r="B156" s="123"/>
      <c r="C156" s="124"/>
      <c r="D156" s="124"/>
      <c r="E156" s="125"/>
      <c r="F156" s="126"/>
    </row>
    <row r="157" spans="1:6" ht="15.5" x14ac:dyDescent="0.35">
      <c r="A157" s="12"/>
      <c r="B157" s="123"/>
      <c r="C157" s="124"/>
      <c r="D157" s="124"/>
      <c r="E157" s="125"/>
      <c r="F157" s="126"/>
    </row>
    <row r="158" spans="1:6" ht="15.5" x14ac:dyDescent="0.35">
      <c r="A158" s="12"/>
      <c r="B158" s="123"/>
      <c r="C158" s="124"/>
      <c r="D158" s="124"/>
      <c r="E158" s="125"/>
      <c r="F158" s="126"/>
    </row>
    <row r="159" spans="1:6" ht="15.5" x14ac:dyDescent="0.35">
      <c r="A159" s="12"/>
      <c r="B159" s="123"/>
      <c r="C159" s="124"/>
      <c r="D159" s="124"/>
      <c r="E159" s="125"/>
      <c r="F159" s="126"/>
    </row>
    <row r="160" spans="1:6" ht="15.5" x14ac:dyDescent="0.35">
      <c r="A160" s="12"/>
      <c r="B160" s="123"/>
      <c r="C160" s="124"/>
      <c r="D160" s="124"/>
      <c r="E160" s="125"/>
      <c r="F160" s="126"/>
    </row>
    <row r="161" spans="1:6" ht="15.5" x14ac:dyDescent="0.35">
      <c r="A161" s="12"/>
      <c r="B161" s="123"/>
      <c r="C161" s="124"/>
      <c r="D161" s="124"/>
      <c r="E161" s="125"/>
      <c r="F161" s="126"/>
    </row>
    <row r="162" spans="1:6" ht="15.5" x14ac:dyDescent="0.35">
      <c r="A162" s="12"/>
      <c r="B162" s="123"/>
      <c r="C162" s="124"/>
      <c r="D162" s="124"/>
      <c r="E162" s="125"/>
      <c r="F162" s="126"/>
    </row>
    <row r="163" spans="1:6" ht="15.5" x14ac:dyDescent="0.35">
      <c r="A163" s="12"/>
      <c r="B163" s="123"/>
      <c r="C163" s="124"/>
      <c r="D163" s="124"/>
      <c r="E163" s="125"/>
      <c r="F163" s="126"/>
    </row>
    <row r="164" spans="1:6" ht="15.5" x14ac:dyDescent="0.35">
      <c r="A164" s="12"/>
      <c r="B164" s="123"/>
      <c r="C164" s="124"/>
      <c r="D164" s="124"/>
      <c r="E164" s="125"/>
      <c r="F164" s="126"/>
    </row>
    <row r="165" spans="1:6" ht="15.5" x14ac:dyDescent="0.35">
      <c r="A165" s="12"/>
      <c r="B165" s="123"/>
      <c r="C165" s="124"/>
      <c r="D165" s="124"/>
      <c r="E165" s="125"/>
      <c r="F165" s="126"/>
    </row>
    <row r="166" spans="1:6" ht="15.5" x14ac:dyDescent="0.35">
      <c r="A166" s="12"/>
      <c r="B166" s="123"/>
      <c r="C166" s="124"/>
      <c r="D166" s="124"/>
      <c r="E166" s="125"/>
      <c r="F166" s="126"/>
    </row>
    <row r="167" spans="1:6" ht="15.5" x14ac:dyDescent="0.35">
      <c r="A167" s="12"/>
      <c r="B167" s="123"/>
      <c r="C167" s="124"/>
      <c r="D167" s="124"/>
      <c r="E167" s="125"/>
      <c r="F167" s="126"/>
    </row>
    <row r="168" spans="1:6" ht="15.5" x14ac:dyDescent="0.35">
      <c r="A168" s="12"/>
      <c r="B168" s="123"/>
      <c r="C168" s="124"/>
      <c r="D168" s="124"/>
      <c r="E168" s="125"/>
      <c r="F168" s="126"/>
    </row>
    <row r="169" spans="1:6" ht="15.5" x14ac:dyDescent="0.35">
      <c r="A169" s="12"/>
      <c r="B169" s="123"/>
      <c r="C169" s="124"/>
      <c r="D169" s="124"/>
      <c r="E169" s="125"/>
      <c r="F169" s="126"/>
    </row>
    <row r="170" spans="1:6" ht="15.5" x14ac:dyDescent="0.35">
      <c r="A170" s="12"/>
      <c r="B170" s="123"/>
      <c r="C170" s="124"/>
      <c r="D170" s="124"/>
      <c r="E170" s="125"/>
      <c r="F170" s="126"/>
    </row>
    <row r="171" spans="1:6" ht="15.5" x14ac:dyDescent="0.35">
      <c r="A171" s="12"/>
      <c r="B171" s="123"/>
      <c r="C171" s="124"/>
      <c r="D171" s="124"/>
      <c r="E171" s="125"/>
      <c r="F171" s="126"/>
    </row>
    <row r="172" spans="1:6" ht="15.5" x14ac:dyDescent="0.35">
      <c r="A172" s="12"/>
      <c r="B172" s="123"/>
      <c r="C172" s="124"/>
      <c r="D172" s="124"/>
      <c r="E172" s="125"/>
      <c r="F172" s="126"/>
    </row>
    <row r="173" spans="1:6" ht="15.5" x14ac:dyDescent="0.35">
      <c r="A173" s="12"/>
      <c r="B173" s="123"/>
      <c r="C173" s="124"/>
      <c r="D173" s="124"/>
      <c r="E173" s="125"/>
      <c r="F173" s="126"/>
    </row>
    <row r="174" spans="1:6" ht="15.5" x14ac:dyDescent="0.35">
      <c r="A174" s="12"/>
      <c r="B174" s="123"/>
      <c r="C174" s="124"/>
      <c r="D174" s="124"/>
      <c r="E174" s="125"/>
      <c r="F174" s="126"/>
    </row>
    <row r="175" spans="1:6" ht="15.5" x14ac:dyDescent="0.35">
      <c r="A175" s="12"/>
      <c r="B175" s="123"/>
      <c r="C175" s="124"/>
      <c r="D175" s="124"/>
      <c r="E175" s="125"/>
      <c r="F175" s="126"/>
    </row>
    <row r="176" spans="1:6" ht="15.5" x14ac:dyDescent="0.35">
      <c r="A176" s="12"/>
      <c r="B176" s="123"/>
      <c r="C176" s="124"/>
      <c r="D176" s="124"/>
      <c r="E176" s="125"/>
      <c r="F176" s="126"/>
    </row>
    <row r="177" spans="1:6" ht="15.5" x14ac:dyDescent="0.35">
      <c r="A177" s="12"/>
      <c r="B177" s="123"/>
      <c r="C177" s="124"/>
      <c r="D177" s="124"/>
      <c r="E177" s="125"/>
      <c r="F177" s="126"/>
    </row>
    <row r="178" spans="1:6" ht="15.5" x14ac:dyDescent="0.35">
      <c r="A178" s="12"/>
      <c r="B178" s="123"/>
      <c r="C178" s="124"/>
      <c r="D178" s="124"/>
      <c r="E178" s="125"/>
      <c r="F178" s="126"/>
    </row>
    <row r="179" spans="1:6" ht="15.5" x14ac:dyDescent="0.35">
      <c r="A179" s="12"/>
      <c r="B179" s="123"/>
      <c r="C179" s="124"/>
      <c r="D179" s="124"/>
      <c r="E179" s="125"/>
      <c r="F179" s="126"/>
    </row>
    <row r="180" spans="1:6" ht="15.5" x14ac:dyDescent="0.35">
      <c r="A180" s="12"/>
      <c r="B180" s="123"/>
      <c r="C180" s="124"/>
      <c r="D180" s="124"/>
      <c r="E180" s="125"/>
      <c r="F180" s="126"/>
    </row>
    <row r="181" spans="1:6" ht="15.5" x14ac:dyDescent="0.35">
      <c r="A181" s="12"/>
      <c r="B181" s="123"/>
      <c r="C181" s="124"/>
      <c r="D181" s="124"/>
      <c r="E181" s="125"/>
      <c r="F181" s="126"/>
    </row>
    <row r="182" spans="1:6" ht="15.5" x14ac:dyDescent="0.35">
      <c r="A182" s="12"/>
      <c r="B182" s="123"/>
      <c r="C182" s="124"/>
      <c r="D182" s="124"/>
      <c r="E182" s="125"/>
      <c r="F182" s="126"/>
    </row>
    <row r="183" spans="1:6" ht="15.5" x14ac:dyDescent="0.35">
      <c r="A183" s="12"/>
      <c r="B183" s="123"/>
      <c r="C183" s="124"/>
      <c r="D183" s="124"/>
      <c r="E183" s="125"/>
      <c r="F183" s="126"/>
    </row>
    <row r="184" spans="1:6" ht="15.5" x14ac:dyDescent="0.35">
      <c r="A184" s="12"/>
      <c r="B184" s="123"/>
      <c r="C184" s="124"/>
      <c r="D184" s="124"/>
      <c r="E184" s="125"/>
      <c r="F184" s="126"/>
    </row>
    <row r="185" spans="1:6" ht="15.5" x14ac:dyDescent="0.35">
      <c r="A185" s="12"/>
      <c r="B185" s="123"/>
      <c r="C185" s="124"/>
      <c r="D185" s="124"/>
      <c r="E185" s="125"/>
      <c r="F185" s="126"/>
    </row>
    <row r="186" spans="1:6" ht="15.5" x14ac:dyDescent="0.35">
      <c r="A186" s="12"/>
      <c r="B186" s="123"/>
      <c r="C186" s="124"/>
      <c r="D186" s="124"/>
      <c r="E186" s="125"/>
      <c r="F186" s="126"/>
    </row>
    <row r="187" spans="1:6" ht="15.5" x14ac:dyDescent="0.35">
      <c r="A187" s="12"/>
      <c r="B187" s="123"/>
      <c r="C187" s="124"/>
      <c r="D187" s="124"/>
      <c r="E187" s="125"/>
      <c r="F187" s="126"/>
    </row>
    <row r="188" spans="1:6" ht="15.5" x14ac:dyDescent="0.35">
      <c r="A188" s="12"/>
      <c r="B188" s="123"/>
      <c r="C188" s="124"/>
      <c r="D188" s="124"/>
      <c r="E188" s="125"/>
      <c r="F188" s="126"/>
    </row>
    <row r="189" spans="1:6" ht="15.5" x14ac:dyDescent="0.35">
      <c r="A189" s="12"/>
      <c r="B189" s="123"/>
      <c r="C189" s="124"/>
      <c r="D189" s="124"/>
      <c r="E189" s="125"/>
      <c r="F189" s="126"/>
    </row>
    <row r="190" spans="1:6" ht="15.5" x14ac:dyDescent="0.35">
      <c r="A190" s="12"/>
      <c r="B190" s="123"/>
      <c r="C190" s="124"/>
      <c r="D190" s="124"/>
      <c r="E190" s="125"/>
      <c r="F190" s="126"/>
    </row>
    <row r="191" spans="1:6" ht="15.5" x14ac:dyDescent="0.35">
      <c r="A191" s="12"/>
      <c r="B191" s="123"/>
      <c r="C191" s="124"/>
      <c r="D191" s="124"/>
      <c r="E191" s="125"/>
      <c r="F191" s="126"/>
    </row>
    <row r="192" spans="1:6" ht="15.5" x14ac:dyDescent="0.35">
      <c r="A192" s="12"/>
      <c r="B192" s="123"/>
      <c r="C192" s="124"/>
      <c r="D192" s="124"/>
      <c r="E192" s="125"/>
      <c r="F192" s="126"/>
    </row>
    <row r="193" spans="1:6" ht="15.5" x14ac:dyDescent="0.35">
      <c r="A193" s="12"/>
      <c r="B193" s="123"/>
      <c r="C193" s="124"/>
      <c r="D193" s="124"/>
      <c r="E193" s="125"/>
      <c r="F193" s="126"/>
    </row>
    <row r="194" spans="1:6" ht="15.5" x14ac:dyDescent="0.35">
      <c r="A194" s="12"/>
      <c r="B194" s="123"/>
      <c r="C194" s="124"/>
      <c r="D194" s="124"/>
      <c r="E194" s="125"/>
      <c r="F194" s="126"/>
    </row>
    <row r="195" spans="1:6" ht="15.5" x14ac:dyDescent="0.35">
      <c r="A195" s="12"/>
      <c r="B195" s="123"/>
      <c r="C195" s="124"/>
      <c r="D195" s="124"/>
      <c r="E195" s="125"/>
      <c r="F195" s="126"/>
    </row>
    <row r="196" spans="1:6" ht="15.5" x14ac:dyDescent="0.35">
      <c r="A196" s="12"/>
      <c r="B196" s="123"/>
      <c r="C196" s="124"/>
      <c r="D196" s="124"/>
      <c r="E196" s="125"/>
      <c r="F196" s="126"/>
    </row>
    <row r="197" spans="1:6" ht="15.5" x14ac:dyDescent="0.35">
      <c r="A197" s="12"/>
      <c r="B197" s="123"/>
      <c r="C197" s="124"/>
      <c r="D197" s="124"/>
      <c r="E197" s="125"/>
      <c r="F197" s="126"/>
    </row>
    <row r="198" spans="1:6" ht="15.5" x14ac:dyDescent="0.35">
      <c r="A198" s="12"/>
      <c r="B198" s="123"/>
      <c r="C198" s="124"/>
      <c r="D198" s="124"/>
      <c r="E198" s="125"/>
      <c r="F198" s="126"/>
    </row>
    <row r="199" spans="1:6" ht="15.5" x14ac:dyDescent="0.35">
      <c r="A199" s="12"/>
      <c r="B199" s="123"/>
      <c r="C199" s="124"/>
      <c r="D199" s="124"/>
      <c r="E199" s="125"/>
      <c r="F199" s="126"/>
    </row>
    <row r="200" spans="1:6" ht="15.5" x14ac:dyDescent="0.35">
      <c r="A200" s="12"/>
      <c r="B200" s="123"/>
      <c r="C200" s="124"/>
      <c r="D200" s="124"/>
      <c r="E200" s="125"/>
      <c r="F200" s="126"/>
    </row>
    <row r="201" spans="1:6" ht="15.5" x14ac:dyDescent="0.35">
      <c r="A201" s="12"/>
      <c r="B201" s="123"/>
      <c r="C201" s="124"/>
      <c r="D201" s="124"/>
      <c r="E201" s="125"/>
      <c r="F201" s="126"/>
    </row>
    <row r="202" spans="1:6" ht="15.5" x14ac:dyDescent="0.35">
      <c r="A202" s="12"/>
      <c r="B202" s="123"/>
      <c r="C202" s="124"/>
      <c r="D202" s="124"/>
      <c r="E202" s="125"/>
      <c r="F202" s="126"/>
    </row>
    <row r="203" spans="1:6" ht="15.5" x14ac:dyDescent="0.35">
      <c r="A203" s="12"/>
      <c r="B203" s="123"/>
      <c r="C203" s="124"/>
      <c r="D203" s="124"/>
      <c r="E203" s="125"/>
      <c r="F203" s="126"/>
    </row>
    <row r="204" spans="1:6" ht="15.5" x14ac:dyDescent="0.35">
      <c r="A204" s="12"/>
      <c r="B204" s="123"/>
      <c r="C204" s="124"/>
      <c r="D204" s="124"/>
      <c r="E204" s="125"/>
      <c r="F204" s="126"/>
    </row>
    <row r="205" spans="1:6" ht="15.5" x14ac:dyDescent="0.35">
      <c r="A205" s="12"/>
      <c r="B205" s="123"/>
      <c r="C205" s="124"/>
      <c r="D205" s="124"/>
      <c r="E205" s="125"/>
      <c r="F205" s="126"/>
    </row>
    <row r="206" spans="1:6" ht="15.5" x14ac:dyDescent="0.35">
      <c r="A206" s="12"/>
      <c r="B206" s="123"/>
      <c r="C206" s="124"/>
      <c r="D206" s="124"/>
      <c r="E206" s="125"/>
      <c r="F206" s="126"/>
    </row>
    <row r="207" spans="1:6" ht="15.5" x14ac:dyDescent="0.35">
      <c r="A207" s="12"/>
      <c r="B207" s="123"/>
      <c r="C207" s="124"/>
      <c r="D207" s="124"/>
      <c r="E207" s="125"/>
      <c r="F207" s="126"/>
    </row>
    <row r="208" spans="1:6" ht="15.5" x14ac:dyDescent="0.35">
      <c r="A208" s="12"/>
      <c r="B208" s="123"/>
      <c r="C208" s="124"/>
      <c r="D208" s="124"/>
      <c r="E208" s="125"/>
      <c r="F208" s="126"/>
    </row>
    <row r="209" spans="1:6" ht="15.5" x14ac:dyDescent="0.35">
      <c r="A209" s="12"/>
      <c r="B209" s="123"/>
      <c r="C209" s="124"/>
      <c r="D209" s="124"/>
      <c r="E209" s="125"/>
      <c r="F209" s="126"/>
    </row>
    <row r="210" spans="1:6" ht="15.5" x14ac:dyDescent="0.35">
      <c r="A210" s="12"/>
      <c r="B210" s="123"/>
      <c r="C210" s="124"/>
      <c r="D210" s="124"/>
      <c r="E210" s="125"/>
      <c r="F210" s="126"/>
    </row>
    <row r="211" spans="1:6" ht="15.5" x14ac:dyDescent="0.35">
      <c r="A211" s="12"/>
      <c r="B211" s="123"/>
      <c r="C211" s="124"/>
      <c r="D211" s="124"/>
      <c r="E211" s="125"/>
      <c r="F211" s="126"/>
    </row>
    <row r="212" spans="1:6" ht="15.5" x14ac:dyDescent="0.35">
      <c r="A212" s="12"/>
      <c r="B212" s="123"/>
      <c r="C212" s="124"/>
      <c r="D212" s="124"/>
      <c r="E212" s="125"/>
      <c r="F212" s="126"/>
    </row>
    <row r="213" spans="1:6" ht="15.5" x14ac:dyDescent="0.35">
      <c r="A213" s="12"/>
      <c r="B213" s="123"/>
      <c r="C213" s="124"/>
      <c r="D213" s="124"/>
      <c r="E213" s="125"/>
      <c r="F213" s="126"/>
    </row>
    <row r="214" spans="1:6" ht="15.5" x14ac:dyDescent="0.35">
      <c r="A214" s="12"/>
      <c r="B214" s="123"/>
      <c r="C214" s="124"/>
      <c r="D214" s="124"/>
      <c r="E214" s="125"/>
      <c r="F214" s="126"/>
    </row>
    <row r="215" spans="1:6" ht="15.5" x14ac:dyDescent="0.35">
      <c r="A215" s="12"/>
      <c r="B215" s="123"/>
      <c r="C215" s="124"/>
      <c r="D215" s="124"/>
      <c r="E215" s="125"/>
      <c r="F215" s="126"/>
    </row>
    <row r="216" spans="1:6" ht="15.5" x14ac:dyDescent="0.35">
      <c r="A216" s="12"/>
      <c r="B216" s="123"/>
      <c r="C216" s="124"/>
      <c r="D216" s="124"/>
      <c r="E216" s="125"/>
      <c r="F216" s="126"/>
    </row>
    <row r="217" spans="1:6" ht="15.5" x14ac:dyDescent="0.35">
      <c r="A217" s="12"/>
      <c r="B217" s="123"/>
      <c r="C217" s="124"/>
      <c r="D217" s="124"/>
      <c r="E217" s="125"/>
      <c r="F217" s="126"/>
    </row>
    <row r="218" spans="1:6" ht="15.5" x14ac:dyDescent="0.35">
      <c r="A218" s="12"/>
      <c r="B218" s="123"/>
      <c r="C218" s="124"/>
      <c r="D218" s="124"/>
      <c r="E218" s="125"/>
      <c r="F218" s="126"/>
    </row>
    <row r="219" spans="1:6" ht="15.5" x14ac:dyDescent="0.35">
      <c r="A219" s="12"/>
      <c r="B219" s="123"/>
      <c r="C219" s="124"/>
      <c r="D219" s="124"/>
      <c r="E219" s="125"/>
      <c r="F219" s="126"/>
    </row>
    <row r="220" spans="1:6" ht="15.5" x14ac:dyDescent="0.35">
      <c r="A220" s="12"/>
      <c r="B220" s="123"/>
      <c r="C220" s="124"/>
      <c r="D220" s="124"/>
      <c r="E220" s="125"/>
      <c r="F220" s="126"/>
    </row>
    <row r="221" spans="1:6" ht="15.5" x14ac:dyDescent="0.35">
      <c r="A221" s="12"/>
      <c r="B221" s="123"/>
      <c r="C221" s="124"/>
      <c r="D221" s="124"/>
      <c r="E221" s="125"/>
      <c r="F221" s="126"/>
    </row>
    <row r="222" spans="1:6" ht="15.5" x14ac:dyDescent="0.35">
      <c r="B222" s="123"/>
      <c r="C222" s="124"/>
      <c r="D222" s="124"/>
      <c r="E222" s="125"/>
      <c r="F222" s="126"/>
    </row>
    <row r="223" spans="1:6" ht="15.5" x14ac:dyDescent="0.35">
      <c r="B223" s="123"/>
      <c r="C223" s="124"/>
      <c r="D223" s="124"/>
      <c r="E223" s="125"/>
      <c r="F223" s="126"/>
    </row>
    <row r="224" spans="1:6" ht="15.5" x14ac:dyDescent="0.35">
      <c r="B224" s="123"/>
      <c r="C224" s="124"/>
      <c r="D224" s="124"/>
      <c r="E224" s="125"/>
      <c r="F224" s="126"/>
    </row>
    <row r="225" spans="2:6" ht="15.5" x14ac:dyDescent="0.35">
      <c r="B225" s="123"/>
      <c r="C225" s="124"/>
      <c r="D225" s="124"/>
      <c r="E225" s="125"/>
      <c r="F225" s="126"/>
    </row>
    <row r="226" spans="2:6" ht="15.5" x14ac:dyDescent="0.35">
      <c r="B226" s="123"/>
      <c r="C226" s="124"/>
      <c r="D226" s="124"/>
      <c r="E226" s="125"/>
      <c r="F226" s="126"/>
    </row>
    <row r="227" spans="2:6" ht="15.5" x14ac:dyDescent="0.35">
      <c r="B227" s="123"/>
      <c r="C227" s="124"/>
      <c r="D227" s="124"/>
      <c r="E227" s="125"/>
      <c r="F227" s="126"/>
    </row>
    <row r="228" spans="2:6" ht="15.5" x14ac:dyDescent="0.35">
      <c r="B228" s="123"/>
      <c r="C228" s="124"/>
      <c r="D228" s="124"/>
      <c r="E228" s="125"/>
      <c r="F228" s="126"/>
    </row>
    <row r="229" spans="2:6" ht="15.5" x14ac:dyDescent="0.35">
      <c r="B229" s="123"/>
      <c r="C229" s="124"/>
      <c r="D229" s="124"/>
      <c r="E229" s="125"/>
      <c r="F229" s="126"/>
    </row>
    <row r="230" spans="2:6" ht="15.5" x14ac:dyDescent="0.35">
      <c r="B230" s="123"/>
      <c r="C230" s="124"/>
      <c r="D230" s="124"/>
      <c r="E230" s="125"/>
      <c r="F230" s="126"/>
    </row>
    <row r="231" spans="2:6" ht="15.5" x14ac:dyDescent="0.35">
      <c r="B231" s="123"/>
      <c r="C231" s="124"/>
      <c r="D231" s="124"/>
      <c r="E231" s="125"/>
      <c r="F231" s="126"/>
    </row>
    <row r="232" spans="2:6" ht="15.5" x14ac:dyDescent="0.35">
      <c r="B232" s="123"/>
      <c r="C232" s="124"/>
      <c r="D232" s="124"/>
      <c r="E232" s="125"/>
      <c r="F232" s="126"/>
    </row>
    <row r="233" spans="2:6" ht="15.5" x14ac:dyDescent="0.35">
      <c r="B233" s="123"/>
      <c r="C233" s="124"/>
      <c r="D233" s="124"/>
      <c r="E233" s="125"/>
      <c r="F233" s="126"/>
    </row>
    <row r="234" spans="2:6" ht="15.5" x14ac:dyDescent="0.35">
      <c r="B234" s="123"/>
      <c r="C234" s="124"/>
      <c r="D234" s="124"/>
      <c r="E234" s="125"/>
      <c r="F234" s="126"/>
    </row>
    <row r="235" spans="2:6" ht="15.5" x14ac:dyDescent="0.35">
      <c r="B235" s="123"/>
      <c r="C235" s="124"/>
      <c r="D235" s="124"/>
      <c r="E235" s="125"/>
      <c r="F235" s="126"/>
    </row>
    <row r="236" spans="2:6" ht="15.5" x14ac:dyDescent="0.35">
      <c r="B236" s="123"/>
      <c r="C236" s="124"/>
      <c r="D236" s="124"/>
      <c r="E236" s="125"/>
      <c r="F236" s="126"/>
    </row>
    <row r="237" spans="2:6" ht="15.5" x14ac:dyDescent="0.35">
      <c r="B237" s="123"/>
      <c r="C237" s="124"/>
      <c r="D237" s="124"/>
      <c r="E237" s="125"/>
      <c r="F237" s="126"/>
    </row>
    <row r="238" spans="2:6" ht="15.5" x14ac:dyDescent="0.35">
      <c r="B238" s="123"/>
      <c r="C238" s="124"/>
      <c r="D238" s="124"/>
      <c r="E238" s="125"/>
      <c r="F238" s="126"/>
    </row>
    <row r="239" spans="2:6" ht="15.5" x14ac:dyDescent="0.35">
      <c r="B239" s="123"/>
      <c r="C239" s="124"/>
      <c r="D239" s="124"/>
      <c r="E239" s="125"/>
      <c r="F239" s="126"/>
    </row>
    <row r="240" spans="2:6" ht="15.5" x14ac:dyDescent="0.35">
      <c r="B240" s="123"/>
      <c r="C240" s="124"/>
      <c r="D240" s="124"/>
      <c r="E240" s="125"/>
      <c r="F240" s="126"/>
    </row>
    <row r="241" spans="2:6" ht="15.5" x14ac:dyDescent="0.35">
      <c r="B241" s="123"/>
      <c r="C241" s="124"/>
      <c r="D241" s="124"/>
      <c r="E241" s="125"/>
      <c r="F241" s="126"/>
    </row>
    <row r="242" spans="2:6" ht="15.5" x14ac:dyDescent="0.35">
      <c r="B242" s="123"/>
      <c r="C242" s="124"/>
      <c r="D242" s="124"/>
      <c r="E242" s="125"/>
      <c r="F242" s="126"/>
    </row>
    <row r="243" spans="2:6" ht="15.5" x14ac:dyDescent="0.35">
      <c r="B243" s="123"/>
      <c r="C243" s="124"/>
      <c r="D243" s="124"/>
      <c r="E243" s="125"/>
      <c r="F243" s="126"/>
    </row>
    <row r="244" spans="2:6" ht="15.5" x14ac:dyDescent="0.35">
      <c r="B244" s="123"/>
      <c r="C244" s="124"/>
      <c r="D244" s="124"/>
      <c r="E244" s="125"/>
      <c r="F244" s="126"/>
    </row>
    <row r="245" spans="2:6" ht="15.5" x14ac:dyDescent="0.35">
      <c r="B245" s="123"/>
      <c r="C245" s="124"/>
      <c r="D245" s="124"/>
      <c r="E245" s="125"/>
      <c r="F245" s="126"/>
    </row>
    <row r="246" spans="2:6" ht="15.5" x14ac:dyDescent="0.35">
      <c r="B246" s="123"/>
      <c r="C246" s="124"/>
      <c r="D246" s="124"/>
      <c r="E246" s="125"/>
      <c r="F246" s="126"/>
    </row>
    <row r="247" spans="2:6" ht="15.5" x14ac:dyDescent="0.35">
      <c r="B247" s="123"/>
      <c r="C247" s="124"/>
      <c r="D247" s="124"/>
      <c r="E247" s="125"/>
      <c r="F247" s="126"/>
    </row>
    <row r="248" spans="2:6" ht="15.5" x14ac:dyDescent="0.35">
      <c r="B248" s="123"/>
      <c r="C248" s="124"/>
      <c r="D248" s="124"/>
      <c r="E248" s="125"/>
      <c r="F248" s="126"/>
    </row>
    <row r="249" spans="2:6" ht="15.5" x14ac:dyDescent="0.35">
      <c r="B249" s="123"/>
      <c r="C249" s="124"/>
      <c r="D249" s="124"/>
      <c r="E249" s="125"/>
      <c r="F249" s="126"/>
    </row>
    <row r="250" spans="2:6" ht="15.5" x14ac:dyDescent="0.35">
      <c r="B250" s="123"/>
      <c r="C250" s="124"/>
      <c r="D250" s="124"/>
      <c r="E250" s="125"/>
      <c r="F250" s="126"/>
    </row>
    <row r="251" spans="2:6" ht="15.5" x14ac:dyDescent="0.35">
      <c r="B251" s="123"/>
      <c r="C251" s="124"/>
      <c r="D251" s="124"/>
      <c r="E251" s="125"/>
      <c r="F251" s="126"/>
    </row>
    <row r="252" spans="2:6" ht="15.5" x14ac:dyDescent="0.35">
      <c r="B252" s="123"/>
      <c r="C252" s="124"/>
      <c r="D252" s="124"/>
      <c r="E252" s="125"/>
      <c r="F252" s="126"/>
    </row>
    <row r="253" spans="2:6" ht="15.5" x14ac:dyDescent="0.35">
      <c r="B253" s="123"/>
      <c r="C253" s="124"/>
      <c r="D253" s="124"/>
      <c r="E253" s="125"/>
      <c r="F253" s="126"/>
    </row>
    <row r="254" spans="2:6" ht="15.5" x14ac:dyDescent="0.35">
      <c r="B254" s="123"/>
      <c r="C254" s="124"/>
      <c r="D254" s="124"/>
      <c r="E254" s="125"/>
      <c r="F254" s="126"/>
    </row>
    <row r="255" spans="2:6" ht="15.5" x14ac:dyDescent="0.35">
      <c r="B255" s="123"/>
      <c r="C255" s="124"/>
      <c r="D255" s="124"/>
      <c r="E255" s="125"/>
      <c r="F255" s="126"/>
    </row>
    <row r="256" spans="2:6" ht="15.5" x14ac:dyDescent="0.35">
      <c r="B256" s="123"/>
      <c r="C256" s="124"/>
      <c r="D256" s="124"/>
      <c r="E256" s="125"/>
      <c r="F256" s="126"/>
    </row>
    <row r="257" spans="2:6" ht="15.5" x14ac:dyDescent="0.35">
      <c r="B257" s="123"/>
      <c r="C257" s="124"/>
      <c r="D257" s="124"/>
      <c r="E257" s="125"/>
      <c r="F257" s="126"/>
    </row>
    <row r="258" spans="2:6" ht="15.5" x14ac:dyDescent="0.35">
      <c r="B258" s="123"/>
      <c r="C258" s="124"/>
      <c r="D258" s="124"/>
      <c r="E258" s="125"/>
      <c r="F258" s="126"/>
    </row>
    <row r="259" spans="2:6" ht="15.5" x14ac:dyDescent="0.35">
      <c r="B259" s="123"/>
      <c r="C259" s="124"/>
      <c r="D259" s="124"/>
      <c r="E259" s="125"/>
      <c r="F259" s="126"/>
    </row>
    <row r="260" spans="2:6" ht="15.5" x14ac:dyDescent="0.35">
      <c r="B260" s="123"/>
      <c r="C260" s="124"/>
      <c r="D260" s="124"/>
      <c r="E260" s="125"/>
      <c r="F260" s="126"/>
    </row>
    <row r="261" spans="2:6" ht="15.5" x14ac:dyDescent="0.35">
      <c r="B261" s="123"/>
      <c r="C261" s="124"/>
      <c r="D261" s="124"/>
      <c r="E261" s="125"/>
      <c r="F261" s="126"/>
    </row>
    <row r="262" spans="2:6" ht="15.5" x14ac:dyDescent="0.35">
      <c r="B262" s="123"/>
      <c r="C262" s="124"/>
      <c r="D262" s="124"/>
      <c r="E262" s="125"/>
      <c r="F262" s="126"/>
    </row>
    <row r="263" spans="2:6" ht="15.5" x14ac:dyDescent="0.35">
      <c r="B263" s="123"/>
      <c r="C263" s="124"/>
      <c r="D263" s="124"/>
      <c r="E263" s="125"/>
      <c r="F263" s="126"/>
    </row>
    <row r="264" spans="2:6" ht="15.5" x14ac:dyDescent="0.35">
      <c r="B264" s="123"/>
      <c r="C264" s="124"/>
      <c r="D264" s="124"/>
      <c r="E264" s="125"/>
      <c r="F264" s="126"/>
    </row>
    <row r="265" spans="2:6" ht="15.5" x14ac:dyDescent="0.35">
      <c r="B265" s="123"/>
      <c r="C265" s="124"/>
      <c r="D265" s="124"/>
      <c r="E265" s="125"/>
      <c r="F265" s="126"/>
    </row>
    <row r="266" spans="2:6" ht="15.5" x14ac:dyDescent="0.35">
      <c r="B266" s="123"/>
      <c r="C266" s="124"/>
      <c r="D266" s="124"/>
      <c r="E266" s="125"/>
      <c r="F266" s="126"/>
    </row>
    <row r="267" spans="2:6" ht="15.5" x14ac:dyDescent="0.35">
      <c r="B267" s="123"/>
      <c r="C267" s="124"/>
      <c r="D267" s="124"/>
      <c r="E267" s="125"/>
      <c r="F267" s="126"/>
    </row>
    <row r="268" spans="2:6" ht="15.5" x14ac:dyDescent="0.35">
      <c r="B268" s="123"/>
      <c r="C268" s="124"/>
      <c r="D268" s="124"/>
      <c r="E268" s="125"/>
      <c r="F268" s="126"/>
    </row>
    <row r="269" spans="2:6" ht="15.5" x14ac:dyDescent="0.35">
      <c r="B269" s="123"/>
      <c r="C269" s="124"/>
      <c r="D269" s="124"/>
      <c r="E269" s="125"/>
      <c r="F269" s="126"/>
    </row>
    <row r="270" spans="2:6" ht="15.5" x14ac:dyDescent="0.35">
      <c r="B270" s="123"/>
      <c r="C270" s="124"/>
      <c r="D270" s="124"/>
      <c r="E270" s="125"/>
      <c r="F270" s="126"/>
    </row>
    <row r="271" spans="2:6" ht="15.5" x14ac:dyDescent="0.35">
      <c r="B271" s="123"/>
      <c r="C271" s="124"/>
      <c r="D271" s="124"/>
      <c r="E271" s="125"/>
      <c r="F271" s="126"/>
    </row>
    <row r="272" spans="2:6" ht="15.5" x14ac:dyDescent="0.35">
      <c r="B272" s="123"/>
      <c r="C272" s="124"/>
      <c r="D272" s="124"/>
      <c r="E272" s="125"/>
      <c r="F272" s="126"/>
    </row>
    <row r="273" spans="2:6" ht="15.5" x14ac:dyDescent="0.35">
      <c r="B273" s="123"/>
      <c r="C273" s="124"/>
      <c r="D273" s="124"/>
      <c r="E273" s="125"/>
      <c r="F273" s="126"/>
    </row>
    <row r="274" spans="2:6" ht="15.5" x14ac:dyDescent="0.35">
      <c r="B274" s="123"/>
      <c r="C274" s="124"/>
      <c r="D274" s="124"/>
      <c r="E274" s="125"/>
      <c r="F274" s="126"/>
    </row>
    <row r="275" spans="2:6" ht="15.5" x14ac:dyDescent="0.35">
      <c r="B275" s="123"/>
      <c r="C275" s="124"/>
      <c r="D275" s="124"/>
      <c r="E275" s="125"/>
      <c r="F275" s="126"/>
    </row>
    <row r="276" spans="2:6" ht="15.5" x14ac:dyDescent="0.35">
      <c r="B276" s="123"/>
      <c r="C276" s="124"/>
      <c r="D276" s="124"/>
      <c r="E276" s="125"/>
      <c r="F276" s="126"/>
    </row>
    <row r="277" spans="2:6" ht="15.5" x14ac:dyDescent="0.35">
      <c r="B277" s="123"/>
      <c r="C277" s="124"/>
      <c r="D277" s="124"/>
      <c r="E277" s="125"/>
      <c r="F277" s="126"/>
    </row>
    <row r="278" spans="2:6" ht="15.5" x14ac:dyDescent="0.35">
      <c r="B278" s="123"/>
      <c r="C278" s="124"/>
      <c r="D278" s="124"/>
      <c r="E278" s="125"/>
      <c r="F278" s="126"/>
    </row>
    <row r="279" spans="2:6" ht="15.5" x14ac:dyDescent="0.35">
      <c r="B279" s="123"/>
      <c r="C279" s="124"/>
      <c r="D279" s="124"/>
      <c r="E279" s="125"/>
      <c r="F279" s="126"/>
    </row>
    <row r="280" spans="2:6" ht="15.5" x14ac:dyDescent="0.35">
      <c r="B280" s="123"/>
      <c r="C280" s="124"/>
      <c r="D280" s="124"/>
      <c r="E280" s="125"/>
      <c r="F280" s="126"/>
    </row>
    <row r="281" spans="2:6" ht="15.5" x14ac:dyDescent="0.35">
      <c r="B281" s="123"/>
      <c r="C281" s="124"/>
      <c r="D281" s="124"/>
      <c r="E281" s="125"/>
      <c r="F281" s="126"/>
    </row>
    <row r="282" spans="2:6" ht="15.5" x14ac:dyDescent="0.35">
      <c r="B282" s="123"/>
      <c r="C282" s="124"/>
      <c r="D282" s="124"/>
      <c r="E282" s="125"/>
      <c r="F282" s="126"/>
    </row>
    <row r="283" spans="2:6" ht="15.5" x14ac:dyDescent="0.35">
      <c r="B283" s="123"/>
      <c r="C283" s="124"/>
      <c r="D283" s="124"/>
      <c r="E283" s="125"/>
      <c r="F283" s="126"/>
    </row>
    <row r="284" spans="2:6" ht="15.5" x14ac:dyDescent="0.35">
      <c r="B284" s="123"/>
      <c r="C284" s="124"/>
      <c r="D284" s="124"/>
      <c r="E284" s="125"/>
      <c r="F284" s="126"/>
    </row>
    <row r="285" spans="2:6" ht="15.5" x14ac:dyDescent="0.35">
      <c r="B285" s="123"/>
      <c r="C285" s="124"/>
      <c r="D285" s="124"/>
      <c r="E285" s="125"/>
      <c r="F285" s="126"/>
    </row>
    <row r="286" spans="2:6" ht="15.5" x14ac:dyDescent="0.35">
      <c r="B286" s="123"/>
      <c r="C286" s="124"/>
      <c r="D286" s="124"/>
      <c r="E286" s="125"/>
      <c r="F286" s="126"/>
    </row>
    <row r="287" spans="2:6" ht="15.5" x14ac:dyDescent="0.35">
      <c r="B287" s="123"/>
      <c r="C287" s="124"/>
      <c r="D287" s="124"/>
      <c r="E287" s="125"/>
      <c r="F287" s="126"/>
    </row>
    <row r="288" spans="2:6" ht="15.5" x14ac:dyDescent="0.35">
      <c r="B288" s="123"/>
      <c r="C288" s="124"/>
      <c r="D288" s="124"/>
      <c r="E288" s="125"/>
      <c r="F288" s="126"/>
    </row>
    <row r="289" spans="2:6" ht="15.5" x14ac:dyDescent="0.35">
      <c r="B289" s="123"/>
      <c r="C289" s="124"/>
      <c r="D289" s="124"/>
      <c r="E289" s="125"/>
      <c r="F289" s="126"/>
    </row>
    <row r="290" spans="2:6" ht="15.5" x14ac:dyDescent="0.35">
      <c r="B290" s="123"/>
      <c r="C290" s="124"/>
      <c r="D290" s="124"/>
      <c r="E290" s="125"/>
      <c r="F290" s="126"/>
    </row>
    <row r="291" spans="2:6" ht="15.5" x14ac:dyDescent="0.35">
      <c r="B291" s="123"/>
      <c r="C291" s="124"/>
      <c r="D291" s="124"/>
      <c r="E291" s="125"/>
      <c r="F291" s="126"/>
    </row>
    <row r="292" spans="2:6" ht="15.5" x14ac:dyDescent="0.35">
      <c r="B292" s="123"/>
      <c r="C292" s="124"/>
      <c r="D292" s="124"/>
      <c r="E292" s="125"/>
      <c r="F292" s="126"/>
    </row>
    <row r="293" spans="2:6" ht="15.5" x14ac:dyDescent="0.35">
      <c r="B293" s="123"/>
      <c r="C293" s="124"/>
      <c r="D293" s="124"/>
      <c r="E293" s="125"/>
      <c r="F293" s="126"/>
    </row>
    <row r="294" spans="2:6" ht="15.5" x14ac:dyDescent="0.35">
      <c r="B294" s="123"/>
      <c r="C294" s="124"/>
      <c r="D294" s="124"/>
      <c r="E294" s="125"/>
      <c r="F294" s="126"/>
    </row>
    <row r="295" spans="2:6" ht="15.5" x14ac:dyDescent="0.35">
      <c r="B295" s="123"/>
      <c r="C295" s="124"/>
      <c r="D295" s="124"/>
      <c r="E295" s="125"/>
      <c r="F295" s="126"/>
    </row>
    <row r="296" spans="2:6" ht="15.5" x14ac:dyDescent="0.35">
      <c r="B296" s="123"/>
      <c r="C296" s="124"/>
      <c r="D296" s="124"/>
      <c r="E296" s="125"/>
      <c r="F296" s="126"/>
    </row>
    <row r="297" spans="2:6" ht="15.5" x14ac:dyDescent="0.35">
      <c r="B297" s="123"/>
      <c r="C297" s="124"/>
      <c r="D297" s="124"/>
      <c r="E297" s="125"/>
      <c r="F297" s="126"/>
    </row>
    <row r="298" spans="2:6" ht="15.5" x14ac:dyDescent="0.35">
      <c r="B298" s="123"/>
      <c r="C298" s="124"/>
      <c r="D298" s="124"/>
      <c r="E298" s="125"/>
      <c r="F298" s="126"/>
    </row>
    <row r="299" spans="2:6" ht="15.5" x14ac:dyDescent="0.35">
      <c r="B299" s="123"/>
      <c r="C299" s="124"/>
      <c r="D299" s="124"/>
      <c r="E299" s="125"/>
      <c r="F299" s="126"/>
    </row>
    <row r="300" spans="2:6" ht="15.5" x14ac:dyDescent="0.35">
      <c r="B300" s="123"/>
      <c r="C300" s="124"/>
      <c r="D300" s="124"/>
      <c r="E300" s="125"/>
      <c r="F300" s="126"/>
    </row>
    <row r="301" spans="2:6" ht="15.5" x14ac:dyDescent="0.35">
      <c r="B301" s="123"/>
      <c r="C301" s="124"/>
      <c r="D301" s="124"/>
      <c r="E301" s="125"/>
      <c r="F301" s="126"/>
    </row>
    <row r="302" spans="2:6" ht="15.5" x14ac:dyDescent="0.35">
      <c r="B302" s="123"/>
      <c r="C302" s="124"/>
      <c r="D302" s="124"/>
      <c r="E302" s="125"/>
      <c r="F302" s="126"/>
    </row>
    <row r="303" spans="2:6" ht="15.5" x14ac:dyDescent="0.35">
      <c r="B303" s="123"/>
      <c r="C303" s="124"/>
      <c r="D303" s="124"/>
      <c r="E303" s="125"/>
      <c r="F303" s="126"/>
    </row>
    <row r="304" spans="2:6" ht="15.5" x14ac:dyDescent="0.35">
      <c r="B304" s="123"/>
      <c r="C304" s="124"/>
      <c r="D304" s="124"/>
      <c r="E304" s="125"/>
      <c r="F304" s="126"/>
    </row>
    <row r="305" spans="2:6" ht="15.5" x14ac:dyDescent="0.35">
      <c r="B305" s="123"/>
      <c r="C305" s="124"/>
      <c r="D305" s="124"/>
      <c r="E305" s="125"/>
      <c r="F305" s="126"/>
    </row>
    <row r="306" spans="2:6" ht="15.5" x14ac:dyDescent="0.35">
      <c r="B306" s="123"/>
      <c r="C306" s="124"/>
      <c r="D306" s="124"/>
      <c r="E306" s="125"/>
      <c r="F306" s="126"/>
    </row>
    <row r="307" spans="2:6" ht="15.5" x14ac:dyDescent="0.35">
      <c r="B307" s="123"/>
      <c r="C307" s="124"/>
      <c r="D307" s="124"/>
      <c r="E307" s="125"/>
      <c r="F307" s="126"/>
    </row>
    <row r="308" spans="2:6" ht="15.5" x14ac:dyDescent="0.35">
      <c r="B308" s="123"/>
      <c r="C308" s="124"/>
      <c r="D308" s="124"/>
      <c r="E308" s="125"/>
      <c r="F308" s="126"/>
    </row>
    <row r="309" spans="2:6" ht="15.5" x14ac:dyDescent="0.35">
      <c r="B309" s="123"/>
      <c r="C309" s="124"/>
      <c r="D309" s="124"/>
      <c r="E309" s="125"/>
      <c r="F309" s="126"/>
    </row>
    <row r="310" spans="2:6" ht="15.5" x14ac:dyDescent="0.35">
      <c r="B310" s="123"/>
      <c r="C310" s="124"/>
      <c r="D310" s="124"/>
      <c r="E310" s="125"/>
      <c r="F310" s="126"/>
    </row>
    <row r="311" spans="2:6" ht="15.5" x14ac:dyDescent="0.35">
      <c r="B311" s="123"/>
      <c r="C311" s="124"/>
      <c r="D311" s="124"/>
      <c r="E311" s="125"/>
      <c r="F311" s="126"/>
    </row>
    <row r="312" spans="2:6" ht="15.5" x14ac:dyDescent="0.35">
      <c r="B312" s="123"/>
      <c r="C312" s="124"/>
      <c r="D312" s="124"/>
      <c r="E312" s="125"/>
      <c r="F312" s="126"/>
    </row>
    <row r="313" spans="2:6" ht="15.5" x14ac:dyDescent="0.35">
      <c r="B313" s="123"/>
      <c r="C313" s="124"/>
      <c r="D313" s="124"/>
      <c r="E313" s="125"/>
      <c r="F313" s="126"/>
    </row>
    <row r="314" spans="2:6" ht="15.5" x14ac:dyDescent="0.35">
      <c r="B314" s="123"/>
      <c r="C314" s="124"/>
      <c r="D314" s="124"/>
      <c r="E314" s="125"/>
      <c r="F314" s="126"/>
    </row>
    <row r="315" spans="2:6" ht="15.5" x14ac:dyDescent="0.35">
      <c r="B315" s="123"/>
      <c r="C315" s="124"/>
      <c r="D315" s="124"/>
      <c r="E315" s="125"/>
      <c r="F315" s="126"/>
    </row>
    <row r="316" spans="2:6" ht="15.5" x14ac:dyDescent="0.35">
      <c r="B316" s="123"/>
      <c r="C316" s="124"/>
      <c r="D316" s="124"/>
      <c r="E316" s="125"/>
      <c r="F316" s="126"/>
    </row>
    <row r="317" spans="2:6" ht="15.5" x14ac:dyDescent="0.35">
      <c r="B317" s="123"/>
      <c r="C317" s="124"/>
      <c r="D317" s="124"/>
      <c r="E317" s="125"/>
      <c r="F317" s="126"/>
    </row>
    <row r="318" spans="2:6" ht="15.5" x14ac:dyDescent="0.35">
      <c r="B318" s="123"/>
      <c r="C318" s="124"/>
      <c r="D318" s="124"/>
      <c r="E318" s="125"/>
      <c r="F318" s="126"/>
    </row>
    <row r="319" spans="2:6" ht="15.5" x14ac:dyDescent="0.35">
      <c r="B319" s="123"/>
      <c r="C319" s="124"/>
      <c r="D319" s="124"/>
      <c r="E319" s="125"/>
      <c r="F319" s="126"/>
    </row>
    <row r="320" spans="2:6" ht="15.5" x14ac:dyDescent="0.35">
      <c r="B320" s="123"/>
      <c r="C320" s="124"/>
      <c r="D320" s="124"/>
      <c r="E320" s="125"/>
      <c r="F320" s="126"/>
    </row>
    <row r="321" spans="2:6" ht="15.5" x14ac:dyDescent="0.35">
      <c r="B321" s="123"/>
      <c r="C321" s="124"/>
      <c r="D321" s="124"/>
      <c r="E321" s="125"/>
      <c r="F321" s="126"/>
    </row>
    <row r="322" spans="2:6" ht="15.5" x14ac:dyDescent="0.35">
      <c r="B322" s="123"/>
      <c r="C322" s="124"/>
      <c r="D322" s="124"/>
      <c r="E322" s="125"/>
      <c r="F322" s="126"/>
    </row>
    <row r="323" spans="2:6" ht="15.5" x14ac:dyDescent="0.35">
      <c r="B323" s="123"/>
      <c r="C323" s="124"/>
      <c r="D323" s="124"/>
      <c r="E323" s="125"/>
      <c r="F323" s="126"/>
    </row>
    <row r="324" spans="2:6" ht="15.5" x14ac:dyDescent="0.35">
      <c r="B324" s="123"/>
      <c r="C324" s="124"/>
      <c r="D324" s="124"/>
      <c r="E324" s="125"/>
      <c r="F324" s="126"/>
    </row>
    <row r="325" spans="2:6" ht="15.5" x14ac:dyDescent="0.35">
      <c r="B325" s="123"/>
      <c r="C325" s="124"/>
      <c r="D325" s="124"/>
      <c r="E325" s="125"/>
      <c r="F325" s="126"/>
    </row>
    <row r="326" spans="2:6" ht="15.5" x14ac:dyDescent="0.35">
      <c r="B326" s="123"/>
      <c r="C326" s="124"/>
      <c r="D326" s="124"/>
      <c r="E326" s="125"/>
      <c r="F326" s="126"/>
    </row>
    <row r="327" spans="2:6" ht="15.5" x14ac:dyDescent="0.35">
      <c r="B327" s="123"/>
      <c r="C327" s="124"/>
      <c r="D327" s="124"/>
      <c r="E327" s="125"/>
      <c r="F327" s="126"/>
    </row>
    <row r="328" spans="2:6" ht="15.5" x14ac:dyDescent="0.35">
      <c r="B328" s="123"/>
      <c r="C328" s="124"/>
      <c r="D328" s="124"/>
      <c r="E328" s="125"/>
      <c r="F328" s="126"/>
    </row>
    <row r="329" spans="2:6" ht="15.5" x14ac:dyDescent="0.35">
      <c r="B329" s="123"/>
      <c r="C329" s="124"/>
      <c r="D329" s="124"/>
      <c r="E329" s="125"/>
      <c r="F329" s="126"/>
    </row>
    <row r="330" spans="2:6" ht="15.5" x14ac:dyDescent="0.35">
      <c r="B330" s="123"/>
      <c r="C330" s="124"/>
      <c r="D330" s="124"/>
      <c r="E330" s="125"/>
      <c r="F330" s="126"/>
    </row>
    <row r="331" spans="2:6" ht="15.5" x14ac:dyDescent="0.35">
      <c r="B331" s="123"/>
      <c r="C331" s="124"/>
      <c r="D331" s="124"/>
      <c r="E331" s="125"/>
      <c r="F331" s="126"/>
    </row>
    <row r="332" spans="2:6" ht="15.5" x14ac:dyDescent="0.35">
      <c r="B332" s="123"/>
      <c r="C332" s="124"/>
      <c r="D332" s="124"/>
      <c r="E332" s="125"/>
      <c r="F332" s="126"/>
    </row>
    <row r="333" spans="2:6" ht="15.5" x14ac:dyDescent="0.35">
      <c r="B333" s="123"/>
      <c r="C333" s="124"/>
      <c r="D333" s="124"/>
      <c r="E333" s="125"/>
      <c r="F333" s="126"/>
    </row>
    <row r="334" spans="2:6" ht="15.5" x14ac:dyDescent="0.35">
      <c r="B334" s="123"/>
      <c r="C334" s="124"/>
      <c r="D334" s="124"/>
      <c r="E334" s="125"/>
      <c r="F334" s="126"/>
    </row>
    <row r="335" spans="2:6" ht="15.5" x14ac:dyDescent="0.35">
      <c r="B335" s="123"/>
      <c r="C335" s="124"/>
      <c r="D335" s="124"/>
      <c r="E335" s="125"/>
      <c r="F335" s="126"/>
    </row>
    <row r="336" spans="2:6" ht="15.5" x14ac:dyDescent="0.35">
      <c r="B336" s="123"/>
      <c r="C336" s="124"/>
      <c r="D336" s="124"/>
      <c r="E336" s="125"/>
      <c r="F336" s="126"/>
    </row>
    <row r="337" spans="2:6" ht="15.5" x14ac:dyDescent="0.35">
      <c r="B337" s="123"/>
      <c r="C337" s="124"/>
      <c r="D337" s="124"/>
      <c r="E337" s="125"/>
      <c r="F337" s="126"/>
    </row>
    <row r="338" spans="2:6" ht="15.5" x14ac:dyDescent="0.35">
      <c r="B338" s="123"/>
      <c r="C338" s="124"/>
      <c r="D338" s="124"/>
      <c r="E338" s="125"/>
      <c r="F338" s="126"/>
    </row>
    <row r="339" spans="2:6" ht="15.5" x14ac:dyDescent="0.35">
      <c r="B339" s="123"/>
      <c r="C339" s="124"/>
      <c r="D339" s="124"/>
      <c r="E339" s="125"/>
      <c r="F339" s="126"/>
    </row>
    <row r="340" spans="2:6" ht="15.5" x14ac:dyDescent="0.35">
      <c r="B340" s="123"/>
      <c r="C340" s="124"/>
      <c r="D340" s="124"/>
      <c r="E340" s="125"/>
      <c r="F340" s="126"/>
    </row>
    <row r="341" spans="2:6" ht="15.5" x14ac:dyDescent="0.35">
      <c r="B341" s="123"/>
      <c r="C341" s="124"/>
      <c r="D341" s="124"/>
      <c r="E341" s="125"/>
      <c r="F341" s="126"/>
    </row>
    <row r="342" spans="2:6" ht="15.5" x14ac:dyDescent="0.35">
      <c r="B342" s="123"/>
      <c r="C342" s="124"/>
      <c r="D342" s="124"/>
      <c r="E342" s="125"/>
      <c r="F342" s="126"/>
    </row>
    <row r="343" spans="2:6" ht="15.5" x14ac:dyDescent="0.35">
      <c r="B343" s="123"/>
      <c r="C343" s="124"/>
      <c r="D343" s="124"/>
      <c r="E343" s="125"/>
      <c r="F343" s="126"/>
    </row>
    <row r="344" spans="2:6" ht="15.5" x14ac:dyDescent="0.35">
      <c r="B344" s="123"/>
      <c r="C344" s="124"/>
      <c r="D344" s="124"/>
      <c r="E344" s="125"/>
      <c r="F344" s="126"/>
    </row>
    <row r="345" spans="2:6" ht="15.5" x14ac:dyDescent="0.35">
      <c r="B345" s="123"/>
      <c r="C345" s="124"/>
      <c r="D345" s="124"/>
      <c r="E345" s="125"/>
      <c r="F345" s="126"/>
    </row>
    <row r="346" spans="2:6" ht="15.5" x14ac:dyDescent="0.35">
      <c r="B346" s="123"/>
      <c r="C346" s="124"/>
      <c r="D346" s="124"/>
      <c r="E346" s="125"/>
      <c r="F346" s="126"/>
    </row>
    <row r="347" spans="2:6" ht="15.5" x14ac:dyDescent="0.35">
      <c r="B347" s="123"/>
      <c r="C347" s="124"/>
      <c r="D347" s="124"/>
      <c r="E347" s="125"/>
      <c r="F347" s="126"/>
    </row>
    <row r="348" spans="2:6" ht="15.5" x14ac:dyDescent="0.35">
      <c r="B348" s="123"/>
      <c r="C348" s="124"/>
      <c r="D348" s="124"/>
      <c r="E348" s="125"/>
      <c r="F348" s="126"/>
    </row>
    <row r="349" spans="2:6" ht="15.5" x14ac:dyDescent="0.35">
      <c r="B349" s="123"/>
      <c r="C349" s="124"/>
      <c r="D349" s="124"/>
      <c r="E349" s="125"/>
      <c r="F349" s="126"/>
    </row>
    <row r="350" spans="2:6" ht="15.5" x14ac:dyDescent="0.35">
      <c r="B350" s="123"/>
      <c r="C350" s="124"/>
      <c r="D350" s="124"/>
      <c r="E350" s="125"/>
      <c r="F350" s="126"/>
    </row>
    <row r="351" spans="2:6" ht="15.5" x14ac:dyDescent="0.35">
      <c r="B351" s="123"/>
      <c r="C351" s="124"/>
      <c r="D351" s="124"/>
      <c r="E351" s="125"/>
      <c r="F351" s="126"/>
    </row>
    <row r="352" spans="2:6" ht="15.5" x14ac:dyDescent="0.35">
      <c r="B352" s="123"/>
      <c r="C352" s="124"/>
      <c r="D352" s="124"/>
      <c r="E352" s="125"/>
      <c r="F352" s="126"/>
    </row>
    <row r="353" spans="2:6" ht="15.5" x14ac:dyDescent="0.35">
      <c r="B353" s="123"/>
      <c r="C353" s="124"/>
      <c r="D353" s="124"/>
      <c r="E353" s="125"/>
      <c r="F353" s="126"/>
    </row>
    <row r="354" spans="2:6" ht="15.5" x14ac:dyDescent="0.35">
      <c r="B354" s="123"/>
      <c r="C354" s="124"/>
      <c r="D354" s="124"/>
      <c r="E354" s="125"/>
      <c r="F354" s="126"/>
    </row>
    <row r="355" spans="2:6" ht="15.5" x14ac:dyDescent="0.35">
      <c r="B355" s="123"/>
      <c r="C355" s="124"/>
      <c r="D355" s="124"/>
      <c r="E355" s="125"/>
      <c r="F355" s="126"/>
    </row>
    <row r="356" spans="2:6" ht="15.5" x14ac:dyDescent="0.35">
      <c r="B356" s="123"/>
      <c r="C356" s="124"/>
      <c r="D356" s="124"/>
      <c r="E356" s="125"/>
      <c r="F356" s="126"/>
    </row>
    <row r="357" spans="2:6" ht="15.5" x14ac:dyDescent="0.35">
      <c r="B357" s="123"/>
      <c r="C357" s="124"/>
      <c r="D357" s="124"/>
      <c r="E357" s="125"/>
      <c r="F357" s="126"/>
    </row>
    <row r="358" spans="2:6" ht="15.5" x14ac:dyDescent="0.35">
      <c r="B358" s="123"/>
      <c r="C358" s="124"/>
      <c r="D358" s="124"/>
      <c r="E358" s="125"/>
      <c r="F358" s="126"/>
    </row>
    <row r="359" spans="2:6" ht="15.5" x14ac:dyDescent="0.35">
      <c r="B359" s="123"/>
      <c r="C359" s="124"/>
      <c r="D359" s="124"/>
      <c r="E359" s="125"/>
      <c r="F359" s="126"/>
    </row>
    <row r="360" spans="2:6" ht="15.5" x14ac:dyDescent="0.35">
      <c r="B360" s="123"/>
      <c r="C360" s="124"/>
      <c r="D360" s="124"/>
      <c r="E360" s="125"/>
      <c r="F360" s="126"/>
    </row>
    <row r="361" spans="2:6" ht="15.5" x14ac:dyDescent="0.35">
      <c r="B361" s="123"/>
      <c r="C361" s="124"/>
      <c r="D361" s="124"/>
      <c r="E361" s="125"/>
      <c r="F361" s="126"/>
    </row>
    <row r="362" spans="2:6" ht="15.5" x14ac:dyDescent="0.35">
      <c r="B362" s="123"/>
      <c r="C362" s="124"/>
      <c r="D362" s="124"/>
      <c r="E362" s="125"/>
      <c r="F362" s="126"/>
    </row>
    <row r="363" spans="2:6" ht="15.5" x14ac:dyDescent="0.35">
      <c r="B363" s="123"/>
      <c r="C363" s="124"/>
      <c r="D363" s="124"/>
      <c r="E363" s="125"/>
      <c r="F363" s="126"/>
    </row>
    <row r="364" spans="2:6" ht="15.5" x14ac:dyDescent="0.35">
      <c r="B364" s="123"/>
      <c r="C364" s="124"/>
      <c r="D364" s="124"/>
      <c r="E364" s="125"/>
      <c r="F364" s="126"/>
    </row>
    <row r="365" spans="2:6" ht="15.5" x14ac:dyDescent="0.35">
      <c r="B365" s="123"/>
      <c r="C365" s="124"/>
      <c r="D365" s="124"/>
      <c r="E365" s="125"/>
      <c r="F365" s="126"/>
    </row>
    <row r="366" spans="2:6" ht="15.5" x14ac:dyDescent="0.35">
      <c r="B366" s="123"/>
      <c r="C366" s="124"/>
      <c r="D366" s="124"/>
      <c r="E366" s="125"/>
      <c r="F366" s="126"/>
    </row>
    <row r="367" spans="2:6" ht="15.5" x14ac:dyDescent="0.35">
      <c r="B367" s="123"/>
      <c r="C367" s="124"/>
      <c r="D367" s="124"/>
      <c r="E367" s="125"/>
      <c r="F367" s="126"/>
    </row>
    <row r="368" spans="2:6" ht="15.5" x14ac:dyDescent="0.35">
      <c r="B368" s="123"/>
      <c r="C368" s="124"/>
      <c r="D368" s="124"/>
      <c r="E368" s="125"/>
      <c r="F368" s="126"/>
    </row>
    <row r="369" spans="2:6" ht="15.5" x14ac:dyDescent="0.35">
      <c r="B369" s="123"/>
      <c r="C369" s="124"/>
      <c r="D369" s="124"/>
      <c r="E369" s="125"/>
      <c r="F369" s="126"/>
    </row>
    <row r="370" spans="2:6" ht="15.5" x14ac:dyDescent="0.35">
      <c r="B370" s="123"/>
      <c r="C370" s="124"/>
      <c r="D370" s="124"/>
      <c r="E370" s="125"/>
      <c r="F370" s="126"/>
    </row>
    <row r="371" spans="2:6" ht="15.5" x14ac:dyDescent="0.35">
      <c r="B371" s="123"/>
      <c r="C371" s="124"/>
      <c r="D371" s="124"/>
      <c r="E371" s="125"/>
      <c r="F371" s="126"/>
    </row>
    <row r="372" spans="2:6" ht="15.5" x14ac:dyDescent="0.35">
      <c r="B372" s="123"/>
      <c r="C372" s="124"/>
      <c r="D372" s="124"/>
      <c r="E372" s="125"/>
      <c r="F372" s="126"/>
    </row>
    <row r="373" spans="2:6" ht="15.5" x14ac:dyDescent="0.35">
      <c r="B373" s="123"/>
      <c r="C373" s="124"/>
      <c r="D373" s="124"/>
      <c r="E373" s="125"/>
      <c r="F373" s="126"/>
    </row>
    <row r="374" spans="2:6" ht="15.5" x14ac:dyDescent="0.35">
      <c r="B374" s="123"/>
      <c r="C374" s="124"/>
      <c r="D374" s="124"/>
      <c r="E374" s="125"/>
      <c r="F374" s="126"/>
    </row>
    <row r="375" spans="2:6" ht="15.5" x14ac:dyDescent="0.35">
      <c r="B375" s="123"/>
      <c r="C375" s="124"/>
      <c r="D375" s="124"/>
      <c r="E375" s="125"/>
      <c r="F375" s="126"/>
    </row>
    <row r="376" spans="2:6" ht="15.5" x14ac:dyDescent="0.35">
      <c r="B376" s="123"/>
      <c r="C376" s="124"/>
      <c r="D376" s="124"/>
      <c r="E376" s="125"/>
      <c r="F376" s="126"/>
    </row>
    <row r="377" spans="2:6" ht="15.5" x14ac:dyDescent="0.35">
      <c r="B377" s="123"/>
      <c r="C377" s="124"/>
      <c r="D377" s="124"/>
      <c r="E377" s="125"/>
      <c r="F377" s="126"/>
    </row>
    <row r="378" spans="2:6" ht="15.5" x14ac:dyDescent="0.35">
      <c r="B378" s="123"/>
      <c r="C378" s="124"/>
      <c r="D378" s="124"/>
      <c r="E378" s="125"/>
      <c r="F378" s="126"/>
    </row>
    <row r="379" spans="2:6" ht="15.5" x14ac:dyDescent="0.35">
      <c r="B379" s="123"/>
      <c r="C379" s="124"/>
      <c r="D379" s="124"/>
      <c r="E379" s="125"/>
      <c r="F379" s="126"/>
    </row>
    <row r="380" spans="2:6" ht="15.5" x14ac:dyDescent="0.35">
      <c r="B380" s="123"/>
      <c r="C380" s="124"/>
      <c r="D380" s="124"/>
      <c r="E380" s="125"/>
      <c r="F380" s="126"/>
    </row>
    <row r="381" spans="2:6" ht="15.5" x14ac:dyDescent="0.35">
      <c r="B381" s="123"/>
      <c r="C381" s="124"/>
      <c r="D381" s="124"/>
      <c r="E381" s="125"/>
      <c r="F381" s="126"/>
    </row>
    <row r="382" spans="2:6" ht="15.5" x14ac:dyDescent="0.35">
      <c r="B382" s="123"/>
      <c r="C382" s="124"/>
      <c r="D382" s="124"/>
      <c r="E382" s="125"/>
      <c r="F382" s="126"/>
    </row>
    <row r="383" spans="2:6" ht="15.5" x14ac:dyDescent="0.35">
      <c r="B383" s="123"/>
      <c r="C383" s="124"/>
      <c r="D383" s="124"/>
      <c r="E383" s="125"/>
      <c r="F383" s="126"/>
    </row>
    <row r="384" spans="2:6" ht="15.5" x14ac:dyDescent="0.35">
      <c r="B384" s="123"/>
      <c r="C384" s="124"/>
      <c r="D384" s="124"/>
      <c r="E384" s="125"/>
      <c r="F384" s="126"/>
    </row>
    <row r="385" spans="2:6" ht="15.5" x14ac:dyDescent="0.35">
      <c r="B385" s="123"/>
      <c r="C385" s="124"/>
      <c r="D385" s="124"/>
      <c r="E385" s="125"/>
      <c r="F385" s="126"/>
    </row>
    <row r="386" spans="2:6" ht="15.5" x14ac:dyDescent="0.35">
      <c r="B386" s="123"/>
      <c r="C386" s="124"/>
      <c r="D386" s="124"/>
      <c r="E386" s="125"/>
      <c r="F386" s="126"/>
    </row>
    <row r="387" spans="2:6" ht="15.5" x14ac:dyDescent="0.35">
      <c r="B387" s="123"/>
      <c r="C387" s="124"/>
      <c r="D387" s="124"/>
      <c r="E387" s="125"/>
      <c r="F387" s="126"/>
    </row>
    <row r="388" spans="2:6" ht="15.5" x14ac:dyDescent="0.35">
      <c r="B388" s="123"/>
      <c r="C388" s="124"/>
      <c r="D388" s="124"/>
      <c r="E388" s="125"/>
      <c r="F388" s="126"/>
    </row>
    <row r="389" spans="2:6" ht="15.5" x14ac:dyDescent="0.35">
      <c r="B389" s="123"/>
      <c r="C389" s="124"/>
      <c r="D389" s="124"/>
      <c r="E389" s="125"/>
      <c r="F389" s="126"/>
    </row>
    <row r="390" spans="2:6" ht="15.5" x14ac:dyDescent="0.35">
      <c r="B390" s="123"/>
      <c r="C390" s="124"/>
      <c r="D390" s="124"/>
      <c r="E390" s="125"/>
      <c r="F390" s="126"/>
    </row>
    <row r="391" spans="2:6" ht="15.5" x14ac:dyDescent="0.35">
      <c r="B391" s="123"/>
      <c r="C391" s="124"/>
      <c r="D391" s="124"/>
      <c r="E391" s="125"/>
      <c r="F391" s="126"/>
    </row>
    <row r="392" spans="2:6" ht="15.5" x14ac:dyDescent="0.35">
      <c r="B392" s="123"/>
      <c r="C392" s="124"/>
      <c r="D392" s="124"/>
      <c r="E392" s="125"/>
      <c r="F392" s="126"/>
    </row>
    <row r="393" spans="2:6" ht="15.5" x14ac:dyDescent="0.35">
      <c r="B393" s="123"/>
      <c r="C393" s="124"/>
      <c r="D393" s="124"/>
      <c r="E393" s="125"/>
      <c r="F393" s="126"/>
    </row>
    <row r="394" spans="2:6" ht="15.5" x14ac:dyDescent="0.35">
      <c r="B394" s="123"/>
      <c r="C394" s="124"/>
      <c r="D394" s="124"/>
      <c r="E394" s="125"/>
      <c r="F394" s="126"/>
    </row>
    <row r="395" spans="2:6" ht="15.5" x14ac:dyDescent="0.35">
      <c r="B395" s="123"/>
      <c r="C395" s="124"/>
      <c r="D395" s="124"/>
      <c r="E395" s="125"/>
      <c r="F395" s="126"/>
    </row>
    <row r="396" spans="2:6" ht="15.5" x14ac:dyDescent="0.35">
      <c r="B396" s="123"/>
      <c r="C396" s="124"/>
      <c r="D396" s="124"/>
      <c r="E396" s="125"/>
      <c r="F396" s="126"/>
    </row>
    <row r="397" spans="2:6" ht="15.5" x14ac:dyDescent="0.35">
      <c r="B397" s="123"/>
      <c r="C397" s="124"/>
      <c r="D397" s="124"/>
      <c r="E397" s="125"/>
      <c r="F397" s="126"/>
    </row>
    <row r="398" spans="2:6" ht="15.5" x14ac:dyDescent="0.35">
      <c r="B398" s="123"/>
      <c r="C398" s="124"/>
      <c r="D398" s="124"/>
      <c r="E398" s="125"/>
      <c r="F398" s="126"/>
    </row>
    <row r="399" spans="2:6" ht="15.5" x14ac:dyDescent="0.35">
      <c r="B399" s="123"/>
      <c r="C399" s="124"/>
      <c r="D399" s="124"/>
      <c r="E399" s="125"/>
      <c r="F399" s="126"/>
    </row>
    <row r="400" spans="2:6" ht="15.5" x14ac:dyDescent="0.35">
      <c r="B400" s="123"/>
      <c r="C400" s="124"/>
      <c r="D400" s="124"/>
      <c r="E400" s="125"/>
      <c r="F400" s="126"/>
    </row>
    <row r="401" spans="2:6" ht="15.5" x14ac:dyDescent="0.35">
      <c r="B401" s="123"/>
      <c r="C401" s="124"/>
      <c r="D401" s="124"/>
      <c r="E401" s="125"/>
      <c r="F401" s="126"/>
    </row>
    <row r="402" spans="2:6" ht="15.5" x14ac:dyDescent="0.35">
      <c r="B402" s="123"/>
      <c r="C402" s="124"/>
      <c r="D402" s="124"/>
      <c r="E402" s="125"/>
      <c r="F402" s="126"/>
    </row>
    <row r="403" spans="2:6" ht="15.5" x14ac:dyDescent="0.35">
      <c r="B403" s="123"/>
      <c r="C403" s="124"/>
      <c r="D403" s="124"/>
      <c r="E403" s="125"/>
      <c r="F403" s="126"/>
    </row>
    <row r="404" spans="2:6" ht="15.5" x14ac:dyDescent="0.35">
      <c r="B404" s="123"/>
      <c r="C404" s="124"/>
      <c r="D404" s="124"/>
      <c r="E404" s="125"/>
      <c r="F404" s="126"/>
    </row>
    <row r="405" spans="2:6" ht="15.5" x14ac:dyDescent="0.35">
      <c r="B405" s="123"/>
      <c r="C405" s="124"/>
      <c r="D405" s="124"/>
      <c r="E405" s="125"/>
      <c r="F405" s="126"/>
    </row>
    <row r="406" spans="2:6" ht="15.5" x14ac:dyDescent="0.35">
      <c r="B406" s="123"/>
      <c r="C406" s="124"/>
      <c r="D406" s="124"/>
      <c r="E406" s="125"/>
      <c r="F406" s="126"/>
    </row>
    <row r="407" spans="2:6" ht="15.5" x14ac:dyDescent="0.35">
      <c r="B407" s="123"/>
      <c r="C407" s="124"/>
      <c r="D407" s="124"/>
      <c r="E407" s="125"/>
      <c r="F407" s="126"/>
    </row>
    <row r="408" spans="2:6" ht="15.5" x14ac:dyDescent="0.35">
      <c r="B408" s="123"/>
      <c r="C408" s="124"/>
      <c r="D408" s="124"/>
      <c r="E408" s="125"/>
      <c r="F408" s="126"/>
    </row>
    <row r="409" spans="2:6" ht="15.5" x14ac:dyDescent="0.35">
      <c r="B409" s="123"/>
      <c r="C409" s="124"/>
      <c r="D409" s="124"/>
      <c r="E409" s="125"/>
      <c r="F409" s="126"/>
    </row>
    <row r="410" spans="2:6" ht="15.5" x14ac:dyDescent="0.35">
      <c r="B410" s="123"/>
      <c r="C410" s="124"/>
      <c r="D410" s="124"/>
      <c r="E410" s="125"/>
      <c r="F410" s="126"/>
    </row>
    <row r="411" spans="2:6" ht="15.5" x14ac:dyDescent="0.35">
      <c r="B411" s="123"/>
      <c r="C411" s="124"/>
      <c r="D411" s="124"/>
      <c r="E411" s="125"/>
      <c r="F411" s="126"/>
    </row>
    <row r="412" spans="2:6" ht="15.5" x14ac:dyDescent="0.35">
      <c r="B412" s="123"/>
      <c r="C412" s="124"/>
      <c r="D412" s="124"/>
      <c r="E412" s="125"/>
      <c r="F412" s="126"/>
    </row>
    <row r="413" spans="2:6" ht="15.5" x14ac:dyDescent="0.35">
      <c r="B413" s="123"/>
      <c r="C413" s="124"/>
      <c r="D413" s="124"/>
      <c r="E413" s="125"/>
      <c r="F413" s="126"/>
    </row>
    <row r="414" spans="2:6" ht="15.5" x14ac:dyDescent="0.35">
      <c r="B414" s="123"/>
      <c r="C414" s="124"/>
      <c r="D414" s="124"/>
      <c r="E414" s="125"/>
      <c r="F414" s="126"/>
    </row>
    <row r="415" spans="2:6" ht="15.5" x14ac:dyDescent="0.35">
      <c r="B415" s="123"/>
      <c r="C415" s="124"/>
      <c r="D415" s="124"/>
      <c r="E415" s="125"/>
      <c r="F415" s="126"/>
    </row>
    <row r="416" spans="2:6" ht="15.5" x14ac:dyDescent="0.35">
      <c r="B416" s="123"/>
      <c r="C416" s="124"/>
      <c r="D416" s="124"/>
      <c r="E416" s="125"/>
      <c r="F416" s="126"/>
    </row>
    <row r="417" spans="2:6" ht="15.5" x14ac:dyDescent="0.35">
      <c r="B417" s="123"/>
      <c r="C417" s="124"/>
      <c r="D417" s="124"/>
      <c r="E417" s="125"/>
      <c r="F417" s="126"/>
    </row>
    <row r="418" spans="2:6" ht="15.5" x14ac:dyDescent="0.35">
      <c r="B418" s="123"/>
      <c r="C418" s="124"/>
      <c r="D418" s="124"/>
      <c r="E418" s="125"/>
      <c r="F418" s="126"/>
    </row>
    <row r="419" spans="2:6" ht="15.5" x14ac:dyDescent="0.35">
      <c r="B419" s="123"/>
      <c r="C419" s="124"/>
      <c r="D419" s="124"/>
      <c r="E419" s="125"/>
      <c r="F419" s="126"/>
    </row>
    <row r="420" spans="2:6" ht="15.5" x14ac:dyDescent="0.35">
      <c r="B420" s="123"/>
      <c r="C420" s="124"/>
      <c r="D420" s="124"/>
      <c r="E420" s="125"/>
      <c r="F420" s="126"/>
    </row>
    <row r="421" spans="2:6" ht="15.5" x14ac:dyDescent="0.35">
      <c r="B421" s="123"/>
      <c r="C421" s="124"/>
      <c r="D421" s="124"/>
      <c r="E421" s="125"/>
      <c r="F421" s="126"/>
    </row>
    <row r="422" spans="2:6" ht="15.5" x14ac:dyDescent="0.35">
      <c r="B422" s="123"/>
      <c r="C422" s="124"/>
      <c r="D422" s="124"/>
      <c r="E422" s="125"/>
      <c r="F422" s="126"/>
    </row>
    <row r="423" spans="2:6" ht="15.5" x14ac:dyDescent="0.35">
      <c r="B423" s="123"/>
      <c r="C423" s="124"/>
      <c r="D423" s="124"/>
      <c r="E423" s="125"/>
      <c r="F423" s="126"/>
    </row>
    <row r="424" spans="2:6" ht="15.5" x14ac:dyDescent="0.35">
      <c r="B424" s="123"/>
      <c r="C424" s="124"/>
      <c r="D424" s="124"/>
      <c r="E424" s="125"/>
      <c r="F424" s="126"/>
    </row>
    <row r="425" spans="2:6" ht="15.5" x14ac:dyDescent="0.35">
      <c r="B425" s="123"/>
      <c r="C425" s="124"/>
      <c r="D425" s="124"/>
      <c r="E425" s="125"/>
      <c r="F425" s="126"/>
    </row>
    <row r="426" spans="2:6" ht="15.5" x14ac:dyDescent="0.35">
      <c r="B426" s="123"/>
      <c r="C426" s="124"/>
      <c r="D426" s="124"/>
      <c r="E426" s="125"/>
      <c r="F426" s="126"/>
    </row>
    <row r="427" spans="2:6" ht="15.5" x14ac:dyDescent="0.35">
      <c r="B427" s="123"/>
      <c r="C427" s="124"/>
      <c r="D427" s="124"/>
      <c r="E427" s="125"/>
      <c r="F427" s="126"/>
    </row>
    <row r="428" spans="2:6" ht="15.5" x14ac:dyDescent="0.35">
      <c r="B428" s="123"/>
      <c r="C428" s="124"/>
      <c r="D428" s="124"/>
      <c r="E428" s="125"/>
      <c r="F428" s="126"/>
    </row>
    <row r="429" spans="2:6" ht="15.5" x14ac:dyDescent="0.35">
      <c r="B429" s="123"/>
      <c r="C429" s="124"/>
      <c r="D429" s="124"/>
      <c r="E429" s="125"/>
      <c r="F429" s="126"/>
    </row>
    <row r="430" spans="2:6" ht="15.5" x14ac:dyDescent="0.35">
      <c r="B430" s="123"/>
      <c r="C430" s="124"/>
      <c r="D430" s="124"/>
      <c r="E430" s="125"/>
      <c r="F430" s="126"/>
    </row>
    <row r="431" spans="2:6" ht="15.5" x14ac:dyDescent="0.35">
      <c r="B431" s="123"/>
      <c r="C431" s="124"/>
      <c r="D431" s="124"/>
      <c r="E431" s="125"/>
      <c r="F431" s="126"/>
    </row>
    <row r="432" spans="2:6" ht="15.5" x14ac:dyDescent="0.35">
      <c r="B432" s="123"/>
      <c r="C432" s="124"/>
      <c r="D432" s="124"/>
      <c r="E432" s="125"/>
      <c r="F432" s="126"/>
    </row>
    <row r="433" spans="2:6" ht="15.5" x14ac:dyDescent="0.35">
      <c r="B433" s="123"/>
      <c r="C433" s="124"/>
      <c r="D433" s="124"/>
      <c r="E433" s="125"/>
      <c r="F433" s="126"/>
    </row>
    <row r="434" spans="2:6" ht="15.5" x14ac:dyDescent="0.35">
      <c r="B434" s="123"/>
      <c r="C434" s="124"/>
      <c r="D434" s="124"/>
      <c r="E434" s="125"/>
      <c r="F434" s="126"/>
    </row>
    <row r="435" spans="2:6" ht="15.5" x14ac:dyDescent="0.35">
      <c r="B435" s="123"/>
      <c r="C435" s="124"/>
      <c r="D435" s="124"/>
      <c r="E435" s="125"/>
      <c r="F435" s="126"/>
    </row>
    <row r="436" spans="2:6" ht="15.5" x14ac:dyDescent="0.35">
      <c r="B436" s="123"/>
      <c r="C436" s="124"/>
      <c r="D436" s="124"/>
      <c r="E436" s="125"/>
      <c r="F436" s="126"/>
    </row>
    <row r="437" spans="2:6" ht="15.5" x14ac:dyDescent="0.35">
      <c r="B437" s="123"/>
      <c r="C437" s="124"/>
      <c r="D437" s="124"/>
      <c r="E437" s="125"/>
      <c r="F437" s="126"/>
    </row>
    <row r="438" spans="2:6" ht="15.5" x14ac:dyDescent="0.35">
      <c r="B438" s="123"/>
      <c r="C438" s="124"/>
      <c r="D438" s="124"/>
      <c r="E438" s="125"/>
      <c r="F438" s="126"/>
    </row>
    <row r="439" spans="2:6" ht="15.5" x14ac:dyDescent="0.35">
      <c r="B439" s="123"/>
      <c r="C439" s="124"/>
      <c r="D439" s="124"/>
      <c r="E439" s="125"/>
      <c r="F439" s="126"/>
    </row>
    <row r="440" spans="2:6" ht="15.5" x14ac:dyDescent="0.35">
      <c r="B440" s="123"/>
      <c r="C440" s="124"/>
      <c r="D440" s="124"/>
      <c r="E440" s="125"/>
      <c r="F440" s="126"/>
    </row>
    <row r="441" spans="2:6" ht="15.5" x14ac:dyDescent="0.35">
      <c r="B441" s="123"/>
      <c r="C441" s="124"/>
      <c r="D441" s="124"/>
      <c r="E441" s="125"/>
      <c r="F441" s="126"/>
    </row>
    <row r="442" spans="2:6" ht="15.5" x14ac:dyDescent="0.35">
      <c r="B442" s="123"/>
      <c r="C442" s="124"/>
      <c r="D442" s="124"/>
      <c r="E442" s="125"/>
      <c r="F442" s="126"/>
    </row>
    <row r="443" spans="2:6" ht="15.5" x14ac:dyDescent="0.35">
      <c r="B443" s="123"/>
      <c r="C443" s="124"/>
      <c r="D443" s="124"/>
      <c r="E443" s="125"/>
      <c r="F443" s="126"/>
    </row>
    <row r="444" spans="2:6" ht="15.5" x14ac:dyDescent="0.35">
      <c r="B444" s="123"/>
      <c r="C444" s="124"/>
      <c r="D444" s="124"/>
      <c r="E444" s="125"/>
      <c r="F444" s="126"/>
    </row>
    <row r="445" spans="2:6" ht="15.5" x14ac:dyDescent="0.35">
      <c r="B445" s="123"/>
      <c r="C445" s="124"/>
      <c r="D445" s="124"/>
      <c r="E445" s="125"/>
      <c r="F445" s="126"/>
    </row>
    <row r="446" spans="2:6" ht="15.5" x14ac:dyDescent="0.35">
      <c r="B446" s="123"/>
      <c r="C446" s="124"/>
      <c r="D446" s="124"/>
      <c r="E446" s="125"/>
      <c r="F446" s="126"/>
    </row>
    <row r="447" spans="2:6" ht="15.5" x14ac:dyDescent="0.35">
      <c r="B447" s="123"/>
      <c r="C447" s="124"/>
      <c r="D447" s="124"/>
      <c r="E447" s="125"/>
      <c r="F447" s="126"/>
    </row>
    <row r="448" spans="2:6" ht="15.5" x14ac:dyDescent="0.35">
      <c r="B448" s="123"/>
      <c r="C448" s="124"/>
      <c r="D448" s="124"/>
      <c r="E448" s="125"/>
      <c r="F448" s="126"/>
    </row>
    <row r="449" spans="2:6" ht="15.5" x14ac:dyDescent="0.35">
      <c r="B449" s="123"/>
      <c r="C449" s="124"/>
      <c r="D449" s="124"/>
      <c r="E449" s="125"/>
      <c r="F449" s="126"/>
    </row>
    <row r="450" spans="2:6" ht="15.5" x14ac:dyDescent="0.35">
      <c r="B450" s="123"/>
      <c r="C450" s="124"/>
      <c r="D450" s="124"/>
      <c r="E450" s="125"/>
      <c r="F450" s="126"/>
    </row>
    <row r="451" spans="2:6" ht="15.5" x14ac:dyDescent="0.35">
      <c r="B451" s="123"/>
      <c r="C451" s="124"/>
      <c r="D451" s="124"/>
      <c r="E451" s="125"/>
      <c r="F451" s="126"/>
    </row>
    <row r="452" spans="2:6" ht="15.5" x14ac:dyDescent="0.35">
      <c r="B452" s="123"/>
      <c r="C452" s="124"/>
      <c r="D452" s="124"/>
      <c r="E452" s="125"/>
      <c r="F452" s="126"/>
    </row>
    <row r="453" spans="2:6" ht="15.5" x14ac:dyDescent="0.35">
      <c r="B453" s="123"/>
      <c r="C453" s="124"/>
      <c r="D453" s="124"/>
      <c r="E453" s="125"/>
      <c r="F453" s="126"/>
    </row>
    <row r="454" spans="2:6" ht="15.5" x14ac:dyDescent="0.35">
      <c r="B454" s="123"/>
      <c r="C454" s="124"/>
      <c r="D454" s="124"/>
      <c r="E454" s="125"/>
      <c r="F454" s="126"/>
    </row>
    <row r="455" spans="2:6" ht="15.5" x14ac:dyDescent="0.35">
      <c r="B455" s="123"/>
      <c r="C455" s="124"/>
      <c r="D455" s="124"/>
      <c r="E455" s="125"/>
      <c r="F455" s="126"/>
    </row>
    <row r="456" spans="2:6" ht="15.5" x14ac:dyDescent="0.35">
      <c r="B456" s="123"/>
      <c r="C456" s="124"/>
      <c r="D456" s="124"/>
      <c r="E456" s="125"/>
      <c r="F456" s="126"/>
    </row>
    <row r="457" spans="2:6" ht="15.5" x14ac:dyDescent="0.35">
      <c r="B457" s="123"/>
      <c r="C457" s="124"/>
      <c r="D457" s="124"/>
      <c r="E457" s="125"/>
      <c r="F457" s="126"/>
    </row>
    <row r="458" spans="2:6" ht="15.5" x14ac:dyDescent="0.35">
      <c r="B458" s="123"/>
      <c r="C458" s="124"/>
      <c r="D458" s="124"/>
      <c r="E458" s="125"/>
      <c r="F458" s="126"/>
    </row>
    <row r="459" spans="2:6" ht="15.5" x14ac:dyDescent="0.35">
      <c r="B459" s="123"/>
      <c r="C459" s="124"/>
      <c r="D459" s="124"/>
      <c r="E459" s="125"/>
      <c r="F459" s="126"/>
    </row>
    <row r="460" spans="2:6" ht="15.5" x14ac:dyDescent="0.35">
      <c r="B460" s="123"/>
      <c r="C460" s="124"/>
      <c r="D460" s="124"/>
      <c r="E460" s="125"/>
      <c r="F460" s="126"/>
    </row>
    <row r="461" spans="2:6" ht="15.5" x14ac:dyDescent="0.35">
      <c r="B461" s="123"/>
      <c r="C461" s="124"/>
      <c r="D461" s="124"/>
      <c r="E461" s="125"/>
      <c r="F461" s="126"/>
    </row>
    <row r="462" spans="2:6" ht="15.5" x14ac:dyDescent="0.35">
      <c r="B462" s="123"/>
      <c r="C462" s="124"/>
      <c r="D462" s="124"/>
      <c r="E462" s="125"/>
      <c r="F462" s="126"/>
    </row>
    <row r="463" spans="2:6" ht="15.5" x14ac:dyDescent="0.35">
      <c r="B463" s="123"/>
      <c r="C463" s="124"/>
      <c r="D463" s="124"/>
      <c r="E463" s="125"/>
      <c r="F463" s="126"/>
    </row>
    <row r="464" spans="2:6" ht="15.5" x14ac:dyDescent="0.35">
      <c r="B464" s="123"/>
      <c r="C464" s="124"/>
      <c r="D464" s="124"/>
      <c r="E464" s="125"/>
      <c r="F464" s="126"/>
    </row>
    <row r="465" spans="2:6" ht="15.5" x14ac:dyDescent="0.35">
      <c r="B465" s="123"/>
      <c r="C465" s="124"/>
      <c r="D465" s="124"/>
      <c r="E465" s="125"/>
      <c r="F465" s="126"/>
    </row>
    <row r="466" spans="2:6" ht="15.5" x14ac:dyDescent="0.35">
      <c r="B466" s="123"/>
      <c r="C466" s="124"/>
      <c r="D466" s="124"/>
      <c r="E466" s="125"/>
      <c r="F466" s="126"/>
    </row>
    <row r="467" spans="2:6" ht="15.5" x14ac:dyDescent="0.35">
      <c r="B467" s="123"/>
      <c r="C467" s="124"/>
      <c r="D467" s="124"/>
      <c r="E467" s="125"/>
      <c r="F467" s="126"/>
    </row>
    <row r="468" spans="2:6" ht="15.5" x14ac:dyDescent="0.35">
      <c r="B468" s="123"/>
      <c r="C468" s="124"/>
      <c r="D468" s="124"/>
      <c r="E468" s="125"/>
      <c r="F468" s="126"/>
    </row>
    <row r="469" spans="2:6" ht="15.5" x14ac:dyDescent="0.35">
      <c r="B469" s="123"/>
      <c r="C469" s="124"/>
      <c r="D469" s="124"/>
      <c r="E469" s="125"/>
      <c r="F469" s="126"/>
    </row>
    <row r="470" spans="2:6" ht="15.5" x14ac:dyDescent="0.35">
      <c r="B470" s="123"/>
      <c r="C470" s="124"/>
      <c r="D470" s="124"/>
      <c r="E470" s="125"/>
      <c r="F470" s="126"/>
    </row>
    <row r="471" spans="2:6" ht="15.5" x14ac:dyDescent="0.35">
      <c r="B471" s="123"/>
      <c r="C471" s="124"/>
      <c r="D471" s="124"/>
      <c r="E471" s="125"/>
      <c r="F471" s="126"/>
    </row>
    <row r="472" spans="2:6" ht="15.5" x14ac:dyDescent="0.35">
      <c r="B472" s="123"/>
      <c r="C472" s="124"/>
      <c r="D472" s="124"/>
      <c r="E472" s="125"/>
      <c r="F472" s="126"/>
    </row>
    <row r="473" spans="2:6" ht="15.5" x14ac:dyDescent="0.35">
      <c r="B473" s="123"/>
      <c r="C473" s="124"/>
      <c r="D473" s="124"/>
      <c r="E473" s="125"/>
      <c r="F473" s="126"/>
    </row>
    <row r="474" spans="2:6" ht="15.5" x14ac:dyDescent="0.35">
      <c r="B474" s="123"/>
      <c r="C474" s="124"/>
      <c r="D474" s="124"/>
      <c r="E474" s="125"/>
      <c r="F474" s="126"/>
    </row>
    <row r="475" spans="2:6" ht="15.5" x14ac:dyDescent="0.35">
      <c r="B475" s="123"/>
      <c r="C475" s="124"/>
      <c r="D475" s="124"/>
      <c r="E475" s="125"/>
      <c r="F475" s="126"/>
    </row>
    <row r="476" spans="2:6" ht="15.5" x14ac:dyDescent="0.35">
      <c r="B476" s="123"/>
      <c r="C476" s="124"/>
      <c r="D476" s="124"/>
      <c r="E476" s="125"/>
      <c r="F476" s="126"/>
    </row>
    <row r="477" spans="2:6" ht="15.5" x14ac:dyDescent="0.35">
      <c r="B477" s="123"/>
      <c r="C477" s="124"/>
      <c r="D477" s="124"/>
      <c r="E477" s="125"/>
      <c r="F477" s="126"/>
    </row>
    <row r="478" spans="2:6" ht="15.5" x14ac:dyDescent="0.35">
      <c r="B478" s="123"/>
      <c r="C478" s="124"/>
      <c r="D478" s="124"/>
      <c r="E478" s="125"/>
      <c r="F478" s="126"/>
    </row>
    <row r="479" spans="2:6" ht="15.5" x14ac:dyDescent="0.35">
      <c r="B479" s="123"/>
      <c r="C479" s="124"/>
      <c r="D479" s="124"/>
      <c r="E479" s="125"/>
      <c r="F479" s="126"/>
    </row>
    <row r="480" spans="2:6" ht="15.5" x14ac:dyDescent="0.35">
      <c r="B480" s="123"/>
      <c r="C480" s="124"/>
      <c r="D480" s="124"/>
      <c r="E480" s="125"/>
      <c r="F480" s="126"/>
    </row>
    <row r="481" spans="2:6" ht="15.5" x14ac:dyDescent="0.35">
      <c r="B481" s="123"/>
      <c r="C481" s="124"/>
      <c r="D481" s="124"/>
      <c r="E481" s="125"/>
      <c r="F481" s="126"/>
    </row>
    <row r="482" spans="2:6" ht="15.5" x14ac:dyDescent="0.35">
      <c r="B482" s="123"/>
      <c r="C482" s="124"/>
      <c r="D482" s="124"/>
      <c r="E482" s="125"/>
      <c r="F482" s="126"/>
    </row>
    <row r="483" spans="2:6" ht="15.5" x14ac:dyDescent="0.35">
      <c r="B483" s="123"/>
      <c r="C483" s="124"/>
      <c r="D483" s="124"/>
      <c r="E483" s="125"/>
      <c r="F483" s="126"/>
    </row>
    <row r="484" spans="2:6" ht="15.5" x14ac:dyDescent="0.35">
      <c r="B484" s="123"/>
      <c r="C484" s="124"/>
      <c r="D484" s="124"/>
      <c r="E484" s="125"/>
      <c r="F484" s="126"/>
    </row>
    <row r="485" spans="2:6" ht="15.5" x14ac:dyDescent="0.35">
      <c r="B485" s="123"/>
      <c r="C485" s="124"/>
      <c r="D485" s="124"/>
      <c r="E485" s="125"/>
      <c r="F485" s="126"/>
    </row>
    <row r="486" spans="2:6" ht="15.5" x14ac:dyDescent="0.35">
      <c r="B486" s="123"/>
      <c r="C486" s="124"/>
      <c r="D486" s="124"/>
      <c r="E486" s="125"/>
      <c r="F486" s="126"/>
    </row>
    <row r="487" spans="2:6" ht="15.5" x14ac:dyDescent="0.35">
      <c r="B487" s="123"/>
      <c r="C487" s="124"/>
      <c r="D487" s="124"/>
      <c r="E487" s="125"/>
      <c r="F487" s="126"/>
    </row>
    <row r="488" spans="2:6" ht="15.5" x14ac:dyDescent="0.35">
      <c r="B488" s="123"/>
      <c r="C488" s="124"/>
      <c r="D488" s="124"/>
      <c r="E488" s="125"/>
      <c r="F488" s="126"/>
    </row>
    <row r="489" spans="2:6" ht="15.5" x14ac:dyDescent="0.35">
      <c r="B489" s="123"/>
      <c r="C489" s="124"/>
      <c r="D489" s="124"/>
      <c r="E489" s="125"/>
      <c r="F489" s="126"/>
    </row>
    <row r="490" spans="2:6" ht="15.5" x14ac:dyDescent="0.35">
      <c r="B490" s="123"/>
      <c r="C490" s="124"/>
      <c r="D490" s="124"/>
      <c r="E490" s="125"/>
      <c r="F490" s="126"/>
    </row>
    <row r="491" spans="2:6" ht="15.5" x14ac:dyDescent="0.35">
      <c r="B491" s="123"/>
      <c r="C491" s="124"/>
      <c r="D491" s="124"/>
      <c r="E491" s="125"/>
      <c r="F491" s="126"/>
    </row>
    <row r="492" spans="2:6" x14ac:dyDescent="0.35">
      <c r="B492" s="118"/>
      <c r="C492" s="119"/>
      <c r="D492" s="3"/>
      <c r="E492" s="3"/>
      <c r="F492" s="3"/>
    </row>
    <row r="493" spans="2:6" x14ac:dyDescent="0.35">
      <c r="E493" s="133"/>
    </row>
    <row r="494" spans="2:6" x14ac:dyDescent="0.35">
      <c r="E494" s="133"/>
    </row>
    <row r="495" spans="2:6" x14ac:dyDescent="0.35">
      <c r="E495" s="133"/>
    </row>
    <row r="496" spans="2:6" x14ac:dyDescent="0.35">
      <c r="E496" s="133"/>
    </row>
    <row r="497" spans="5:5" x14ac:dyDescent="0.35">
      <c r="E497" s="133"/>
    </row>
  </sheetData>
  <mergeCells count="3">
    <mergeCell ref="D5:D6"/>
    <mergeCell ref="E5:E6"/>
    <mergeCell ref="C5:C6"/>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Clientes!$B$7:$B$1050</xm:f>
          </x14:formula1>
          <xm:sqref>D2</xm:sqref>
        </x14:dataValidation>
        <x14:dataValidation type="list" allowBlank="1" showInputMessage="1" showErrorMessage="1" xr:uid="{00000000-0002-0000-0400-000001000000}">
          <x14:formula1>
            <xm:f>Clientes!$B$7:$B$4050</xm:f>
          </x14:formula1>
          <xm:sqref>D11:D491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2">
    <tabColor rgb="FFF5F8EE"/>
  </sheetPr>
  <dimension ref="B2:I1464"/>
  <sheetViews>
    <sheetView showGridLines="0" workbookViewId="0">
      <selection activeCell="K25" sqref="K25"/>
    </sheetView>
  </sheetViews>
  <sheetFormatPr baseColWidth="10" defaultRowHeight="14.5" x14ac:dyDescent="0.35"/>
  <cols>
    <col min="1" max="1" width="2.453125" customWidth="1"/>
    <col min="2" max="2" width="14.26953125" customWidth="1"/>
    <col min="3" max="3" width="38.26953125" style="3" customWidth="1"/>
    <col min="4" max="4" width="24.7265625" style="29" customWidth="1"/>
    <col min="5" max="5" width="21.6328125" customWidth="1"/>
    <col min="6" max="6" width="11.453125"/>
    <col min="7" max="7" width="12.36328125" customWidth="1"/>
    <col min="8" max="8" width="9.81640625" customWidth="1"/>
    <col min="9" max="9" width="17.7265625" bestFit="1" customWidth="1"/>
    <col min="10" max="10" width="18.26953125" bestFit="1" customWidth="1"/>
    <col min="11" max="11" width="11.453125"/>
  </cols>
  <sheetData>
    <row r="2" spans="2:9" ht="52" customHeight="1" x14ac:dyDescent="0.35">
      <c r="B2" s="41"/>
      <c r="C2" s="41"/>
      <c r="D2" s="41"/>
      <c r="E2" s="41"/>
      <c r="F2" s="41"/>
      <c r="G2" s="41"/>
    </row>
    <row r="3" spans="2:9" x14ac:dyDescent="0.35">
      <c r="C3"/>
      <c r="D3"/>
    </row>
    <row r="4" spans="2:9" ht="28.5" x14ac:dyDescent="0.35">
      <c r="B4" s="147" t="s">
        <v>43</v>
      </c>
      <c r="C4" s="147"/>
      <c r="D4" s="147"/>
      <c r="E4" s="147"/>
    </row>
    <row r="5" spans="2:9" ht="15.5" x14ac:dyDescent="0.35">
      <c r="B5" s="92" t="s">
        <v>86</v>
      </c>
      <c r="D5" s="2"/>
    </row>
    <row r="6" spans="2:9" ht="35" customHeight="1" x14ac:dyDescent="0.35">
      <c r="B6" s="15" t="s">
        <v>30</v>
      </c>
      <c r="C6" s="15" t="s">
        <v>9</v>
      </c>
      <c r="D6" s="15" t="s">
        <v>0</v>
      </c>
      <c r="E6" s="38" t="s">
        <v>21</v>
      </c>
      <c r="H6" s="146"/>
      <c r="I6" s="146"/>
    </row>
    <row r="7" spans="2:9" ht="15.5" x14ac:dyDescent="0.35">
      <c r="B7" s="30" t="s">
        <v>44</v>
      </c>
      <c r="C7" s="36" t="s">
        <v>45</v>
      </c>
      <c r="D7" s="34">
        <v>1200</v>
      </c>
      <c r="E7" s="31">
        <v>2</v>
      </c>
      <c r="F7" s="8"/>
      <c r="H7" s="3"/>
    </row>
    <row r="8" spans="2:9" ht="15.5" x14ac:dyDescent="0.35">
      <c r="B8" s="30" t="s">
        <v>46</v>
      </c>
      <c r="C8" s="36" t="s">
        <v>47</v>
      </c>
      <c r="D8" s="34">
        <v>1500</v>
      </c>
      <c r="E8" s="31">
        <v>3</v>
      </c>
      <c r="F8" s="8"/>
    </row>
    <row r="9" spans="2:9" ht="15.5" x14ac:dyDescent="0.35">
      <c r="B9" s="30" t="s">
        <v>48</v>
      </c>
      <c r="C9" s="36" t="s">
        <v>49</v>
      </c>
      <c r="D9" s="34">
        <v>2000</v>
      </c>
      <c r="E9" s="31">
        <v>1</v>
      </c>
      <c r="F9" s="8"/>
    </row>
    <row r="10" spans="2:9" ht="15.5" x14ac:dyDescent="0.35">
      <c r="B10" s="30" t="s">
        <v>50</v>
      </c>
      <c r="C10" s="36" t="s">
        <v>51</v>
      </c>
      <c r="D10" s="34">
        <v>800</v>
      </c>
      <c r="E10" s="31">
        <v>1</v>
      </c>
      <c r="F10" s="8"/>
    </row>
    <row r="11" spans="2:9" ht="15.5" x14ac:dyDescent="0.35">
      <c r="B11" s="30" t="s">
        <v>52</v>
      </c>
      <c r="C11" s="36" t="s">
        <v>53</v>
      </c>
      <c r="D11" s="34">
        <v>1000</v>
      </c>
      <c r="E11" s="31">
        <v>5</v>
      </c>
      <c r="F11" s="8"/>
    </row>
    <row r="12" spans="2:9" ht="15.5" x14ac:dyDescent="0.35">
      <c r="B12" s="30" t="s">
        <v>54</v>
      </c>
      <c r="C12" s="36" t="s">
        <v>55</v>
      </c>
      <c r="D12" s="34">
        <v>1300</v>
      </c>
      <c r="E12" s="31">
        <v>5</v>
      </c>
      <c r="F12" s="8"/>
    </row>
    <row r="13" spans="2:9" ht="15.5" x14ac:dyDescent="0.35">
      <c r="B13" s="30" t="s">
        <v>56</v>
      </c>
      <c r="C13" s="36" t="s">
        <v>57</v>
      </c>
      <c r="D13" s="34">
        <v>2500</v>
      </c>
      <c r="E13" s="31">
        <v>6</v>
      </c>
      <c r="F13" s="8"/>
    </row>
    <row r="14" spans="2:9" ht="15.5" x14ac:dyDescent="0.35">
      <c r="B14" s="30" t="s">
        <v>58</v>
      </c>
      <c r="C14" s="36" t="s">
        <v>59</v>
      </c>
      <c r="D14" s="34">
        <v>2200</v>
      </c>
      <c r="E14" s="31">
        <v>7</v>
      </c>
      <c r="F14" s="8"/>
    </row>
    <row r="15" spans="2:9" ht="15.5" x14ac:dyDescent="0.35">
      <c r="B15" s="30" t="s">
        <v>60</v>
      </c>
      <c r="C15" s="36" t="s">
        <v>61</v>
      </c>
      <c r="D15" s="34">
        <v>1800</v>
      </c>
      <c r="E15" s="31">
        <v>10</v>
      </c>
      <c r="F15" s="8"/>
    </row>
    <row r="16" spans="2:9" ht="15.5" x14ac:dyDescent="0.35">
      <c r="B16" s="30" t="s">
        <v>62</v>
      </c>
      <c r="C16" s="36" t="s">
        <v>63</v>
      </c>
      <c r="D16" s="34">
        <v>2000</v>
      </c>
      <c r="E16" s="31">
        <v>12</v>
      </c>
      <c r="F16" s="8"/>
    </row>
    <row r="17" spans="2:6" ht="15.5" x14ac:dyDescent="0.35">
      <c r="B17" s="30" t="s">
        <v>64</v>
      </c>
      <c r="C17" s="36" t="s">
        <v>65</v>
      </c>
      <c r="D17" s="34">
        <v>1800</v>
      </c>
      <c r="E17" s="31">
        <v>13</v>
      </c>
      <c r="F17" s="8"/>
    </row>
    <row r="18" spans="2:6" ht="15.5" x14ac:dyDescent="0.35">
      <c r="B18" s="32" t="s">
        <v>66</v>
      </c>
      <c r="C18" s="37" t="s">
        <v>67</v>
      </c>
      <c r="D18" s="35">
        <v>1500</v>
      </c>
      <c r="E18" s="33">
        <v>11</v>
      </c>
      <c r="F18" s="8"/>
    </row>
    <row r="19" spans="2:6" ht="15.5" x14ac:dyDescent="0.35">
      <c r="B19" s="30" t="s">
        <v>68</v>
      </c>
      <c r="C19" s="36" t="s">
        <v>69</v>
      </c>
      <c r="D19" s="34">
        <v>2000</v>
      </c>
      <c r="E19" s="31">
        <v>5</v>
      </c>
      <c r="F19" s="8"/>
    </row>
    <row r="20" spans="2:6" ht="15.5" x14ac:dyDescent="0.35">
      <c r="B20" s="30" t="s">
        <v>70</v>
      </c>
      <c r="C20" s="36" t="s">
        <v>71</v>
      </c>
      <c r="D20" s="34">
        <v>2500</v>
      </c>
      <c r="E20" s="31">
        <v>3</v>
      </c>
      <c r="F20" s="8"/>
    </row>
    <row r="21" spans="2:6" ht="15.5" x14ac:dyDescent="0.35">
      <c r="B21" s="30" t="s">
        <v>72</v>
      </c>
      <c r="C21" s="36" t="s">
        <v>73</v>
      </c>
      <c r="D21" s="34">
        <v>3000</v>
      </c>
      <c r="E21" s="31">
        <v>2</v>
      </c>
      <c r="F21" s="8"/>
    </row>
    <row r="22" spans="2:6" ht="15.5" x14ac:dyDescent="0.35">
      <c r="B22" s="30" t="s">
        <v>74</v>
      </c>
      <c r="C22" s="36" t="s">
        <v>75</v>
      </c>
      <c r="D22" s="34">
        <v>3500</v>
      </c>
      <c r="E22" s="31">
        <v>9</v>
      </c>
      <c r="F22" s="8"/>
    </row>
    <row r="23" spans="2:6" ht="15.5" x14ac:dyDescent="0.35">
      <c r="B23" s="30" t="s">
        <v>76</v>
      </c>
      <c r="C23" s="36" t="s">
        <v>77</v>
      </c>
      <c r="D23" s="34">
        <v>2800</v>
      </c>
      <c r="E23" s="31">
        <v>1</v>
      </c>
      <c r="F23" s="8"/>
    </row>
    <row r="24" spans="2:6" ht="15.5" x14ac:dyDescent="0.35">
      <c r="B24" s="30" t="s">
        <v>78</v>
      </c>
      <c r="C24" s="36" t="s">
        <v>79</v>
      </c>
      <c r="D24" s="34">
        <v>3000</v>
      </c>
      <c r="E24" s="31">
        <v>4</v>
      </c>
      <c r="F24" s="8"/>
    </row>
    <row r="25" spans="2:6" ht="15.5" x14ac:dyDescent="0.35">
      <c r="B25" s="30" t="s">
        <v>80</v>
      </c>
      <c r="C25" s="36" t="s">
        <v>81</v>
      </c>
      <c r="D25" s="34">
        <v>2200</v>
      </c>
      <c r="E25" s="31">
        <v>5</v>
      </c>
      <c r="F25" s="8"/>
    </row>
    <row r="26" spans="2:6" ht="15.5" x14ac:dyDescent="0.35">
      <c r="B26" s="30" t="s">
        <v>82</v>
      </c>
      <c r="C26" s="36" t="s">
        <v>83</v>
      </c>
      <c r="D26" s="34">
        <v>3000</v>
      </c>
      <c r="E26" s="31">
        <v>2</v>
      </c>
      <c r="F26" s="8"/>
    </row>
    <row r="27" spans="2:6" ht="15.5" x14ac:dyDescent="0.35">
      <c r="B27" s="30" t="s">
        <v>84</v>
      </c>
      <c r="C27" s="36" t="s">
        <v>85</v>
      </c>
      <c r="D27" s="34">
        <v>2800</v>
      </c>
      <c r="E27" s="31">
        <v>1</v>
      </c>
      <c r="F27" s="8"/>
    </row>
    <row r="28" spans="2:6" x14ac:dyDescent="0.35">
      <c r="B28" s="8"/>
      <c r="C28" s="8"/>
      <c r="D28" s="28"/>
      <c r="E28" s="8"/>
      <c r="F28" s="8"/>
    </row>
    <row r="29" spans="2:6" x14ac:dyDescent="0.35">
      <c r="B29" s="8"/>
      <c r="C29" s="8"/>
      <c r="D29" s="28"/>
      <c r="E29" s="8"/>
      <c r="F29" s="8"/>
    </row>
    <row r="30" spans="2:6" x14ac:dyDescent="0.35">
      <c r="B30" s="8"/>
      <c r="C30" s="8"/>
      <c r="D30" s="28"/>
      <c r="E30" s="8"/>
      <c r="F30" s="8"/>
    </row>
    <row r="31" spans="2:6" x14ac:dyDescent="0.35">
      <c r="B31" s="8"/>
      <c r="C31" s="8"/>
      <c r="D31" s="28"/>
      <c r="E31" s="8"/>
      <c r="F31" s="8"/>
    </row>
    <row r="32" spans="2:6" x14ac:dyDescent="0.35">
      <c r="B32" s="8"/>
      <c r="C32" s="8"/>
      <c r="D32" s="28"/>
      <c r="E32" s="8"/>
      <c r="F32" s="8"/>
    </row>
    <row r="33" spans="2:6" x14ac:dyDescent="0.35">
      <c r="B33" s="8"/>
      <c r="C33" s="8"/>
      <c r="D33" s="28"/>
      <c r="E33" s="8"/>
      <c r="F33" s="8"/>
    </row>
    <row r="34" spans="2:6" x14ac:dyDescent="0.35">
      <c r="B34" s="8"/>
      <c r="C34" s="8"/>
      <c r="D34" s="28"/>
      <c r="E34" s="8"/>
      <c r="F34" s="8"/>
    </row>
    <row r="35" spans="2:6" x14ac:dyDescent="0.35">
      <c r="B35" s="8"/>
      <c r="C35" s="8"/>
      <c r="D35" s="28"/>
      <c r="E35" s="8"/>
      <c r="F35" s="8"/>
    </row>
    <row r="36" spans="2:6" x14ac:dyDescent="0.35">
      <c r="B36" s="8"/>
      <c r="C36" s="8"/>
      <c r="D36" s="28"/>
      <c r="E36" s="8"/>
      <c r="F36" s="8"/>
    </row>
    <row r="37" spans="2:6" x14ac:dyDescent="0.35">
      <c r="B37" s="8"/>
      <c r="C37" s="8"/>
      <c r="D37" s="28"/>
      <c r="E37" s="8"/>
      <c r="F37" s="8"/>
    </row>
    <row r="38" spans="2:6" x14ac:dyDescent="0.35">
      <c r="B38" s="8"/>
      <c r="C38" s="8"/>
      <c r="D38" s="28"/>
      <c r="E38" s="8"/>
      <c r="F38" s="8"/>
    </row>
    <row r="39" spans="2:6" x14ac:dyDescent="0.35">
      <c r="B39" s="8"/>
      <c r="C39" s="8"/>
      <c r="D39" s="28"/>
      <c r="E39" s="8"/>
      <c r="F39" s="8"/>
    </row>
    <row r="40" spans="2:6" x14ac:dyDescent="0.35">
      <c r="B40" s="8"/>
      <c r="C40" s="8"/>
      <c r="D40" s="28"/>
      <c r="E40" s="8"/>
      <c r="F40" s="8"/>
    </row>
    <row r="41" spans="2:6" x14ac:dyDescent="0.35">
      <c r="B41" s="8"/>
      <c r="C41" s="8"/>
      <c r="D41" s="28"/>
      <c r="E41" s="8"/>
      <c r="F41" s="8"/>
    </row>
    <row r="42" spans="2:6" x14ac:dyDescent="0.35">
      <c r="B42" s="8"/>
      <c r="C42" s="8"/>
      <c r="D42" s="28"/>
      <c r="E42" s="8"/>
      <c r="F42" s="8"/>
    </row>
    <row r="43" spans="2:6" x14ac:dyDescent="0.35">
      <c r="B43" s="8"/>
      <c r="C43" s="8"/>
      <c r="D43" s="28"/>
      <c r="E43" s="8"/>
      <c r="F43" s="8"/>
    </row>
    <row r="44" spans="2:6" x14ac:dyDescent="0.35">
      <c r="B44" s="8"/>
      <c r="C44" s="8"/>
      <c r="D44" s="28"/>
      <c r="E44" s="8"/>
      <c r="F44" s="8"/>
    </row>
    <row r="45" spans="2:6" x14ac:dyDescent="0.35">
      <c r="B45" s="8"/>
      <c r="C45" s="8"/>
      <c r="D45" s="28"/>
      <c r="E45" s="8"/>
      <c r="F45" s="8"/>
    </row>
    <row r="46" spans="2:6" x14ac:dyDescent="0.35">
      <c r="B46" s="8"/>
      <c r="C46" s="8"/>
      <c r="D46" s="28"/>
      <c r="E46" s="8"/>
      <c r="F46" s="8"/>
    </row>
    <row r="47" spans="2:6" x14ac:dyDescent="0.35">
      <c r="B47" s="8"/>
      <c r="C47" s="8"/>
      <c r="D47" s="28"/>
      <c r="E47" s="8"/>
      <c r="F47" s="8"/>
    </row>
    <row r="48" spans="2:6" x14ac:dyDescent="0.35">
      <c r="B48" s="8"/>
      <c r="C48" s="8"/>
      <c r="D48" s="28"/>
      <c r="E48" s="8"/>
      <c r="F48" s="8"/>
    </row>
    <row r="49" spans="2:6" x14ac:dyDescent="0.35">
      <c r="B49" s="8"/>
      <c r="C49" s="8"/>
      <c r="D49" s="28"/>
      <c r="E49" s="8"/>
      <c r="F49" s="8"/>
    </row>
    <row r="50" spans="2:6" x14ac:dyDescent="0.35">
      <c r="B50" s="8"/>
      <c r="C50" s="8"/>
      <c r="D50" s="28"/>
      <c r="E50" s="8"/>
      <c r="F50" s="8"/>
    </row>
    <row r="51" spans="2:6" x14ac:dyDescent="0.35">
      <c r="B51" s="8"/>
      <c r="C51" s="8"/>
      <c r="D51" s="28"/>
      <c r="E51" s="8"/>
      <c r="F51" s="8"/>
    </row>
    <row r="52" spans="2:6" x14ac:dyDescent="0.35">
      <c r="B52" s="8"/>
      <c r="C52" s="8"/>
      <c r="D52" s="28"/>
      <c r="E52" s="8"/>
      <c r="F52" s="8"/>
    </row>
    <row r="53" spans="2:6" x14ac:dyDescent="0.35">
      <c r="B53" s="8"/>
      <c r="C53" s="8"/>
      <c r="D53" s="28"/>
      <c r="E53" s="8"/>
      <c r="F53" s="8"/>
    </row>
    <row r="54" spans="2:6" x14ac:dyDescent="0.35">
      <c r="B54" s="8"/>
      <c r="C54" s="8"/>
      <c r="D54" s="28"/>
      <c r="E54" s="8"/>
      <c r="F54" s="8"/>
    </row>
    <row r="55" spans="2:6" x14ac:dyDescent="0.35">
      <c r="B55" s="8"/>
      <c r="C55" s="8"/>
      <c r="D55" s="28"/>
      <c r="E55" s="8"/>
      <c r="F55" s="8"/>
    </row>
    <row r="56" spans="2:6" x14ac:dyDescent="0.35">
      <c r="B56" s="8"/>
      <c r="C56" s="8"/>
      <c r="D56" s="28"/>
      <c r="E56" s="8"/>
      <c r="F56" s="8"/>
    </row>
    <row r="57" spans="2:6" x14ac:dyDescent="0.35">
      <c r="B57" s="8"/>
      <c r="C57" s="8"/>
      <c r="D57" s="28"/>
      <c r="E57" s="8"/>
      <c r="F57" s="8"/>
    </row>
    <row r="58" spans="2:6" x14ac:dyDescent="0.35">
      <c r="B58" s="8"/>
      <c r="C58" s="8"/>
      <c r="D58" s="28"/>
      <c r="E58" s="8"/>
      <c r="F58" s="8"/>
    </row>
    <row r="59" spans="2:6" x14ac:dyDescent="0.35">
      <c r="B59" s="8"/>
      <c r="C59" s="8"/>
      <c r="D59" s="28"/>
      <c r="E59" s="8"/>
      <c r="F59" s="8"/>
    </row>
    <row r="60" spans="2:6" x14ac:dyDescent="0.35">
      <c r="B60" s="8"/>
      <c r="C60" s="8"/>
      <c r="D60" s="28"/>
      <c r="E60" s="8"/>
      <c r="F60" s="8"/>
    </row>
    <row r="61" spans="2:6" x14ac:dyDescent="0.35">
      <c r="B61" s="8"/>
      <c r="C61" s="8"/>
      <c r="D61" s="28"/>
      <c r="E61" s="8"/>
      <c r="F61" s="8"/>
    </row>
    <row r="62" spans="2:6" x14ac:dyDescent="0.35">
      <c r="B62" s="8"/>
      <c r="C62" s="8"/>
      <c r="D62" s="28"/>
      <c r="E62" s="8"/>
      <c r="F62" s="8"/>
    </row>
    <row r="63" spans="2:6" x14ac:dyDescent="0.35">
      <c r="B63" s="8"/>
      <c r="C63" s="8"/>
      <c r="D63" s="28"/>
      <c r="E63" s="8"/>
      <c r="F63" s="8"/>
    </row>
    <row r="64" spans="2:6" x14ac:dyDescent="0.35">
      <c r="B64" s="8"/>
      <c r="C64" s="8"/>
      <c r="D64" s="28"/>
      <c r="E64" s="8"/>
      <c r="F64" s="8"/>
    </row>
    <row r="65" spans="2:6" x14ac:dyDescent="0.35">
      <c r="B65" s="8"/>
      <c r="C65" s="8"/>
      <c r="D65" s="28"/>
      <c r="E65" s="8"/>
      <c r="F65" s="8"/>
    </row>
    <row r="66" spans="2:6" x14ac:dyDescent="0.35">
      <c r="B66" s="8"/>
      <c r="C66" s="8"/>
      <c r="D66" s="28"/>
      <c r="E66" s="8"/>
      <c r="F66" s="8"/>
    </row>
    <row r="67" spans="2:6" x14ac:dyDescent="0.35">
      <c r="B67" s="8"/>
      <c r="C67" s="8"/>
      <c r="D67" s="28"/>
      <c r="E67" s="8"/>
      <c r="F67" s="8"/>
    </row>
    <row r="68" spans="2:6" x14ac:dyDescent="0.35">
      <c r="B68" s="8"/>
      <c r="C68" s="8"/>
      <c r="D68" s="28"/>
      <c r="E68" s="8"/>
      <c r="F68" s="8"/>
    </row>
    <row r="69" spans="2:6" x14ac:dyDescent="0.35">
      <c r="B69" s="8"/>
      <c r="C69" s="8"/>
      <c r="D69" s="28"/>
      <c r="E69" s="8"/>
      <c r="F69" s="8"/>
    </row>
    <row r="70" spans="2:6" x14ac:dyDescent="0.35">
      <c r="B70" s="8"/>
      <c r="C70" s="8"/>
      <c r="D70" s="28"/>
      <c r="E70" s="8"/>
      <c r="F70" s="8"/>
    </row>
    <row r="71" spans="2:6" x14ac:dyDescent="0.35">
      <c r="B71" s="8"/>
      <c r="C71" s="8"/>
      <c r="D71" s="28"/>
      <c r="E71" s="8"/>
      <c r="F71" s="8"/>
    </row>
    <row r="72" spans="2:6" x14ac:dyDescent="0.35">
      <c r="B72" s="8"/>
      <c r="C72" s="8"/>
      <c r="D72" s="28"/>
      <c r="E72" s="8"/>
      <c r="F72" s="8"/>
    </row>
    <row r="73" spans="2:6" x14ac:dyDescent="0.35">
      <c r="B73" s="8"/>
      <c r="C73" s="8"/>
      <c r="D73" s="28"/>
      <c r="E73" s="8"/>
      <c r="F73" s="8"/>
    </row>
    <row r="74" spans="2:6" x14ac:dyDescent="0.35">
      <c r="B74" s="8"/>
      <c r="C74" s="8"/>
      <c r="D74" s="28"/>
      <c r="E74" s="8"/>
      <c r="F74" s="8"/>
    </row>
    <row r="75" spans="2:6" x14ac:dyDescent="0.35">
      <c r="B75" s="8"/>
      <c r="C75" s="8"/>
      <c r="D75" s="28"/>
      <c r="E75" s="8"/>
      <c r="F75" s="8"/>
    </row>
    <row r="76" spans="2:6" x14ac:dyDescent="0.35">
      <c r="B76" s="8"/>
      <c r="C76" s="8"/>
      <c r="D76" s="28"/>
      <c r="E76" s="8"/>
      <c r="F76" s="8"/>
    </row>
    <row r="77" spans="2:6" x14ac:dyDescent="0.35">
      <c r="B77" s="8"/>
      <c r="C77" s="8"/>
      <c r="D77" s="28"/>
      <c r="E77" s="8"/>
      <c r="F77" s="8"/>
    </row>
    <row r="78" spans="2:6" x14ac:dyDescent="0.35">
      <c r="B78" s="8"/>
      <c r="C78" s="8"/>
      <c r="D78" s="28"/>
      <c r="E78" s="8"/>
      <c r="F78" s="8"/>
    </row>
    <row r="79" spans="2:6" x14ac:dyDescent="0.35">
      <c r="B79" s="8"/>
      <c r="C79" s="8"/>
      <c r="D79" s="28"/>
      <c r="E79" s="8"/>
      <c r="F79" s="8"/>
    </row>
    <row r="80" spans="2:6" x14ac:dyDescent="0.35">
      <c r="B80" s="8"/>
      <c r="C80" s="8"/>
      <c r="D80" s="28"/>
      <c r="E80" s="8"/>
      <c r="F80" s="8"/>
    </row>
    <row r="81" spans="2:6" x14ac:dyDescent="0.35">
      <c r="B81" s="8"/>
      <c r="C81" s="8"/>
      <c r="D81" s="28"/>
      <c r="E81" s="8"/>
      <c r="F81" s="8"/>
    </row>
    <row r="82" spans="2:6" x14ac:dyDescent="0.35">
      <c r="B82" s="8"/>
      <c r="C82" s="8"/>
      <c r="D82" s="28"/>
      <c r="E82" s="8"/>
      <c r="F82" s="8"/>
    </row>
    <row r="83" spans="2:6" x14ac:dyDescent="0.35">
      <c r="B83" s="8"/>
      <c r="C83" s="8"/>
      <c r="D83" s="28"/>
      <c r="E83" s="8"/>
      <c r="F83" s="8"/>
    </row>
    <row r="84" spans="2:6" x14ac:dyDescent="0.35">
      <c r="B84" s="8"/>
      <c r="C84" s="8"/>
      <c r="D84" s="28"/>
      <c r="E84" s="8"/>
      <c r="F84" s="8"/>
    </row>
    <row r="85" spans="2:6" x14ac:dyDescent="0.35">
      <c r="B85" s="8"/>
      <c r="C85" s="8"/>
      <c r="D85" s="28"/>
      <c r="E85" s="8"/>
      <c r="F85" s="8"/>
    </row>
    <row r="86" spans="2:6" x14ac:dyDescent="0.35">
      <c r="B86" s="8"/>
      <c r="C86" s="8"/>
      <c r="D86" s="28"/>
      <c r="E86" s="8"/>
      <c r="F86" s="8"/>
    </row>
    <row r="87" spans="2:6" x14ac:dyDescent="0.35">
      <c r="B87" s="8"/>
      <c r="C87" s="8"/>
      <c r="D87" s="28"/>
      <c r="E87" s="8"/>
      <c r="F87" s="8"/>
    </row>
    <row r="88" spans="2:6" x14ac:dyDescent="0.35">
      <c r="B88" s="8"/>
      <c r="C88" s="8"/>
      <c r="D88" s="28"/>
      <c r="E88" s="8"/>
      <c r="F88" s="8"/>
    </row>
    <row r="89" spans="2:6" x14ac:dyDescent="0.35">
      <c r="B89" s="8"/>
      <c r="C89" s="8"/>
      <c r="D89" s="28"/>
      <c r="E89" s="8"/>
      <c r="F89" s="8"/>
    </row>
    <row r="90" spans="2:6" x14ac:dyDescent="0.35">
      <c r="B90" s="8"/>
      <c r="C90" s="8"/>
      <c r="D90" s="28"/>
      <c r="E90" s="8"/>
      <c r="F90" s="8"/>
    </row>
    <row r="91" spans="2:6" x14ac:dyDescent="0.35">
      <c r="B91" s="8"/>
      <c r="C91" s="8"/>
      <c r="D91" s="28"/>
      <c r="E91" s="8"/>
      <c r="F91" s="8"/>
    </row>
    <row r="92" spans="2:6" x14ac:dyDescent="0.35">
      <c r="B92" s="8"/>
      <c r="C92" s="8"/>
      <c r="D92" s="28"/>
      <c r="E92" s="8"/>
      <c r="F92" s="8"/>
    </row>
    <row r="93" spans="2:6" x14ac:dyDescent="0.35">
      <c r="B93" s="8"/>
      <c r="C93" s="8"/>
      <c r="D93" s="28"/>
      <c r="E93" s="8"/>
      <c r="F93" s="8"/>
    </row>
    <row r="94" spans="2:6" x14ac:dyDescent="0.35">
      <c r="B94" s="8"/>
      <c r="C94" s="8"/>
      <c r="D94" s="28"/>
      <c r="E94" s="8"/>
      <c r="F94" s="8"/>
    </row>
    <row r="95" spans="2:6" x14ac:dyDescent="0.35">
      <c r="B95" s="8"/>
      <c r="C95" s="8"/>
      <c r="D95" s="28"/>
      <c r="E95" s="8"/>
      <c r="F95" s="8"/>
    </row>
    <row r="96" spans="2:6" x14ac:dyDescent="0.35">
      <c r="B96" s="8"/>
      <c r="C96" s="8"/>
      <c r="D96" s="28"/>
      <c r="E96" s="8"/>
      <c r="F96" s="8"/>
    </row>
    <row r="97" spans="2:6" x14ac:dyDescent="0.35">
      <c r="B97" s="8"/>
      <c r="C97" s="8"/>
      <c r="D97" s="28"/>
      <c r="E97" s="8"/>
      <c r="F97" s="8"/>
    </row>
    <row r="98" spans="2:6" x14ac:dyDescent="0.35">
      <c r="B98" s="8"/>
      <c r="C98" s="8"/>
      <c r="D98" s="28"/>
      <c r="E98" s="8"/>
      <c r="F98" s="8"/>
    </row>
    <row r="99" spans="2:6" x14ac:dyDescent="0.35">
      <c r="B99" s="8"/>
      <c r="C99" s="8"/>
      <c r="D99" s="28"/>
      <c r="E99" s="8"/>
      <c r="F99" s="8"/>
    </row>
    <row r="100" spans="2:6" x14ac:dyDescent="0.35">
      <c r="B100" s="8"/>
      <c r="C100" s="8"/>
      <c r="D100" s="28"/>
      <c r="E100" s="8"/>
      <c r="F100" s="8"/>
    </row>
    <row r="101" spans="2:6" x14ac:dyDescent="0.35">
      <c r="B101" s="8"/>
      <c r="C101" s="8"/>
      <c r="D101" s="28"/>
      <c r="E101" s="8"/>
      <c r="F101" s="8"/>
    </row>
    <row r="102" spans="2:6" x14ac:dyDescent="0.35">
      <c r="B102" s="8"/>
      <c r="C102" s="8"/>
      <c r="D102" s="28"/>
      <c r="E102" s="8"/>
      <c r="F102" s="8"/>
    </row>
    <row r="103" spans="2:6" x14ac:dyDescent="0.35">
      <c r="B103" s="8"/>
      <c r="C103" s="8"/>
      <c r="D103" s="28"/>
      <c r="E103" s="8"/>
      <c r="F103" s="8"/>
    </row>
    <row r="104" spans="2:6" x14ac:dyDescent="0.35">
      <c r="B104" s="8"/>
      <c r="C104" s="8"/>
      <c r="D104" s="28"/>
      <c r="E104" s="8"/>
      <c r="F104" s="8"/>
    </row>
    <row r="105" spans="2:6" x14ac:dyDescent="0.35">
      <c r="B105" s="8"/>
      <c r="C105" s="8"/>
      <c r="D105" s="28"/>
      <c r="E105" s="8"/>
      <c r="F105" s="8"/>
    </row>
    <row r="106" spans="2:6" x14ac:dyDescent="0.35">
      <c r="B106" s="8"/>
      <c r="C106" s="8"/>
      <c r="D106" s="28"/>
      <c r="E106" s="8"/>
      <c r="F106" s="8"/>
    </row>
    <row r="107" spans="2:6" x14ac:dyDescent="0.35">
      <c r="B107" s="8"/>
      <c r="C107" s="8"/>
      <c r="D107" s="28"/>
      <c r="E107" s="8"/>
      <c r="F107" s="8"/>
    </row>
    <row r="108" spans="2:6" x14ac:dyDescent="0.35">
      <c r="B108" s="8"/>
      <c r="C108" s="8"/>
      <c r="D108" s="28"/>
      <c r="E108" s="8"/>
      <c r="F108" s="8"/>
    </row>
    <row r="109" spans="2:6" x14ac:dyDescent="0.35">
      <c r="B109" s="8"/>
      <c r="C109" s="8"/>
      <c r="D109" s="28"/>
      <c r="E109" s="8"/>
      <c r="F109" s="8"/>
    </row>
    <row r="110" spans="2:6" x14ac:dyDescent="0.35">
      <c r="B110" s="8"/>
      <c r="C110" s="8"/>
      <c r="D110" s="28"/>
      <c r="E110" s="8"/>
      <c r="F110" s="8"/>
    </row>
    <row r="111" spans="2:6" x14ac:dyDescent="0.35">
      <c r="B111" s="8"/>
      <c r="C111" s="8"/>
      <c r="D111" s="28"/>
      <c r="E111" s="8"/>
      <c r="F111" s="8"/>
    </row>
    <row r="112" spans="2:6" x14ac:dyDescent="0.35">
      <c r="B112" s="8"/>
      <c r="C112" s="8"/>
      <c r="D112" s="28"/>
      <c r="E112" s="8"/>
      <c r="F112" s="8"/>
    </row>
    <row r="113" spans="2:6" x14ac:dyDescent="0.35">
      <c r="B113" s="8"/>
      <c r="C113" s="8"/>
      <c r="D113" s="28"/>
      <c r="E113" s="8"/>
      <c r="F113" s="8"/>
    </row>
    <row r="114" spans="2:6" x14ac:dyDescent="0.35">
      <c r="B114" s="8"/>
      <c r="C114" s="8"/>
      <c r="D114" s="28"/>
      <c r="E114" s="8"/>
      <c r="F114" s="8"/>
    </row>
    <row r="115" spans="2:6" x14ac:dyDescent="0.35">
      <c r="B115" s="8"/>
      <c r="C115" s="8"/>
      <c r="D115" s="28"/>
      <c r="E115" s="8"/>
      <c r="F115" s="8"/>
    </row>
    <row r="116" spans="2:6" x14ac:dyDescent="0.35">
      <c r="B116" s="8"/>
      <c r="C116" s="8"/>
      <c r="D116" s="28"/>
      <c r="E116" s="8"/>
      <c r="F116" s="8"/>
    </row>
    <row r="117" spans="2:6" x14ac:dyDescent="0.35">
      <c r="B117" s="8"/>
      <c r="C117" s="8"/>
      <c r="D117" s="28"/>
      <c r="E117" s="8"/>
      <c r="F117" s="8"/>
    </row>
    <row r="118" spans="2:6" x14ac:dyDescent="0.35">
      <c r="B118" s="8"/>
      <c r="C118" s="8"/>
      <c r="D118" s="28"/>
      <c r="E118" s="8"/>
      <c r="F118" s="8"/>
    </row>
    <row r="119" spans="2:6" x14ac:dyDescent="0.35">
      <c r="B119" s="8"/>
      <c r="C119" s="8"/>
      <c r="D119" s="28"/>
      <c r="E119" s="8"/>
      <c r="F119" s="8"/>
    </row>
    <row r="120" spans="2:6" x14ac:dyDescent="0.35">
      <c r="B120" s="8"/>
      <c r="C120" s="8"/>
      <c r="D120" s="28"/>
      <c r="E120" s="8"/>
      <c r="F120" s="8"/>
    </row>
    <row r="121" spans="2:6" x14ac:dyDescent="0.35">
      <c r="B121" s="8"/>
      <c r="C121" s="8"/>
      <c r="D121" s="28"/>
      <c r="E121" s="8"/>
      <c r="F121" s="8"/>
    </row>
    <row r="122" spans="2:6" x14ac:dyDescent="0.35">
      <c r="B122" s="8"/>
      <c r="C122" s="8"/>
      <c r="D122" s="28"/>
      <c r="E122" s="8"/>
      <c r="F122" s="8"/>
    </row>
    <row r="123" spans="2:6" x14ac:dyDescent="0.35">
      <c r="B123" s="8"/>
      <c r="C123" s="8"/>
      <c r="D123" s="28"/>
      <c r="E123" s="8"/>
      <c r="F123" s="8"/>
    </row>
    <row r="124" spans="2:6" x14ac:dyDescent="0.35">
      <c r="B124" s="8"/>
      <c r="C124" s="8"/>
      <c r="D124" s="28"/>
      <c r="E124" s="8"/>
      <c r="F124" s="8"/>
    </row>
    <row r="125" spans="2:6" x14ac:dyDescent="0.35">
      <c r="B125" s="8"/>
      <c r="C125" s="8"/>
      <c r="D125" s="28"/>
      <c r="E125" s="8"/>
      <c r="F125" s="8"/>
    </row>
    <row r="126" spans="2:6" x14ac:dyDescent="0.35">
      <c r="B126" s="8"/>
      <c r="C126" s="8"/>
      <c r="D126" s="28"/>
      <c r="E126" s="8"/>
      <c r="F126" s="8"/>
    </row>
    <row r="127" spans="2:6" x14ac:dyDescent="0.35">
      <c r="B127" s="8"/>
      <c r="C127" s="8"/>
      <c r="D127" s="28"/>
      <c r="E127" s="8"/>
      <c r="F127" s="8"/>
    </row>
    <row r="128" spans="2:6" x14ac:dyDescent="0.35">
      <c r="B128" s="8"/>
      <c r="C128" s="8"/>
      <c r="D128" s="28"/>
      <c r="E128" s="8"/>
      <c r="F128" s="8"/>
    </row>
    <row r="129" spans="2:6" x14ac:dyDescent="0.35">
      <c r="B129" s="8"/>
      <c r="C129" s="8"/>
      <c r="D129" s="28"/>
      <c r="E129" s="8"/>
      <c r="F129" s="8"/>
    </row>
    <row r="130" spans="2:6" x14ac:dyDescent="0.35">
      <c r="B130" s="8"/>
      <c r="C130" s="8"/>
      <c r="D130" s="28"/>
      <c r="E130" s="8"/>
      <c r="F130" s="8"/>
    </row>
    <row r="131" spans="2:6" x14ac:dyDescent="0.35">
      <c r="B131" s="8"/>
      <c r="C131" s="8"/>
      <c r="D131" s="28"/>
      <c r="E131" s="8"/>
      <c r="F131" s="8"/>
    </row>
    <row r="132" spans="2:6" x14ac:dyDescent="0.35">
      <c r="B132" s="8"/>
      <c r="C132" s="8"/>
      <c r="D132" s="28"/>
      <c r="E132" s="8"/>
      <c r="F132" s="8"/>
    </row>
    <row r="133" spans="2:6" x14ac:dyDescent="0.35">
      <c r="B133" s="8"/>
      <c r="C133" s="8"/>
      <c r="D133" s="28"/>
      <c r="E133" s="8"/>
      <c r="F133" s="8"/>
    </row>
    <row r="134" spans="2:6" x14ac:dyDescent="0.35">
      <c r="B134" s="8"/>
      <c r="C134" s="8"/>
      <c r="D134" s="28"/>
      <c r="E134" s="8"/>
      <c r="F134" s="8"/>
    </row>
    <row r="135" spans="2:6" x14ac:dyDescent="0.35">
      <c r="B135" s="8"/>
      <c r="C135" s="8"/>
      <c r="D135" s="28"/>
      <c r="E135" s="8"/>
      <c r="F135" s="8"/>
    </row>
    <row r="136" spans="2:6" x14ac:dyDescent="0.35">
      <c r="B136" s="8"/>
      <c r="C136" s="8"/>
      <c r="D136" s="28"/>
      <c r="E136" s="8"/>
      <c r="F136" s="8"/>
    </row>
    <row r="137" spans="2:6" x14ac:dyDescent="0.35">
      <c r="B137" s="8"/>
      <c r="C137" s="8"/>
      <c r="D137" s="28"/>
      <c r="E137" s="8"/>
      <c r="F137" s="8"/>
    </row>
    <row r="138" spans="2:6" x14ac:dyDescent="0.35">
      <c r="B138" s="8"/>
      <c r="C138" s="8"/>
      <c r="D138" s="28"/>
      <c r="E138" s="8"/>
      <c r="F138" s="8"/>
    </row>
    <row r="139" spans="2:6" x14ac:dyDescent="0.35">
      <c r="B139" s="8"/>
      <c r="C139" s="8"/>
      <c r="D139" s="28"/>
      <c r="E139" s="8"/>
      <c r="F139" s="8"/>
    </row>
    <row r="140" spans="2:6" x14ac:dyDescent="0.35">
      <c r="B140" s="8"/>
      <c r="C140" s="8"/>
      <c r="D140" s="28"/>
      <c r="E140" s="8"/>
      <c r="F140" s="8"/>
    </row>
    <row r="141" spans="2:6" x14ac:dyDescent="0.35">
      <c r="B141" s="8"/>
      <c r="C141" s="8"/>
      <c r="D141" s="28"/>
      <c r="E141" s="8"/>
      <c r="F141" s="8"/>
    </row>
    <row r="142" spans="2:6" x14ac:dyDescent="0.35">
      <c r="B142" s="8"/>
      <c r="C142" s="8"/>
      <c r="D142" s="28"/>
      <c r="E142" s="8"/>
      <c r="F142" s="8"/>
    </row>
    <row r="143" spans="2:6" x14ac:dyDescent="0.35">
      <c r="B143" s="8"/>
      <c r="C143" s="8"/>
      <c r="D143" s="28"/>
      <c r="E143" s="8"/>
      <c r="F143" s="8"/>
    </row>
    <row r="144" spans="2:6" x14ac:dyDescent="0.35">
      <c r="B144" s="8"/>
      <c r="C144" s="8"/>
      <c r="D144" s="28"/>
      <c r="E144" s="8"/>
      <c r="F144" s="8"/>
    </row>
    <row r="145" spans="2:6" x14ac:dyDescent="0.35">
      <c r="B145" s="8"/>
      <c r="C145" s="8"/>
      <c r="D145" s="28"/>
      <c r="E145" s="8"/>
      <c r="F145" s="8"/>
    </row>
    <row r="146" spans="2:6" x14ac:dyDescent="0.35">
      <c r="B146" s="8"/>
      <c r="C146" s="8"/>
      <c r="D146" s="28"/>
      <c r="E146" s="8"/>
      <c r="F146" s="8"/>
    </row>
    <row r="147" spans="2:6" x14ac:dyDescent="0.35">
      <c r="B147" s="8"/>
      <c r="C147" s="8"/>
      <c r="D147" s="28"/>
      <c r="E147" s="8"/>
      <c r="F147" s="8"/>
    </row>
    <row r="148" spans="2:6" x14ac:dyDescent="0.35">
      <c r="B148" s="8"/>
      <c r="C148" s="8"/>
      <c r="D148" s="28"/>
      <c r="E148" s="8"/>
      <c r="F148" s="8"/>
    </row>
    <row r="149" spans="2:6" x14ac:dyDescent="0.35">
      <c r="B149" s="8"/>
      <c r="C149" s="8"/>
      <c r="D149" s="28"/>
      <c r="E149" s="8"/>
      <c r="F149" s="8"/>
    </row>
    <row r="150" spans="2:6" x14ac:dyDescent="0.35">
      <c r="B150" s="8"/>
      <c r="C150" s="8"/>
      <c r="D150" s="28"/>
      <c r="E150" s="8"/>
      <c r="F150" s="8"/>
    </row>
    <row r="151" spans="2:6" x14ac:dyDescent="0.35">
      <c r="B151" s="8"/>
      <c r="C151" s="8"/>
      <c r="D151" s="28"/>
      <c r="E151" s="8"/>
      <c r="F151" s="8"/>
    </row>
    <row r="152" spans="2:6" x14ac:dyDescent="0.35">
      <c r="B152" s="8"/>
      <c r="C152" s="8"/>
      <c r="D152" s="28"/>
      <c r="E152" s="8"/>
      <c r="F152" s="8"/>
    </row>
    <row r="153" spans="2:6" x14ac:dyDescent="0.35">
      <c r="B153" s="8"/>
      <c r="C153" s="8"/>
      <c r="D153" s="28"/>
      <c r="E153" s="8"/>
      <c r="F153" s="8"/>
    </row>
    <row r="154" spans="2:6" x14ac:dyDescent="0.35">
      <c r="B154" s="8"/>
      <c r="C154" s="8"/>
      <c r="D154" s="28"/>
      <c r="E154" s="8"/>
      <c r="F154" s="8"/>
    </row>
    <row r="155" spans="2:6" x14ac:dyDescent="0.35">
      <c r="B155" s="8"/>
      <c r="C155" s="8"/>
      <c r="D155" s="28"/>
      <c r="E155" s="8"/>
      <c r="F155" s="8"/>
    </row>
    <row r="156" spans="2:6" x14ac:dyDescent="0.35">
      <c r="B156" s="8"/>
      <c r="C156" s="8"/>
      <c r="D156" s="28"/>
      <c r="E156" s="8"/>
      <c r="F156" s="8"/>
    </row>
    <row r="157" spans="2:6" x14ac:dyDescent="0.35">
      <c r="B157" s="8"/>
      <c r="C157" s="8"/>
      <c r="D157" s="28"/>
      <c r="E157" s="8"/>
      <c r="F157" s="8"/>
    </row>
    <row r="158" spans="2:6" x14ac:dyDescent="0.35">
      <c r="B158" s="8"/>
      <c r="C158" s="8"/>
      <c r="D158" s="28"/>
      <c r="E158" s="8"/>
      <c r="F158" s="8"/>
    </row>
    <row r="159" spans="2:6" x14ac:dyDescent="0.35">
      <c r="B159" s="8"/>
      <c r="C159" s="8"/>
      <c r="D159" s="28"/>
      <c r="E159" s="8"/>
      <c r="F159" s="8"/>
    </row>
    <row r="160" spans="2:6" x14ac:dyDescent="0.35">
      <c r="B160" s="8"/>
      <c r="C160" s="8"/>
      <c r="D160" s="28"/>
      <c r="E160" s="8"/>
      <c r="F160" s="8"/>
    </row>
    <row r="161" spans="2:6" x14ac:dyDescent="0.35">
      <c r="B161" s="8"/>
      <c r="C161" s="8"/>
      <c r="D161" s="28"/>
      <c r="E161" s="8"/>
      <c r="F161" s="8"/>
    </row>
    <row r="162" spans="2:6" x14ac:dyDescent="0.35">
      <c r="B162" s="8"/>
      <c r="C162" s="8"/>
      <c r="D162" s="28"/>
      <c r="E162" s="8"/>
      <c r="F162" s="8"/>
    </row>
    <row r="163" spans="2:6" x14ac:dyDescent="0.35">
      <c r="B163" s="8"/>
      <c r="C163" s="8"/>
      <c r="D163" s="28"/>
      <c r="E163" s="8"/>
      <c r="F163" s="8"/>
    </row>
    <row r="164" spans="2:6" x14ac:dyDescent="0.35">
      <c r="B164" s="8"/>
      <c r="C164" s="8"/>
      <c r="D164" s="28"/>
      <c r="E164" s="8"/>
      <c r="F164" s="8"/>
    </row>
    <row r="165" spans="2:6" x14ac:dyDescent="0.35">
      <c r="B165" s="8"/>
      <c r="C165" s="8"/>
      <c r="D165" s="28"/>
      <c r="E165" s="8"/>
      <c r="F165" s="8"/>
    </row>
    <row r="166" spans="2:6" x14ac:dyDescent="0.35">
      <c r="B166" s="8"/>
      <c r="C166" s="8"/>
      <c r="D166" s="28"/>
      <c r="E166" s="8"/>
      <c r="F166" s="8"/>
    </row>
    <row r="167" spans="2:6" x14ac:dyDescent="0.35">
      <c r="B167" s="8"/>
      <c r="C167" s="8"/>
      <c r="D167" s="28"/>
      <c r="E167" s="8"/>
      <c r="F167" s="8"/>
    </row>
    <row r="168" spans="2:6" x14ac:dyDescent="0.35">
      <c r="B168" s="8"/>
      <c r="C168" s="8"/>
      <c r="D168" s="28"/>
      <c r="E168" s="8"/>
      <c r="F168" s="8"/>
    </row>
    <row r="169" spans="2:6" x14ac:dyDescent="0.35">
      <c r="B169" s="8"/>
      <c r="C169" s="8"/>
      <c r="D169" s="28"/>
      <c r="E169" s="8"/>
      <c r="F169" s="8"/>
    </row>
    <row r="170" spans="2:6" x14ac:dyDescent="0.35">
      <c r="B170" s="8"/>
      <c r="C170" s="8"/>
      <c r="D170" s="28"/>
      <c r="E170" s="8"/>
      <c r="F170" s="8"/>
    </row>
    <row r="171" spans="2:6" x14ac:dyDescent="0.35">
      <c r="B171" s="8"/>
      <c r="C171" s="8"/>
      <c r="D171" s="28"/>
      <c r="E171" s="8"/>
      <c r="F171" s="8"/>
    </row>
    <row r="172" spans="2:6" x14ac:dyDescent="0.35">
      <c r="B172" s="8"/>
      <c r="C172" s="8"/>
      <c r="D172" s="28"/>
      <c r="E172" s="8"/>
      <c r="F172" s="8"/>
    </row>
    <row r="173" spans="2:6" x14ac:dyDescent="0.35">
      <c r="B173" s="8"/>
      <c r="C173" s="8"/>
      <c r="D173" s="28"/>
      <c r="E173" s="8"/>
      <c r="F173" s="8"/>
    </row>
    <row r="174" spans="2:6" x14ac:dyDescent="0.35">
      <c r="B174" s="8"/>
      <c r="C174" s="8"/>
      <c r="D174" s="28"/>
      <c r="E174" s="8"/>
      <c r="F174" s="8"/>
    </row>
    <row r="175" spans="2:6" x14ac:dyDescent="0.35">
      <c r="B175" s="8"/>
      <c r="C175" s="8"/>
      <c r="D175" s="28"/>
      <c r="E175" s="8"/>
      <c r="F175" s="8"/>
    </row>
    <row r="176" spans="2:6" x14ac:dyDescent="0.35">
      <c r="B176" s="8"/>
      <c r="C176" s="8"/>
      <c r="D176" s="28"/>
      <c r="E176" s="8"/>
      <c r="F176" s="8"/>
    </row>
    <row r="177" spans="2:6" x14ac:dyDescent="0.35">
      <c r="B177" s="8"/>
      <c r="C177" s="8"/>
      <c r="D177" s="28"/>
      <c r="E177" s="8"/>
      <c r="F177" s="8"/>
    </row>
    <row r="178" spans="2:6" x14ac:dyDescent="0.35">
      <c r="B178" s="8"/>
      <c r="C178" s="8"/>
      <c r="D178" s="28"/>
      <c r="E178" s="8"/>
      <c r="F178" s="8"/>
    </row>
    <row r="179" spans="2:6" x14ac:dyDescent="0.35">
      <c r="B179" s="8"/>
      <c r="C179" s="8"/>
      <c r="D179" s="28"/>
      <c r="E179" s="8"/>
      <c r="F179" s="8"/>
    </row>
    <row r="180" spans="2:6" x14ac:dyDescent="0.35">
      <c r="B180" s="8"/>
      <c r="C180" s="8"/>
      <c r="D180" s="28"/>
      <c r="E180" s="8"/>
      <c r="F180" s="8"/>
    </row>
    <row r="181" spans="2:6" x14ac:dyDescent="0.35">
      <c r="B181" s="8"/>
      <c r="C181" s="8"/>
      <c r="D181" s="28"/>
      <c r="E181" s="8"/>
      <c r="F181" s="8"/>
    </row>
    <row r="182" spans="2:6" x14ac:dyDescent="0.35">
      <c r="B182" s="8"/>
      <c r="C182" s="8"/>
      <c r="D182" s="28"/>
      <c r="E182" s="8"/>
      <c r="F182" s="8"/>
    </row>
    <row r="183" spans="2:6" x14ac:dyDescent="0.35">
      <c r="B183" s="8"/>
      <c r="C183" s="8"/>
      <c r="D183" s="28"/>
      <c r="E183" s="8"/>
      <c r="F183" s="8"/>
    </row>
    <row r="184" spans="2:6" x14ac:dyDescent="0.35">
      <c r="B184" s="8"/>
      <c r="C184" s="8"/>
      <c r="D184" s="28"/>
      <c r="E184" s="8"/>
      <c r="F184" s="8"/>
    </row>
    <row r="185" spans="2:6" x14ac:dyDescent="0.35">
      <c r="B185" s="8"/>
      <c r="C185" s="8"/>
      <c r="D185" s="28"/>
      <c r="E185" s="8"/>
      <c r="F185" s="8"/>
    </row>
    <row r="186" spans="2:6" x14ac:dyDescent="0.35">
      <c r="B186" s="8"/>
      <c r="C186" s="8"/>
      <c r="D186" s="28"/>
      <c r="E186" s="8"/>
      <c r="F186" s="8"/>
    </row>
    <row r="187" spans="2:6" x14ac:dyDescent="0.35">
      <c r="B187" s="8"/>
      <c r="C187" s="8"/>
      <c r="D187" s="28"/>
      <c r="E187" s="8"/>
      <c r="F187" s="8"/>
    </row>
    <row r="188" spans="2:6" x14ac:dyDescent="0.35">
      <c r="B188" s="8"/>
      <c r="C188" s="8"/>
      <c r="D188" s="28"/>
      <c r="E188" s="8"/>
      <c r="F188" s="8"/>
    </row>
    <row r="189" spans="2:6" x14ac:dyDescent="0.35">
      <c r="B189" s="8"/>
      <c r="C189" s="8"/>
      <c r="D189" s="28"/>
      <c r="E189" s="8"/>
      <c r="F189" s="8"/>
    </row>
    <row r="190" spans="2:6" x14ac:dyDescent="0.35">
      <c r="B190" s="8"/>
      <c r="C190" s="8"/>
      <c r="D190" s="28"/>
      <c r="E190" s="8"/>
      <c r="F190" s="8"/>
    </row>
    <row r="191" spans="2:6" x14ac:dyDescent="0.35">
      <c r="B191" s="8"/>
      <c r="C191" s="8"/>
      <c r="D191" s="28"/>
      <c r="E191" s="8"/>
      <c r="F191" s="8"/>
    </row>
    <row r="192" spans="2:6" x14ac:dyDescent="0.35">
      <c r="B192" s="8"/>
      <c r="C192" s="8"/>
      <c r="D192" s="28"/>
      <c r="E192" s="8"/>
      <c r="F192" s="8"/>
    </row>
    <row r="193" spans="2:6" x14ac:dyDescent="0.35">
      <c r="B193" s="8"/>
      <c r="C193" s="8"/>
      <c r="D193" s="28"/>
      <c r="E193" s="8"/>
      <c r="F193" s="8"/>
    </row>
    <row r="194" spans="2:6" x14ac:dyDescent="0.35">
      <c r="B194" s="8"/>
      <c r="C194" s="8"/>
      <c r="D194" s="28"/>
      <c r="E194" s="8"/>
      <c r="F194" s="8"/>
    </row>
    <row r="195" spans="2:6" x14ac:dyDescent="0.35">
      <c r="B195" s="8"/>
      <c r="C195" s="8"/>
      <c r="D195" s="28"/>
      <c r="E195" s="8"/>
      <c r="F195" s="8"/>
    </row>
    <row r="196" spans="2:6" x14ac:dyDescent="0.35">
      <c r="B196" s="8"/>
      <c r="C196" s="8"/>
      <c r="D196" s="28"/>
      <c r="E196" s="8"/>
      <c r="F196" s="8"/>
    </row>
    <row r="197" spans="2:6" x14ac:dyDescent="0.35">
      <c r="B197" s="8"/>
      <c r="C197" s="8"/>
      <c r="D197" s="28"/>
      <c r="E197" s="8"/>
      <c r="F197" s="8"/>
    </row>
    <row r="198" spans="2:6" x14ac:dyDescent="0.35">
      <c r="B198" s="8"/>
      <c r="C198" s="8"/>
      <c r="D198" s="28"/>
      <c r="E198" s="8"/>
      <c r="F198" s="8"/>
    </row>
    <row r="199" spans="2:6" x14ac:dyDescent="0.35">
      <c r="B199" s="8"/>
      <c r="C199" s="8"/>
      <c r="D199" s="28"/>
      <c r="E199" s="8"/>
      <c r="F199" s="8"/>
    </row>
    <row r="200" spans="2:6" x14ac:dyDescent="0.35">
      <c r="B200" s="8"/>
      <c r="C200" s="8"/>
      <c r="D200" s="28"/>
      <c r="E200" s="8"/>
      <c r="F200" s="8"/>
    </row>
    <row r="201" spans="2:6" x14ac:dyDescent="0.35">
      <c r="B201" s="8"/>
      <c r="C201" s="8"/>
      <c r="D201" s="28"/>
      <c r="E201" s="8"/>
      <c r="F201" s="8"/>
    </row>
    <row r="202" spans="2:6" x14ac:dyDescent="0.35">
      <c r="B202" s="8"/>
      <c r="C202" s="8"/>
      <c r="D202" s="28"/>
      <c r="E202" s="8"/>
      <c r="F202" s="8"/>
    </row>
    <row r="203" spans="2:6" x14ac:dyDescent="0.35">
      <c r="B203" s="8"/>
      <c r="C203" s="8"/>
      <c r="D203" s="28"/>
      <c r="E203" s="8"/>
      <c r="F203" s="8"/>
    </row>
    <row r="204" spans="2:6" x14ac:dyDescent="0.35">
      <c r="B204" s="8"/>
      <c r="C204" s="8"/>
      <c r="D204" s="28"/>
      <c r="E204" s="8"/>
      <c r="F204" s="8"/>
    </row>
    <row r="205" spans="2:6" x14ac:dyDescent="0.35">
      <c r="B205" s="8"/>
      <c r="C205" s="8"/>
      <c r="D205" s="28"/>
      <c r="E205" s="8"/>
      <c r="F205" s="8"/>
    </row>
    <row r="206" spans="2:6" x14ac:dyDescent="0.35">
      <c r="B206" s="8"/>
      <c r="C206" s="8"/>
      <c r="D206" s="28"/>
      <c r="E206" s="8"/>
      <c r="F206" s="8"/>
    </row>
    <row r="207" spans="2:6" x14ac:dyDescent="0.35">
      <c r="B207" s="8"/>
      <c r="C207" s="8"/>
      <c r="D207" s="28"/>
      <c r="E207" s="8"/>
      <c r="F207" s="8"/>
    </row>
    <row r="208" spans="2:6" x14ac:dyDescent="0.35">
      <c r="B208" s="8"/>
      <c r="C208" s="8"/>
      <c r="D208" s="28"/>
      <c r="E208" s="8"/>
      <c r="F208" s="8"/>
    </row>
    <row r="209" spans="2:6" x14ac:dyDescent="0.35">
      <c r="B209" s="8"/>
      <c r="C209" s="8"/>
      <c r="D209" s="28"/>
      <c r="E209" s="8"/>
      <c r="F209" s="8"/>
    </row>
    <row r="210" spans="2:6" x14ac:dyDescent="0.35">
      <c r="B210" s="8"/>
      <c r="C210" s="8"/>
      <c r="D210" s="28"/>
      <c r="E210" s="8"/>
      <c r="F210" s="8"/>
    </row>
    <row r="211" spans="2:6" x14ac:dyDescent="0.35">
      <c r="B211" s="8"/>
      <c r="C211" s="8"/>
      <c r="D211" s="28"/>
      <c r="E211" s="8"/>
      <c r="F211" s="8"/>
    </row>
    <row r="212" spans="2:6" x14ac:dyDescent="0.35">
      <c r="B212" s="8"/>
      <c r="C212" s="8"/>
      <c r="D212" s="28"/>
      <c r="E212" s="8"/>
      <c r="F212" s="8"/>
    </row>
    <row r="213" spans="2:6" x14ac:dyDescent="0.35">
      <c r="B213" s="8"/>
      <c r="C213" s="8"/>
      <c r="D213" s="28"/>
      <c r="E213" s="8"/>
      <c r="F213" s="8"/>
    </row>
    <row r="214" spans="2:6" x14ac:dyDescent="0.35">
      <c r="B214" s="8"/>
      <c r="C214" s="8"/>
      <c r="D214" s="28"/>
      <c r="E214" s="8"/>
      <c r="F214" s="8"/>
    </row>
    <row r="215" spans="2:6" x14ac:dyDescent="0.35">
      <c r="B215" s="8"/>
      <c r="C215" s="8"/>
      <c r="D215" s="28"/>
      <c r="E215" s="8"/>
      <c r="F215" s="8"/>
    </row>
    <row r="216" spans="2:6" x14ac:dyDescent="0.35">
      <c r="B216" s="8"/>
      <c r="C216" s="8"/>
      <c r="D216" s="28"/>
      <c r="E216" s="8"/>
      <c r="F216" s="8"/>
    </row>
    <row r="217" spans="2:6" x14ac:dyDescent="0.35">
      <c r="B217" s="8"/>
      <c r="C217" s="8"/>
      <c r="D217" s="28"/>
      <c r="E217" s="8"/>
      <c r="F217" s="8"/>
    </row>
    <row r="218" spans="2:6" x14ac:dyDescent="0.35">
      <c r="B218" s="8"/>
      <c r="C218" s="8"/>
      <c r="D218" s="28"/>
      <c r="E218" s="8"/>
      <c r="F218" s="8"/>
    </row>
    <row r="219" spans="2:6" x14ac:dyDescent="0.35">
      <c r="B219" s="8"/>
      <c r="C219" s="8"/>
      <c r="D219" s="28"/>
      <c r="E219" s="8"/>
      <c r="F219" s="8"/>
    </row>
    <row r="220" spans="2:6" x14ac:dyDescent="0.35">
      <c r="B220" s="8"/>
      <c r="C220" s="8"/>
      <c r="D220" s="28"/>
      <c r="E220" s="8"/>
      <c r="F220" s="8"/>
    </row>
    <row r="221" spans="2:6" x14ac:dyDescent="0.35">
      <c r="B221" s="8"/>
      <c r="C221" s="8"/>
      <c r="D221" s="28"/>
      <c r="E221" s="8"/>
      <c r="F221" s="8"/>
    </row>
    <row r="222" spans="2:6" x14ac:dyDescent="0.35">
      <c r="B222" s="8"/>
      <c r="C222" s="8"/>
      <c r="D222" s="28"/>
      <c r="E222" s="8"/>
      <c r="F222" s="8"/>
    </row>
    <row r="223" spans="2:6" x14ac:dyDescent="0.35">
      <c r="B223" s="8"/>
      <c r="C223" s="8"/>
      <c r="D223" s="28"/>
      <c r="E223" s="8"/>
      <c r="F223" s="8"/>
    </row>
    <row r="224" spans="2:6" x14ac:dyDescent="0.35">
      <c r="B224" s="8"/>
      <c r="C224" s="8"/>
      <c r="D224" s="28"/>
      <c r="E224" s="8"/>
      <c r="F224" s="8"/>
    </row>
    <row r="225" spans="2:6" x14ac:dyDescent="0.35">
      <c r="B225" s="8"/>
      <c r="C225" s="8"/>
      <c r="D225" s="28"/>
      <c r="E225" s="8"/>
      <c r="F225" s="8"/>
    </row>
    <row r="226" spans="2:6" x14ac:dyDescent="0.35">
      <c r="B226" s="8"/>
      <c r="C226" s="8"/>
      <c r="D226" s="28"/>
      <c r="E226" s="8"/>
      <c r="F226" s="8"/>
    </row>
    <row r="227" spans="2:6" x14ac:dyDescent="0.35">
      <c r="B227" s="8"/>
      <c r="C227" s="8"/>
      <c r="D227" s="28"/>
      <c r="E227" s="8"/>
      <c r="F227" s="8"/>
    </row>
    <row r="228" spans="2:6" x14ac:dyDescent="0.35">
      <c r="B228" s="8"/>
      <c r="C228" s="8"/>
      <c r="D228" s="28"/>
      <c r="E228" s="8"/>
      <c r="F228" s="8"/>
    </row>
    <row r="229" spans="2:6" x14ac:dyDescent="0.35">
      <c r="B229" s="8"/>
      <c r="C229" s="8"/>
      <c r="D229" s="28"/>
      <c r="E229" s="8"/>
      <c r="F229" s="8"/>
    </row>
    <row r="230" spans="2:6" x14ac:dyDescent="0.35">
      <c r="B230" s="8"/>
      <c r="C230" s="8"/>
      <c r="D230" s="28"/>
      <c r="E230" s="8"/>
      <c r="F230" s="8"/>
    </row>
    <row r="231" spans="2:6" x14ac:dyDescent="0.35">
      <c r="B231" s="8"/>
      <c r="C231" s="8"/>
      <c r="D231" s="28"/>
      <c r="E231" s="8"/>
      <c r="F231" s="8"/>
    </row>
    <row r="232" spans="2:6" x14ac:dyDescent="0.35">
      <c r="B232" s="8"/>
      <c r="C232" s="8"/>
      <c r="D232" s="28"/>
      <c r="E232" s="8"/>
      <c r="F232" s="8"/>
    </row>
    <row r="233" spans="2:6" x14ac:dyDescent="0.35">
      <c r="B233" s="8"/>
      <c r="C233" s="8"/>
      <c r="D233" s="28"/>
      <c r="E233" s="8"/>
      <c r="F233" s="8"/>
    </row>
    <row r="234" spans="2:6" x14ac:dyDescent="0.35">
      <c r="B234" s="8"/>
      <c r="C234" s="8"/>
      <c r="D234" s="28"/>
      <c r="E234" s="8"/>
      <c r="F234" s="8"/>
    </row>
    <row r="235" spans="2:6" x14ac:dyDescent="0.35">
      <c r="B235" s="8"/>
      <c r="C235" s="8"/>
      <c r="D235" s="28"/>
      <c r="E235" s="8"/>
      <c r="F235" s="8"/>
    </row>
    <row r="236" spans="2:6" x14ac:dyDescent="0.35">
      <c r="B236" s="8"/>
      <c r="C236" s="8"/>
      <c r="D236" s="28"/>
      <c r="E236" s="8"/>
      <c r="F236" s="8"/>
    </row>
    <row r="237" spans="2:6" x14ac:dyDescent="0.35">
      <c r="B237" s="8"/>
      <c r="C237" s="8"/>
      <c r="D237" s="28"/>
      <c r="E237" s="8"/>
      <c r="F237" s="8"/>
    </row>
    <row r="238" spans="2:6" x14ac:dyDescent="0.35">
      <c r="B238" s="8"/>
      <c r="C238" s="8"/>
      <c r="D238" s="28"/>
      <c r="E238" s="8"/>
      <c r="F238" s="8"/>
    </row>
    <row r="239" spans="2:6" x14ac:dyDescent="0.35">
      <c r="B239" s="8"/>
      <c r="C239" s="8"/>
      <c r="D239" s="28"/>
      <c r="E239" s="8"/>
      <c r="F239" s="8"/>
    </row>
    <row r="240" spans="2:6" x14ac:dyDescent="0.35">
      <c r="B240" s="8"/>
      <c r="C240" s="8"/>
      <c r="D240" s="28"/>
      <c r="E240" s="8"/>
      <c r="F240" s="8"/>
    </row>
    <row r="241" spans="2:6" x14ac:dyDescent="0.35">
      <c r="B241" s="8"/>
      <c r="C241" s="8"/>
      <c r="D241" s="28"/>
      <c r="E241" s="8"/>
      <c r="F241" s="8"/>
    </row>
    <row r="242" spans="2:6" x14ac:dyDescent="0.35">
      <c r="B242" s="8"/>
      <c r="C242" s="8"/>
      <c r="D242" s="28"/>
      <c r="E242" s="8"/>
      <c r="F242" s="8"/>
    </row>
    <row r="243" spans="2:6" x14ac:dyDescent="0.35">
      <c r="B243" s="8"/>
      <c r="C243" s="8"/>
      <c r="D243" s="28"/>
      <c r="E243" s="8"/>
      <c r="F243" s="8"/>
    </row>
    <row r="244" spans="2:6" x14ac:dyDescent="0.35">
      <c r="B244" s="8"/>
      <c r="C244" s="8"/>
      <c r="D244" s="28"/>
      <c r="E244" s="8"/>
      <c r="F244" s="8"/>
    </row>
    <row r="245" spans="2:6" x14ac:dyDescent="0.35">
      <c r="B245" s="8"/>
      <c r="C245" s="8"/>
      <c r="D245" s="28"/>
      <c r="E245" s="8"/>
      <c r="F245" s="8"/>
    </row>
    <row r="246" spans="2:6" x14ac:dyDescent="0.35">
      <c r="B246" s="8"/>
      <c r="C246" s="8"/>
      <c r="D246" s="28"/>
      <c r="E246" s="8"/>
      <c r="F246" s="8"/>
    </row>
    <row r="247" spans="2:6" x14ac:dyDescent="0.35">
      <c r="B247" s="8"/>
      <c r="C247" s="8"/>
      <c r="D247" s="28"/>
      <c r="E247" s="8"/>
      <c r="F247" s="8"/>
    </row>
    <row r="248" spans="2:6" x14ac:dyDescent="0.35">
      <c r="B248" s="8"/>
      <c r="C248" s="8"/>
      <c r="D248" s="28"/>
      <c r="E248" s="8"/>
      <c r="F248" s="8"/>
    </row>
    <row r="249" spans="2:6" x14ac:dyDescent="0.35">
      <c r="B249" s="8"/>
      <c r="C249" s="8"/>
      <c r="D249" s="28"/>
      <c r="E249" s="8"/>
      <c r="F249" s="8"/>
    </row>
    <row r="250" spans="2:6" x14ac:dyDescent="0.35">
      <c r="B250" s="8"/>
      <c r="C250" s="8"/>
      <c r="D250" s="28"/>
      <c r="E250" s="8"/>
      <c r="F250" s="8"/>
    </row>
    <row r="251" spans="2:6" x14ac:dyDescent="0.35">
      <c r="B251" s="8"/>
      <c r="C251" s="8"/>
      <c r="D251" s="28"/>
      <c r="E251" s="8"/>
      <c r="F251" s="8"/>
    </row>
    <row r="252" spans="2:6" x14ac:dyDescent="0.35">
      <c r="B252" s="8"/>
      <c r="C252" s="8"/>
      <c r="D252" s="28"/>
      <c r="E252" s="8"/>
      <c r="F252" s="8"/>
    </row>
    <row r="253" spans="2:6" x14ac:dyDescent="0.35">
      <c r="B253" s="8"/>
      <c r="C253" s="8"/>
      <c r="D253" s="28"/>
      <c r="E253" s="8"/>
      <c r="F253" s="8"/>
    </row>
    <row r="254" spans="2:6" x14ac:dyDescent="0.35">
      <c r="B254" s="8"/>
      <c r="C254" s="8"/>
      <c r="D254" s="28"/>
      <c r="E254" s="8"/>
      <c r="F254" s="8"/>
    </row>
    <row r="255" spans="2:6" x14ac:dyDescent="0.35">
      <c r="B255" s="8"/>
      <c r="C255" s="8"/>
      <c r="D255" s="28"/>
      <c r="E255" s="8"/>
      <c r="F255" s="8"/>
    </row>
    <row r="256" spans="2:6" x14ac:dyDescent="0.35">
      <c r="B256" s="8"/>
      <c r="C256" s="8"/>
      <c r="D256" s="28"/>
      <c r="E256" s="8"/>
      <c r="F256" s="8"/>
    </row>
    <row r="257" spans="2:6" x14ac:dyDescent="0.35">
      <c r="B257" s="8"/>
      <c r="C257" s="8"/>
      <c r="D257" s="28"/>
      <c r="E257" s="8"/>
      <c r="F257" s="8"/>
    </row>
    <row r="258" spans="2:6" x14ac:dyDescent="0.35">
      <c r="B258" s="8"/>
      <c r="C258" s="8"/>
      <c r="D258" s="28"/>
      <c r="E258" s="8"/>
      <c r="F258" s="8"/>
    </row>
    <row r="259" spans="2:6" x14ac:dyDescent="0.35">
      <c r="B259" s="8"/>
      <c r="C259" s="8"/>
      <c r="D259" s="28"/>
      <c r="E259" s="8"/>
      <c r="F259" s="8"/>
    </row>
    <row r="260" spans="2:6" x14ac:dyDescent="0.35">
      <c r="B260" s="8"/>
      <c r="C260" s="8"/>
      <c r="D260" s="28"/>
      <c r="E260" s="8"/>
      <c r="F260" s="8"/>
    </row>
    <row r="261" spans="2:6" x14ac:dyDescent="0.35">
      <c r="B261" s="8"/>
      <c r="C261" s="8"/>
      <c r="D261" s="28"/>
      <c r="E261" s="8"/>
      <c r="F261" s="8"/>
    </row>
    <row r="262" spans="2:6" x14ac:dyDescent="0.35">
      <c r="B262" s="8"/>
      <c r="C262" s="8"/>
      <c r="D262" s="28"/>
      <c r="E262" s="8"/>
      <c r="F262" s="8"/>
    </row>
    <row r="263" spans="2:6" x14ac:dyDescent="0.35">
      <c r="B263" s="8"/>
      <c r="C263" s="8"/>
      <c r="D263" s="28"/>
      <c r="E263" s="8"/>
      <c r="F263" s="8"/>
    </row>
    <row r="264" spans="2:6" x14ac:dyDescent="0.35">
      <c r="B264" s="8"/>
      <c r="C264" s="8"/>
      <c r="D264" s="28"/>
      <c r="E264" s="8"/>
      <c r="F264" s="8"/>
    </row>
    <row r="265" spans="2:6" x14ac:dyDescent="0.35">
      <c r="B265" s="8"/>
      <c r="C265" s="8"/>
      <c r="D265" s="28"/>
      <c r="E265" s="8"/>
      <c r="F265" s="8"/>
    </row>
    <row r="266" spans="2:6" x14ac:dyDescent="0.35">
      <c r="B266" s="8"/>
      <c r="C266" s="8"/>
      <c r="D266" s="28"/>
      <c r="E266" s="8"/>
      <c r="F266" s="8"/>
    </row>
    <row r="267" spans="2:6" x14ac:dyDescent="0.35">
      <c r="B267" s="8"/>
      <c r="C267" s="8"/>
      <c r="D267" s="28"/>
      <c r="E267" s="8"/>
      <c r="F267" s="8"/>
    </row>
    <row r="268" spans="2:6" x14ac:dyDescent="0.35">
      <c r="B268" s="8"/>
      <c r="C268" s="8"/>
      <c r="D268" s="28"/>
      <c r="E268" s="8"/>
      <c r="F268" s="8"/>
    </row>
    <row r="269" spans="2:6" x14ac:dyDescent="0.35">
      <c r="B269" s="8"/>
      <c r="C269" s="8"/>
      <c r="D269" s="28"/>
      <c r="E269" s="8"/>
      <c r="F269" s="8"/>
    </row>
    <row r="270" spans="2:6" x14ac:dyDescent="0.35">
      <c r="B270" s="8"/>
      <c r="C270" s="8"/>
      <c r="D270" s="28"/>
      <c r="E270" s="8"/>
      <c r="F270" s="8"/>
    </row>
    <row r="271" spans="2:6" x14ac:dyDescent="0.35">
      <c r="B271" s="8"/>
      <c r="C271" s="8"/>
      <c r="D271" s="28"/>
      <c r="E271" s="8"/>
      <c r="F271" s="8"/>
    </row>
    <row r="272" spans="2:6" x14ac:dyDescent="0.35">
      <c r="B272" s="8"/>
      <c r="C272" s="8"/>
      <c r="D272" s="28"/>
      <c r="E272" s="8"/>
      <c r="F272" s="8"/>
    </row>
    <row r="273" spans="2:6" x14ac:dyDescent="0.35">
      <c r="B273" s="8"/>
      <c r="C273" s="8"/>
      <c r="D273" s="28"/>
      <c r="E273" s="8"/>
      <c r="F273" s="8"/>
    </row>
    <row r="274" spans="2:6" x14ac:dyDescent="0.35">
      <c r="B274" s="8"/>
      <c r="C274" s="8"/>
      <c r="D274" s="28"/>
      <c r="E274" s="8"/>
      <c r="F274" s="8"/>
    </row>
    <row r="275" spans="2:6" x14ac:dyDescent="0.35">
      <c r="B275" s="8"/>
      <c r="C275" s="8"/>
      <c r="D275" s="28"/>
      <c r="E275" s="8"/>
      <c r="F275" s="8"/>
    </row>
    <row r="276" spans="2:6" x14ac:dyDescent="0.35">
      <c r="B276" s="8"/>
      <c r="C276" s="8"/>
      <c r="D276" s="28"/>
      <c r="E276" s="8"/>
      <c r="F276" s="8"/>
    </row>
    <row r="277" spans="2:6" x14ac:dyDescent="0.35">
      <c r="B277" s="8"/>
      <c r="C277" s="8"/>
      <c r="D277" s="28"/>
      <c r="E277" s="8"/>
      <c r="F277" s="8"/>
    </row>
    <row r="278" spans="2:6" x14ac:dyDescent="0.35">
      <c r="B278" s="8"/>
      <c r="C278" s="8"/>
      <c r="D278" s="28"/>
      <c r="E278" s="8"/>
      <c r="F278" s="8"/>
    </row>
    <row r="279" spans="2:6" x14ac:dyDescent="0.35">
      <c r="B279" s="8"/>
      <c r="C279" s="8"/>
      <c r="D279" s="28"/>
      <c r="E279" s="8"/>
      <c r="F279" s="8"/>
    </row>
    <row r="280" spans="2:6" x14ac:dyDescent="0.35">
      <c r="B280" s="8"/>
      <c r="C280" s="8"/>
      <c r="D280" s="28"/>
      <c r="E280" s="8"/>
      <c r="F280" s="8"/>
    </row>
    <row r="281" spans="2:6" x14ac:dyDescent="0.35">
      <c r="B281" s="8"/>
      <c r="C281" s="8"/>
      <c r="D281" s="28"/>
      <c r="E281" s="8"/>
      <c r="F281" s="8"/>
    </row>
    <row r="282" spans="2:6" x14ac:dyDescent="0.35">
      <c r="B282" s="8"/>
      <c r="C282" s="8"/>
      <c r="D282" s="28"/>
      <c r="E282" s="8"/>
      <c r="F282" s="8"/>
    </row>
    <row r="283" spans="2:6" x14ac:dyDescent="0.35">
      <c r="B283" s="8"/>
      <c r="C283" s="8"/>
      <c r="D283" s="28"/>
      <c r="E283" s="8"/>
      <c r="F283" s="8"/>
    </row>
    <row r="284" spans="2:6" x14ac:dyDescent="0.35">
      <c r="B284" s="8"/>
      <c r="C284" s="8"/>
      <c r="D284" s="28"/>
      <c r="E284" s="8"/>
      <c r="F284" s="8"/>
    </row>
    <row r="285" spans="2:6" x14ac:dyDescent="0.35">
      <c r="B285" s="8"/>
      <c r="C285" s="8"/>
      <c r="D285" s="28"/>
      <c r="E285" s="8"/>
      <c r="F285" s="8"/>
    </row>
    <row r="286" spans="2:6" x14ac:dyDescent="0.35">
      <c r="B286" s="8"/>
      <c r="C286" s="8"/>
      <c r="D286" s="28"/>
      <c r="E286" s="8"/>
      <c r="F286" s="8"/>
    </row>
    <row r="287" spans="2:6" x14ac:dyDescent="0.35">
      <c r="B287" s="8"/>
      <c r="C287" s="8"/>
      <c r="D287" s="28"/>
      <c r="E287" s="8"/>
      <c r="F287" s="8"/>
    </row>
    <row r="288" spans="2:6" x14ac:dyDescent="0.35">
      <c r="B288" s="8"/>
      <c r="C288" s="8"/>
      <c r="D288" s="28"/>
      <c r="E288" s="8"/>
      <c r="F288" s="8"/>
    </row>
    <row r="289" spans="2:6" x14ac:dyDescent="0.35">
      <c r="B289" s="8"/>
      <c r="C289" s="8"/>
      <c r="D289" s="28"/>
      <c r="E289" s="8"/>
      <c r="F289" s="8"/>
    </row>
    <row r="290" spans="2:6" x14ac:dyDescent="0.35">
      <c r="B290" s="8"/>
      <c r="C290" s="8"/>
      <c r="D290" s="28"/>
      <c r="E290" s="8"/>
      <c r="F290" s="8"/>
    </row>
    <row r="291" spans="2:6" x14ac:dyDescent="0.35">
      <c r="B291" s="8"/>
      <c r="C291" s="8"/>
      <c r="D291" s="28"/>
      <c r="E291" s="8"/>
      <c r="F291" s="8"/>
    </row>
    <row r="292" spans="2:6" x14ac:dyDescent="0.35">
      <c r="B292" s="8"/>
      <c r="C292" s="8"/>
      <c r="D292" s="28"/>
      <c r="E292" s="8"/>
      <c r="F292" s="8"/>
    </row>
    <row r="293" spans="2:6" x14ac:dyDescent="0.35">
      <c r="B293" s="8"/>
      <c r="C293" s="8"/>
      <c r="D293" s="28"/>
      <c r="E293" s="8"/>
      <c r="F293" s="8"/>
    </row>
    <row r="294" spans="2:6" x14ac:dyDescent="0.35">
      <c r="B294" s="8"/>
      <c r="C294" s="8"/>
      <c r="D294" s="28"/>
      <c r="E294" s="8"/>
      <c r="F294" s="8"/>
    </row>
    <row r="295" spans="2:6" x14ac:dyDescent="0.35">
      <c r="B295" s="8"/>
      <c r="C295" s="8"/>
      <c r="D295" s="28"/>
      <c r="E295" s="8"/>
      <c r="F295" s="8"/>
    </row>
    <row r="296" spans="2:6" x14ac:dyDescent="0.35">
      <c r="B296" s="8"/>
      <c r="C296" s="8"/>
      <c r="D296" s="28"/>
      <c r="E296" s="8"/>
      <c r="F296" s="8"/>
    </row>
    <row r="297" spans="2:6" x14ac:dyDescent="0.35">
      <c r="B297" s="8"/>
      <c r="C297" s="8"/>
      <c r="D297" s="28"/>
      <c r="E297" s="8"/>
      <c r="F297" s="8"/>
    </row>
    <row r="298" spans="2:6" x14ac:dyDescent="0.35">
      <c r="B298" s="8"/>
      <c r="C298" s="8"/>
      <c r="D298" s="28"/>
      <c r="E298" s="8"/>
      <c r="F298" s="8"/>
    </row>
    <row r="299" spans="2:6" x14ac:dyDescent="0.35">
      <c r="B299" s="8"/>
      <c r="C299" s="8"/>
      <c r="D299" s="28"/>
      <c r="E299" s="8"/>
      <c r="F299" s="8"/>
    </row>
    <row r="300" spans="2:6" x14ac:dyDescent="0.35">
      <c r="B300" s="8"/>
      <c r="C300" s="8"/>
      <c r="D300" s="28"/>
      <c r="E300" s="8"/>
      <c r="F300" s="8"/>
    </row>
    <row r="301" spans="2:6" x14ac:dyDescent="0.35">
      <c r="B301" s="8"/>
      <c r="C301" s="8"/>
      <c r="D301" s="28"/>
      <c r="E301" s="8"/>
      <c r="F301" s="8"/>
    </row>
    <row r="302" spans="2:6" x14ac:dyDescent="0.35">
      <c r="B302" s="8"/>
      <c r="C302" s="8"/>
      <c r="D302" s="28"/>
      <c r="E302" s="8"/>
      <c r="F302" s="8"/>
    </row>
    <row r="303" spans="2:6" x14ac:dyDescent="0.35">
      <c r="B303" s="8"/>
      <c r="C303" s="8"/>
      <c r="D303" s="28"/>
      <c r="E303" s="8"/>
      <c r="F303" s="8"/>
    </row>
    <row r="304" spans="2:6" x14ac:dyDescent="0.35">
      <c r="B304" s="8"/>
      <c r="C304" s="8"/>
      <c r="D304" s="28"/>
      <c r="E304" s="8"/>
      <c r="F304" s="8"/>
    </row>
    <row r="305" spans="2:6" x14ac:dyDescent="0.35">
      <c r="B305" s="8"/>
      <c r="C305" s="8"/>
      <c r="D305" s="28"/>
      <c r="E305" s="8"/>
      <c r="F305" s="8"/>
    </row>
    <row r="306" spans="2:6" x14ac:dyDescent="0.35">
      <c r="B306" s="8"/>
      <c r="C306" s="8"/>
      <c r="D306" s="28"/>
      <c r="E306" s="8"/>
      <c r="F306" s="8"/>
    </row>
    <row r="307" spans="2:6" x14ac:dyDescent="0.35">
      <c r="B307" s="8"/>
      <c r="C307" s="8"/>
      <c r="D307" s="28"/>
      <c r="E307" s="8"/>
      <c r="F307" s="8"/>
    </row>
    <row r="308" spans="2:6" x14ac:dyDescent="0.35">
      <c r="B308" s="8"/>
      <c r="C308" s="8"/>
      <c r="D308" s="28"/>
      <c r="E308" s="8"/>
      <c r="F308" s="8"/>
    </row>
    <row r="309" spans="2:6" x14ac:dyDescent="0.35">
      <c r="B309" s="8"/>
      <c r="C309" s="8"/>
      <c r="D309" s="28"/>
      <c r="E309" s="8"/>
      <c r="F309" s="8"/>
    </row>
    <row r="310" spans="2:6" x14ac:dyDescent="0.35">
      <c r="B310" s="8"/>
      <c r="C310" s="8"/>
      <c r="D310" s="28"/>
      <c r="E310" s="8"/>
      <c r="F310" s="8"/>
    </row>
    <row r="311" spans="2:6" x14ac:dyDescent="0.35">
      <c r="B311" s="8"/>
      <c r="C311" s="8"/>
      <c r="D311" s="28"/>
      <c r="E311" s="8"/>
      <c r="F311" s="8"/>
    </row>
    <row r="312" spans="2:6" x14ac:dyDescent="0.35">
      <c r="B312" s="8"/>
      <c r="C312" s="8"/>
      <c r="D312" s="28"/>
      <c r="E312" s="8"/>
      <c r="F312" s="8"/>
    </row>
    <row r="313" spans="2:6" x14ac:dyDescent="0.35">
      <c r="B313" s="8"/>
      <c r="C313" s="8"/>
      <c r="D313" s="28"/>
      <c r="E313" s="8"/>
      <c r="F313" s="8"/>
    </row>
    <row r="314" spans="2:6" x14ac:dyDescent="0.35">
      <c r="B314" s="8"/>
      <c r="C314" s="8"/>
      <c r="D314" s="28"/>
      <c r="E314" s="8"/>
      <c r="F314" s="8"/>
    </row>
    <row r="315" spans="2:6" x14ac:dyDescent="0.35">
      <c r="B315" s="8"/>
      <c r="C315" s="8"/>
      <c r="D315" s="28"/>
      <c r="E315" s="8"/>
      <c r="F315" s="8"/>
    </row>
    <row r="316" spans="2:6" x14ac:dyDescent="0.35">
      <c r="B316" s="8"/>
      <c r="C316" s="8"/>
      <c r="D316" s="28"/>
      <c r="E316" s="8"/>
      <c r="F316" s="8"/>
    </row>
    <row r="317" spans="2:6" x14ac:dyDescent="0.35">
      <c r="B317" s="8"/>
      <c r="C317" s="8"/>
      <c r="D317" s="28"/>
      <c r="E317" s="8"/>
      <c r="F317" s="8"/>
    </row>
    <row r="318" spans="2:6" x14ac:dyDescent="0.35">
      <c r="B318" s="8"/>
      <c r="C318" s="8"/>
      <c r="D318" s="28"/>
      <c r="E318" s="8"/>
      <c r="F318" s="8"/>
    </row>
    <row r="319" spans="2:6" x14ac:dyDescent="0.35">
      <c r="B319" s="8"/>
      <c r="C319" s="8"/>
      <c r="D319" s="28"/>
      <c r="E319" s="8"/>
      <c r="F319" s="8"/>
    </row>
    <row r="320" spans="2:6" x14ac:dyDescent="0.35">
      <c r="B320" s="8"/>
      <c r="C320" s="8"/>
      <c r="D320" s="28"/>
      <c r="E320" s="8"/>
      <c r="F320" s="8"/>
    </row>
    <row r="321" spans="2:6" x14ac:dyDescent="0.35">
      <c r="B321" s="8"/>
      <c r="C321" s="8"/>
      <c r="D321" s="28"/>
      <c r="E321" s="8"/>
      <c r="F321" s="8"/>
    </row>
    <row r="322" spans="2:6" x14ac:dyDescent="0.35">
      <c r="B322" s="8"/>
      <c r="C322" s="8"/>
      <c r="D322" s="28"/>
      <c r="E322" s="8"/>
      <c r="F322" s="8"/>
    </row>
    <row r="323" spans="2:6" x14ac:dyDescent="0.35">
      <c r="B323" s="8"/>
      <c r="C323" s="8"/>
      <c r="D323" s="28"/>
      <c r="E323" s="8"/>
      <c r="F323" s="8"/>
    </row>
    <row r="324" spans="2:6" x14ac:dyDescent="0.35">
      <c r="B324" s="8"/>
      <c r="C324" s="8"/>
      <c r="D324" s="28"/>
      <c r="E324" s="8"/>
      <c r="F324" s="8"/>
    </row>
    <row r="325" spans="2:6" x14ac:dyDescent="0.35">
      <c r="B325" s="8"/>
      <c r="C325" s="8"/>
      <c r="D325" s="28"/>
      <c r="E325" s="8"/>
      <c r="F325" s="8"/>
    </row>
    <row r="326" spans="2:6" x14ac:dyDescent="0.35">
      <c r="B326" s="8"/>
      <c r="C326" s="8"/>
      <c r="D326" s="28"/>
      <c r="E326" s="8"/>
      <c r="F326" s="8"/>
    </row>
    <row r="327" spans="2:6" x14ac:dyDescent="0.35">
      <c r="B327" s="8"/>
      <c r="C327" s="8"/>
      <c r="D327" s="28"/>
      <c r="E327" s="8"/>
      <c r="F327" s="8"/>
    </row>
    <row r="328" spans="2:6" x14ac:dyDescent="0.35">
      <c r="B328" s="8"/>
      <c r="C328" s="8"/>
      <c r="D328" s="28"/>
      <c r="E328" s="8"/>
      <c r="F328" s="8"/>
    </row>
    <row r="329" spans="2:6" x14ac:dyDescent="0.35">
      <c r="B329" s="8"/>
      <c r="C329" s="8"/>
      <c r="D329" s="28"/>
      <c r="E329" s="8"/>
      <c r="F329" s="8"/>
    </row>
    <row r="330" spans="2:6" x14ac:dyDescent="0.35">
      <c r="B330" s="8"/>
      <c r="C330" s="8"/>
      <c r="D330" s="28"/>
      <c r="E330" s="8"/>
      <c r="F330" s="8"/>
    </row>
    <row r="331" spans="2:6" x14ac:dyDescent="0.35">
      <c r="B331" s="8"/>
      <c r="C331" s="8"/>
      <c r="D331" s="28"/>
      <c r="E331" s="8"/>
      <c r="F331" s="8"/>
    </row>
    <row r="332" spans="2:6" x14ac:dyDescent="0.35">
      <c r="B332" s="8"/>
      <c r="C332" s="8"/>
      <c r="D332" s="28"/>
      <c r="E332" s="8"/>
      <c r="F332" s="8"/>
    </row>
    <row r="333" spans="2:6" x14ac:dyDescent="0.35">
      <c r="B333" s="8"/>
      <c r="C333" s="8"/>
      <c r="D333" s="28"/>
      <c r="E333" s="8"/>
      <c r="F333" s="8"/>
    </row>
    <row r="334" spans="2:6" x14ac:dyDescent="0.35">
      <c r="B334" s="8"/>
      <c r="C334" s="8"/>
      <c r="D334" s="28"/>
      <c r="E334" s="8"/>
      <c r="F334" s="8"/>
    </row>
    <row r="335" spans="2:6" x14ac:dyDescent="0.35">
      <c r="B335" s="8"/>
      <c r="C335" s="8"/>
      <c r="D335" s="28"/>
      <c r="E335" s="8"/>
      <c r="F335" s="8"/>
    </row>
    <row r="336" spans="2:6" x14ac:dyDescent="0.35">
      <c r="B336" s="8"/>
      <c r="C336" s="8"/>
      <c r="D336" s="28"/>
      <c r="E336" s="8"/>
      <c r="F336" s="8"/>
    </row>
    <row r="337" spans="2:6" x14ac:dyDescent="0.35">
      <c r="B337" s="8"/>
      <c r="C337" s="8"/>
      <c r="D337" s="28"/>
      <c r="E337" s="8"/>
      <c r="F337" s="8"/>
    </row>
    <row r="338" spans="2:6" x14ac:dyDescent="0.35">
      <c r="B338" s="8"/>
      <c r="C338" s="8"/>
      <c r="D338" s="28"/>
      <c r="E338" s="8"/>
      <c r="F338" s="8"/>
    </row>
    <row r="339" spans="2:6" x14ac:dyDescent="0.35">
      <c r="B339" s="8"/>
      <c r="C339" s="8"/>
      <c r="D339" s="28"/>
      <c r="E339" s="8"/>
      <c r="F339" s="8"/>
    </row>
    <row r="340" spans="2:6" x14ac:dyDescent="0.35">
      <c r="B340" s="8"/>
      <c r="C340" s="8"/>
      <c r="D340" s="28"/>
      <c r="E340" s="8"/>
      <c r="F340" s="8"/>
    </row>
    <row r="341" spans="2:6" x14ac:dyDescent="0.35">
      <c r="B341" s="8"/>
      <c r="C341" s="8"/>
      <c r="D341" s="28"/>
      <c r="E341" s="8"/>
      <c r="F341" s="8"/>
    </row>
    <row r="342" spans="2:6" x14ac:dyDescent="0.35">
      <c r="B342" s="8"/>
      <c r="C342" s="8"/>
      <c r="D342" s="28"/>
      <c r="E342" s="8"/>
      <c r="F342" s="8"/>
    </row>
    <row r="343" spans="2:6" x14ac:dyDescent="0.35">
      <c r="B343" s="8"/>
      <c r="C343" s="8"/>
      <c r="D343" s="28"/>
      <c r="E343" s="8"/>
      <c r="F343" s="8"/>
    </row>
    <row r="344" spans="2:6" x14ac:dyDescent="0.35">
      <c r="B344" s="8"/>
      <c r="C344" s="8"/>
      <c r="D344" s="28"/>
      <c r="E344" s="8"/>
      <c r="F344" s="8"/>
    </row>
    <row r="345" spans="2:6" x14ac:dyDescent="0.35">
      <c r="B345" s="8"/>
      <c r="C345" s="8"/>
      <c r="D345" s="28"/>
      <c r="E345" s="8"/>
      <c r="F345" s="8"/>
    </row>
    <row r="346" spans="2:6" x14ac:dyDescent="0.35">
      <c r="B346" s="8"/>
      <c r="C346" s="8"/>
      <c r="D346" s="28"/>
      <c r="E346" s="8"/>
      <c r="F346" s="8"/>
    </row>
    <row r="347" spans="2:6" x14ac:dyDescent="0.35">
      <c r="B347" s="8"/>
      <c r="C347" s="8"/>
      <c r="D347" s="28"/>
      <c r="E347" s="8"/>
      <c r="F347" s="8"/>
    </row>
    <row r="348" spans="2:6" x14ac:dyDescent="0.35">
      <c r="B348" s="8"/>
      <c r="C348" s="8"/>
      <c r="D348" s="28"/>
      <c r="E348" s="8"/>
      <c r="F348" s="8"/>
    </row>
    <row r="349" spans="2:6" x14ac:dyDescent="0.35">
      <c r="B349" s="8"/>
      <c r="C349" s="8"/>
      <c r="D349" s="28"/>
      <c r="E349" s="8"/>
      <c r="F349" s="8"/>
    </row>
    <row r="350" spans="2:6" x14ac:dyDescent="0.35">
      <c r="B350" s="8"/>
      <c r="C350" s="8"/>
      <c r="D350" s="28"/>
      <c r="E350" s="8"/>
      <c r="F350" s="8"/>
    </row>
    <row r="351" spans="2:6" x14ac:dyDescent="0.35">
      <c r="B351" s="8"/>
      <c r="C351" s="8"/>
      <c r="D351" s="28"/>
      <c r="E351" s="8"/>
      <c r="F351" s="8"/>
    </row>
    <row r="352" spans="2:6" x14ac:dyDescent="0.35">
      <c r="B352" s="8"/>
      <c r="C352" s="8"/>
      <c r="D352" s="28"/>
      <c r="E352" s="8"/>
      <c r="F352" s="8"/>
    </row>
    <row r="353" spans="2:6" x14ac:dyDescent="0.35">
      <c r="B353" s="8"/>
      <c r="C353" s="8"/>
      <c r="D353" s="28"/>
      <c r="E353" s="8"/>
      <c r="F353" s="8"/>
    </row>
    <row r="354" spans="2:6" x14ac:dyDescent="0.35">
      <c r="B354" s="8"/>
      <c r="C354" s="8"/>
      <c r="D354" s="28"/>
      <c r="E354" s="8"/>
      <c r="F354" s="8"/>
    </row>
    <row r="355" spans="2:6" x14ac:dyDescent="0.35">
      <c r="B355" s="8"/>
      <c r="C355" s="8"/>
      <c r="D355" s="28"/>
      <c r="E355" s="8"/>
      <c r="F355" s="8"/>
    </row>
    <row r="356" spans="2:6" x14ac:dyDescent="0.35">
      <c r="B356" s="8"/>
      <c r="C356" s="8"/>
      <c r="D356" s="28"/>
      <c r="E356" s="8"/>
      <c r="F356" s="8"/>
    </row>
    <row r="357" spans="2:6" x14ac:dyDescent="0.35">
      <c r="B357" s="8"/>
      <c r="C357" s="8"/>
      <c r="D357" s="28"/>
      <c r="E357" s="8"/>
      <c r="F357" s="8"/>
    </row>
    <row r="358" spans="2:6" x14ac:dyDescent="0.35">
      <c r="B358" s="8"/>
      <c r="C358" s="8"/>
      <c r="D358" s="28"/>
      <c r="E358" s="8"/>
      <c r="F358" s="8"/>
    </row>
    <row r="359" spans="2:6" x14ac:dyDescent="0.35">
      <c r="B359" s="8"/>
      <c r="C359" s="8"/>
      <c r="D359" s="28"/>
      <c r="E359" s="8"/>
      <c r="F359" s="8"/>
    </row>
    <row r="360" spans="2:6" x14ac:dyDescent="0.35">
      <c r="B360" s="8"/>
      <c r="C360" s="8"/>
      <c r="D360" s="28"/>
      <c r="E360" s="8"/>
      <c r="F360" s="8"/>
    </row>
    <row r="361" spans="2:6" x14ac:dyDescent="0.35">
      <c r="B361" s="8"/>
      <c r="C361" s="8"/>
      <c r="D361" s="28"/>
      <c r="E361" s="8"/>
      <c r="F361" s="8"/>
    </row>
    <row r="362" spans="2:6" x14ac:dyDescent="0.35">
      <c r="B362" s="8"/>
      <c r="C362" s="8"/>
      <c r="D362" s="28"/>
      <c r="E362" s="8"/>
      <c r="F362" s="8"/>
    </row>
    <row r="363" spans="2:6" x14ac:dyDescent="0.35">
      <c r="B363" s="8"/>
      <c r="C363" s="8"/>
      <c r="D363" s="28"/>
      <c r="E363" s="8"/>
      <c r="F363" s="8"/>
    </row>
    <row r="364" spans="2:6" x14ac:dyDescent="0.35">
      <c r="B364" s="8"/>
      <c r="C364" s="8"/>
      <c r="D364" s="28"/>
      <c r="E364" s="8"/>
      <c r="F364" s="8"/>
    </row>
    <row r="365" spans="2:6" x14ac:dyDescent="0.35">
      <c r="B365" s="8"/>
      <c r="C365" s="8"/>
      <c r="D365" s="28"/>
      <c r="E365" s="8"/>
      <c r="F365" s="8"/>
    </row>
    <row r="366" spans="2:6" x14ac:dyDescent="0.35">
      <c r="B366" s="8"/>
      <c r="C366" s="8"/>
      <c r="D366" s="28"/>
      <c r="E366" s="8"/>
      <c r="F366" s="8"/>
    </row>
    <row r="367" spans="2:6" x14ac:dyDescent="0.35">
      <c r="B367" s="8"/>
      <c r="C367" s="8"/>
      <c r="D367" s="28"/>
      <c r="E367" s="8"/>
      <c r="F367" s="8"/>
    </row>
    <row r="368" spans="2:6" x14ac:dyDescent="0.35">
      <c r="B368" s="8"/>
      <c r="C368" s="8"/>
      <c r="D368" s="28"/>
      <c r="E368" s="8"/>
      <c r="F368" s="8"/>
    </row>
    <row r="369" spans="2:6" x14ac:dyDescent="0.35">
      <c r="B369" s="8"/>
      <c r="C369" s="8"/>
      <c r="D369" s="28"/>
      <c r="E369" s="8"/>
      <c r="F369" s="8"/>
    </row>
    <row r="370" spans="2:6" x14ac:dyDescent="0.35">
      <c r="B370" s="8"/>
      <c r="C370" s="8"/>
      <c r="D370" s="28"/>
      <c r="E370" s="8"/>
      <c r="F370" s="8"/>
    </row>
    <row r="371" spans="2:6" x14ac:dyDescent="0.35">
      <c r="B371" s="8"/>
      <c r="C371" s="8"/>
      <c r="D371" s="28"/>
      <c r="E371" s="8"/>
      <c r="F371" s="8"/>
    </row>
    <row r="372" spans="2:6" x14ac:dyDescent="0.35">
      <c r="B372" s="8"/>
      <c r="C372" s="8"/>
      <c r="D372" s="28"/>
      <c r="E372" s="8"/>
      <c r="F372" s="8"/>
    </row>
    <row r="373" spans="2:6" x14ac:dyDescent="0.35">
      <c r="B373" s="8"/>
      <c r="C373" s="8"/>
      <c r="D373" s="28"/>
      <c r="E373" s="8"/>
      <c r="F373" s="8"/>
    </row>
    <row r="374" spans="2:6" x14ac:dyDescent="0.35">
      <c r="B374" s="8"/>
      <c r="C374" s="8"/>
      <c r="D374" s="28"/>
      <c r="E374" s="8"/>
      <c r="F374" s="8"/>
    </row>
    <row r="375" spans="2:6" x14ac:dyDescent="0.35">
      <c r="B375" s="8"/>
      <c r="C375" s="8"/>
      <c r="D375" s="28"/>
      <c r="E375" s="8"/>
      <c r="F375" s="8"/>
    </row>
    <row r="376" spans="2:6" x14ac:dyDescent="0.35">
      <c r="B376" s="8"/>
      <c r="C376" s="8"/>
      <c r="D376" s="28"/>
      <c r="E376" s="8"/>
      <c r="F376" s="8"/>
    </row>
    <row r="377" spans="2:6" x14ac:dyDescent="0.35">
      <c r="B377" s="8"/>
      <c r="C377" s="8"/>
      <c r="D377" s="28"/>
      <c r="E377" s="8"/>
      <c r="F377" s="8"/>
    </row>
    <row r="378" spans="2:6" x14ac:dyDescent="0.35">
      <c r="B378" s="8"/>
      <c r="C378" s="8"/>
      <c r="D378" s="28"/>
      <c r="E378" s="8"/>
      <c r="F378" s="8"/>
    </row>
    <row r="379" spans="2:6" x14ac:dyDescent="0.35">
      <c r="B379" s="8"/>
      <c r="C379" s="8"/>
      <c r="D379" s="28"/>
      <c r="E379" s="8"/>
      <c r="F379" s="8"/>
    </row>
    <row r="380" spans="2:6" x14ac:dyDescent="0.35">
      <c r="B380" s="8"/>
      <c r="C380" s="8"/>
      <c r="D380" s="28"/>
      <c r="E380" s="8"/>
      <c r="F380" s="8"/>
    </row>
    <row r="381" spans="2:6" x14ac:dyDescent="0.35">
      <c r="B381" s="8"/>
      <c r="C381" s="8"/>
      <c r="D381" s="28"/>
      <c r="E381" s="8"/>
      <c r="F381" s="8"/>
    </row>
    <row r="382" spans="2:6" x14ac:dyDescent="0.35">
      <c r="B382" s="8"/>
      <c r="C382" s="8"/>
      <c r="D382" s="28"/>
      <c r="E382" s="8"/>
      <c r="F382" s="8"/>
    </row>
    <row r="383" spans="2:6" x14ac:dyDescent="0.35">
      <c r="B383" s="8"/>
      <c r="C383" s="8"/>
      <c r="D383" s="28"/>
      <c r="E383" s="8"/>
      <c r="F383" s="8"/>
    </row>
    <row r="384" spans="2:6" x14ac:dyDescent="0.35">
      <c r="B384" s="8"/>
      <c r="C384" s="8"/>
      <c r="D384" s="28"/>
      <c r="E384" s="8"/>
      <c r="F384" s="8"/>
    </row>
    <row r="385" spans="2:6" x14ac:dyDescent="0.35">
      <c r="B385" s="8"/>
      <c r="C385" s="8"/>
      <c r="D385" s="28"/>
      <c r="E385" s="8"/>
      <c r="F385" s="8"/>
    </row>
    <row r="386" spans="2:6" x14ac:dyDescent="0.35">
      <c r="B386" s="8"/>
      <c r="C386" s="8"/>
      <c r="D386" s="28"/>
      <c r="E386" s="8"/>
      <c r="F386" s="8"/>
    </row>
    <row r="387" spans="2:6" x14ac:dyDescent="0.35">
      <c r="B387" s="8"/>
      <c r="C387" s="8"/>
      <c r="D387" s="28"/>
      <c r="E387" s="8"/>
      <c r="F387" s="8"/>
    </row>
    <row r="388" spans="2:6" x14ac:dyDescent="0.35">
      <c r="B388" s="8"/>
      <c r="C388" s="8"/>
      <c r="D388" s="28"/>
      <c r="E388" s="8"/>
      <c r="F388" s="8"/>
    </row>
    <row r="389" spans="2:6" x14ac:dyDescent="0.35">
      <c r="B389" s="8"/>
      <c r="C389" s="8"/>
      <c r="D389" s="28"/>
      <c r="E389" s="8"/>
      <c r="F389" s="8"/>
    </row>
    <row r="390" spans="2:6" x14ac:dyDescent="0.35">
      <c r="B390" s="8"/>
      <c r="C390" s="8"/>
      <c r="D390" s="28"/>
      <c r="E390" s="8"/>
      <c r="F390" s="8"/>
    </row>
    <row r="391" spans="2:6" x14ac:dyDescent="0.35">
      <c r="B391" s="8"/>
      <c r="C391" s="8"/>
      <c r="D391" s="28"/>
      <c r="E391" s="8"/>
      <c r="F391" s="8"/>
    </row>
    <row r="392" spans="2:6" x14ac:dyDescent="0.35">
      <c r="B392" s="8"/>
      <c r="C392" s="8"/>
      <c r="D392" s="28"/>
      <c r="E392" s="8"/>
      <c r="F392" s="8"/>
    </row>
    <row r="393" spans="2:6" x14ac:dyDescent="0.35">
      <c r="B393" s="8"/>
      <c r="C393" s="8"/>
      <c r="D393" s="28"/>
      <c r="E393" s="8"/>
      <c r="F393" s="8"/>
    </row>
    <row r="394" spans="2:6" x14ac:dyDescent="0.35">
      <c r="B394" s="8"/>
      <c r="C394" s="8"/>
      <c r="D394" s="28"/>
      <c r="E394" s="8"/>
      <c r="F394" s="8"/>
    </row>
    <row r="395" spans="2:6" x14ac:dyDescent="0.35">
      <c r="B395" s="8"/>
      <c r="C395" s="8"/>
      <c r="D395" s="28"/>
      <c r="E395" s="8"/>
      <c r="F395" s="8"/>
    </row>
    <row r="396" spans="2:6" x14ac:dyDescent="0.35">
      <c r="B396" s="8"/>
      <c r="C396" s="8"/>
      <c r="D396" s="28"/>
      <c r="E396" s="8"/>
      <c r="F396" s="8"/>
    </row>
    <row r="397" spans="2:6" x14ac:dyDescent="0.35">
      <c r="B397" s="8"/>
      <c r="C397" s="8"/>
      <c r="D397" s="28"/>
      <c r="E397" s="8"/>
      <c r="F397" s="8"/>
    </row>
    <row r="398" spans="2:6" x14ac:dyDescent="0.35">
      <c r="B398" s="8"/>
      <c r="C398" s="8"/>
      <c r="D398" s="28"/>
      <c r="E398" s="8"/>
      <c r="F398" s="8"/>
    </row>
    <row r="399" spans="2:6" x14ac:dyDescent="0.35">
      <c r="B399" s="8"/>
      <c r="C399" s="8"/>
      <c r="D399" s="28"/>
      <c r="E399" s="8"/>
      <c r="F399" s="8"/>
    </row>
    <row r="400" spans="2:6" x14ac:dyDescent="0.35">
      <c r="B400" s="8"/>
      <c r="C400" s="8"/>
      <c r="D400" s="28"/>
      <c r="E400" s="8"/>
      <c r="F400" s="8"/>
    </row>
    <row r="401" spans="2:6" x14ac:dyDescent="0.35">
      <c r="B401" s="8"/>
      <c r="C401" s="8"/>
      <c r="D401" s="28"/>
      <c r="E401" s="8"/>
      <c r="F401" s="8"/>
    </row>
    <row r="402" spans="2:6" x14ac:dyDescent="0.35">
      <c r="B402" s="8"/>
      <c r="C402" s="8"/>
      <c r="D402" s="28"/>
      <c r="E402" s="8"/>
      <c r="F402" s="8"/>
    </row>
    <row r="403" spans="2:6" x14ac:dyDescent="0.35">
      <c r="B403" s="8"/>
      <c r="C403" s="8"/>
      <c r="D403" s="28"/>
      <c r="E403" s="8"/>
      <c r="F403" s="8"/>
    </row>
    <row r="404" spans="2:6" x14ac:dyDescent="0.35">
      <c r="B404" s="8"/>
      <c r="C404" s="8"/>
      <c r="D404" s="28"/>
      <c r="E404" s="8"/>
      <c r="F404" s="8"/>
    </row>
    <row r="405" spans="2:6" x14ac:dyDescent="0.35">
      <c r="B405" s="8"/>
      <c r="C405" s="8"/>
      <c r="D405" s="28"/>
      <c r="E405" s="8"/>
      <c r="F405" s="8"/>
    </row>
    <row r="406" spans="2:6" x14ac:dyDescent="0.35">
      <c r="B406" s="8"/>
      <c r="C406" s="8"/>
      <c r="D406" s="28"/>
      <c r="E406" s="8"/>
      <c r="F406" s="8"/>
    </row>
    <row r="407" spans="2:6" x14ac:dyDescent="0.35">
      <c r="B407" s="8"/>
      <c r="C407" s="8"/>
      <c r="D407" s="28"/>
      <c r="E407" s="8"/>
      <c r="F407" s="8"/>
    </row>
    <row r="408" spans="2:6" x14ac:dyDescent="0.35">
      <c r="B408" s="8"/>
      <c r="C408" s="8"/>
      <c r="D408" s="28"/>
      <c r="E408" s="8"/>
      <c r="F408" s="8"/>
    </row>
    <row r="409" spans="2:6" x14ac:dyDescent="0.35">
      <c r="B409" s="8"/>
      <c r="C409" s="8"/>
      <c r="D409" s="28"/>
      <c r="E409" s="8"/>
      <c r="F409" s="8"/>
    </row>
    <row r="410" spans="2:6" x14ac:dyDescent="0.35">
      <c r="B410" s="8"/>
      <c r="C410" s="8"/>
      <c r="D410" s="28"/>
      <c r="E410" s="8"/>
      <c r="F410" s="8"/>
    </row>
    <row r="411" spans="2:6" x14ac:dyDescent="0.35">
      <c r="B411" s="8"/>
      <c r="C411" s="8"/>
      <c r="D411" s="28"/>
      <c r="E411" s="8"/>
      <c r="F411" s="8"/>
    </row>
    <row r="412" spans="2:6" x14ac:dyDescent="0.35">
      <c r="B412" s="8"/>
      <c r="C412" s="8"/>
      <c r="D412" s="28"/>
      <c r="E412" s="8"/>
      <c r="F412" s="8"/>
    </row>
    <row r="413" spans="2:6" x14ac:dyDescent="0.35">
      <c r="B413" s="8"/>
      <c r="C413" s="8"/>
      <c r="D413" s="28"/>
      <c r="E413" s="8"/>
      <c r="F413" s="8"/>
    </row>
    <row r="414" spans="2:6" x14ac:dyDescent="0.35">
      <c r="B414" s="8"/>
      <c r="C414" s="8"/>
      <c r="D414" s="28"/>
      <c r="E414" s="8"/>
      <c r="F414" s="8"/>
    </row>
    <row r="415" spans="2:6" x14ac:dyDescent="0.35">
      <c r="B415" s="8"/>
      <c r="C415" s="8"/>
      <c r="D415" s="28"/>
      <c r="E415" s="8"/>
      <c r="F415" s="8"/>
    </row>
    <row r="416" spans="2:6" x14ac:dyDescent="0.35">
      <c r="B416" s="8"/>
      <c r="C416" s="8"/>
      <c r="D416" s="28"/>
      <c r="E416" s="8"/>
      <c r="F416" s="8"/>
    </row>
    <row r="417" spans="2:6" x14ac:dyDescent="0.35">
      <c r="B417" s="8"/>
      <c r="C417" s="8"/>
      <c r="D417" s="28"/>
      <c r="E417" s="8"/>
      <c r="F417" s="8"/>
    </row>
    <row r="418" spans="2:6" x14ac:dyDescent="0.35">
      <c r="B418" s="8"/>
      <c r="C418" s="8"/>
      <c r="D418" s="28"/>
      <c r="E418" s="8"/>
      <c r="F418" s="8"/>
    </row>
    <row r="419" spans="2:6" x14ac:dyDescent="0.35">
      <c r="B419" s="8"/>
      <c r="C419" s="8"/>
      <c r="D419" s="28"/>
      <c r="E419" s="8"/>
      <c r="F419" s="8"/>
    </row>
    <row r="420" spans="2:6" x14ac:dyDescent="0.35">
      <c r="B420" s="8"/>
      <c r="C420" s="8"/>
      <c r="D420" s="28"/>
      <c r="E420" s="8"/>
      <c r="F420" s="8"/>
    </row>
    <row r="421" spans="2:6" x14ac:dyDescent="0.35">
      <c r="B421" s="8"/>
      <c r="C421" s="8"/>
      <c r="D421" s="28"/>
      <c r="E421" s="8"/>
      <c r="F421" s="8"/>
    </row>
    <row r="422" spans="2:6" x14ac:dyDescent="0.35">
      <c r="B422" s="8"/>
      <c r="C422" s="8"/>
      <c r="D422" s="28"/>
      <c r="E422" s="8"/>
      <c r="F422" s="8"/>
    </row>
    <row r="423" spans="2:6" x14ac:dyDescent="0.35">
      <c r="B423" s="8"/>
      <c r="C423" s="8"/>
      <c r="D423" s="28"/>
      <c r="E423" s="8"/>
      <c r="F423" s="8"/>
    </row>
    <row r="424" spans="2:6" x14ac:dyDescent="0.35">
      <c r="B424" s="8"/>
      <c r="C424" s="8"/>
      <c r="D424" s="28"/>
      <c r="E424" s="8"/>
      <c r="F424" s="8"/>
    </row>
    <row r="425" spans="2:6" x14ac:dyDescent="0.35">
      <c r="B425" s="8"/>
      <c r="C425" s="8"/>
      <c r="D425" s="28"/>
      <c r="E425" s="8"/>
      <c r="F425" s="8"/>
    </row>
    <row r="426" spans="2:6" x14ac:dyDescent="0.35">
      <c r="B426" s="8"/>
      <c r="C426" s="8"/>
      <c r="D426" s="28"/>
      <c r="E426" s="8"/>
      <c r="F426" s="8"/>
    </row>
    <row r="427" spans="2:6" x14ac:dyDescent="0.35">
      <c r="B427" s="8"/>
      <c r="C427" s="8"/>
      <c r="D427" s="28"/>
      <c r="E427" s="8"/>
      <c r="F427" s="8"/>
    </row>
    <row r="428" spans="2:6" x14ac:dyDescent="0.35">
      <c r="B428" s="8"/>
      <c r="C428" s="8"/>
      <c r="D428" s="28"/>
      <c r="E428" s="8"/>
      <c r="F428" s="8"/>
    </row>
    <row r="429" spans="2:6" x14ac:dyDescent="0.35">
      <c r="B429" s="8"/>
      <c r="C429" s="8"/>
      <c r="D429" s="28"/>
      <c r="E429" s="8"/>
      <c r="F429" s="8"/>
    </row>
    <row r="430" spans="2:6" x14ac:dyDescent="0.35">
      <c r="B430" s="8"/>
      <c r="C430" s="8"/>
      <c r="D430" s="28"/>
      <c r="E430" s="8"/>
      <c r="F430" s="8"/>
    </row>
    <row r="431" spans="2:6" x14ac:dyDescent="0.35">
      <c r="B431" s="8"/>
      <c r="C431" s="8"/>
      <c r="D431" s="28"/>
      <c r="E431" s="8"/>
      <c r="F431" s="8"/>
    </row>
    <row r="432" spans="2:6" x14ac:dyDescent="0.35">
      <c r="B432" s="8"/>
      <c r="C432" s="8"/>
      <c r="D432" s="28"/>
      <c r="E432" s="8"/>
      <c r="F432" s="8"/>
    </row>
    <row r="433" spans="2:6" x14ac:dyDescent="0.35">
      <c r="B433" s="8"/>
      <c r="C433" s="8"/>
      <c r="D433" s="28"/>
      <c r="E433" s="8"/>
      <c r="F433" s="8"/>
    </row>
    <row r="434" spans="2:6" x14ac:dyDescent="0.35">
      <c r="B434" s="8"/>
      <c r="C434" s="8"/>
      <c r="D434" s="28"/>
      <c r="E434" s="8"/>
      <c r="F434" s="8"/>
    </row>
    <row r="435" spans="2:6" x14ac:dyDescent="0.35">
      <c r="B435" s="8"/>
      <c r="C435" s="8"/>
      <c r="D435" s="28"/>
      <c r="E435" s="8"/>
      <c r="F435" s="8"/>
    </row>
    <row r="436" spans="2:6" x14ac:dyDescent="0.35">
      <c r="B436" s="8"/>
      <c r="C436" s="8"/>
      <c r="D436" s="28"/>
      <c r="E436" s="8"/>
      <c r="F436" s="8"/>
    </row>
    <row r="437" spans="2:6" x14ac:dyDescent="0.35">
      <c r="B437" s="8"/>
      <c r="C437" s="8"/>
      <c r="D437" s="28"/>
      <c r="E437" s="8"/>
      <c r="F437" s="8"/>
    </row>
    <row r="438" spans="2:6" x14ac:dyDescent="0.35">
      <c r="B438" s="8"/>
      <c r="C438" s="8"/>
      <c r="D438" s="28"/>
      <c r="E438" s="8"/>
      <c r="F438" s="8"/>
    </row>
    <row r="439" spans="2:6" x14ac:dyDescent="0.35">
      <c r="B439" s="8"/>
      <c r="C439" s="8"/>
      <c r="D439" s="28"/>
      <c r="E439" s="8"/>
      <c r="F439" s="8"/>
    </row>
    <row r="440" spans="2:6" x14ac:dyDescent="0.35">
      <c r="B440" s="8"/>
      <c r="C440" s="8"/>
      <c r="D440" s="28"/>
      <c r="E440" s="8"/>
      <c r="F440" s="8"/>
    </row>
    <row r="441" spans="2:6" x14ac:dyDescent="0.35">
      <c r="B441" s="8"/>
      <c r="C441" s="8"/>
      <c r="D441" s="28"/>
      <c r="E441" s="8"/>
      <c r="F441" s="8"/>
    </row>
    <row r="442" spans="2:6" x14ac:dyDescent="0.35">
      <c r="B442" s="8"/>
      <c r="C442" s="8"/>
      <c r="D442" s="28"/>
      <c r="E442" s="8"/>
      <c r="F442" s="8"/>
    </row>
    <row r="443" spans="2:6" x14ac:dyDescent="0.35">
      <c r="B443" s="8"/>
      <c r="C443" s="8"/>
      <c r="D443" s="28"/>
      <c r="E443" s="8"/>
      <c r="F443" s="8"/>
    </row>
    <row r="444" spans="2:6" x14ac:dyDescent="0.35">
      <c r="B444" s="8"/>
      <c r="C444" s="8"/>
      <c r="D444" s="28"/>
      <c r="E444" s="8"/>
      <c r="F444" s="8"/>
    </row>
    <row r="445" spans="2:6" x14ac:dyDescent="0.35">
      <c r="B445" s="8"/>
      <c r="C445" s="8"/>
      <c r="D445" s="28"/>
      <c r="E445" s="8"/>
      <c r="F445" s="8"/>
    </row>
    <row r="446" spans="2:6" x14ac:dyDescent="0.35">
      <c r="B446" s="8"/>
      <c r="C446" s="8"/>
      <c r="D446" s="28"/>
      <c r="E446" s="8"/>
      <c r="F446" s="8"/>
    </row>
    <row r="447" spans="2:6" x14ac:dyDescent="0.35">
      <c r="B447" s="8"/>
      <c r="C447" s="8"/>
      <c r="D447" s="28"/>
      <c r="E447" s="8"/>
      <c r="F447" s="8"/>
    </row>
    <row r="448" spans="2:6" x14ac:dyDescent="0.35">
      <c r="B448" s="8"/>
      <c r="C448" s="8"/>
      <c r="D448" s="28"/>
      <c r="E448" s="8"/>
      <c r="F448" s="8"/>
    </row>
    <row r="449" spans="2:6" x14ac:dyDescent="0.35">
      <c r="B449" s="8"/>
      <c r="C449" s="8"/>
      <c r="D449" s="28"/>
      <c r="E449" s="8"/>
      <c r="F449" s="8"/>
    </row>
    <row r="450" spans="2:6" x14ac:dyDescent="0.35">
      <c r="B450" s="8"/>
      <c r="C450" s="8"/>
      <c r="D450" s="28"/>
      <c r="E450" s="8"/>
      <c r="F450" s="8"/>
    </row>
    <row r="451" spans="2:6" x14ac:dyDescent="0.35">
      <c r="B451" s="8"/>
      <c r="C451" s="8"/>
      <c r="D451" s="28"/>
      <c r="E451" s="8"/>
      <c r="F451" s="8"/>
    </row>
    <row r="452" spans="2:6" x14ac:dyDescent="0.35">
      <c r="B452" s="8"/>
      <c r="C452" s="8"/>
      <c r="D452" s="28"/>
      <c r="E452" s="8"/>
      <c r="F452" s="8"/>
    </row>
    <row r="453" spans="2:6" x14ac:dyDescent="0.35">
      <c r="B453" s="8"/>
      <c r="C453" s="8"/>
      <c r="D453" s="28"/>
      <c r="E453" s="8"/>
      <c r="F453" s="8"/>
    </row>
    <row r="454" spans="2:6" x14ac:dyDescent="0.35">
      <c r="B454" s="8"/>
      <c r="C454" s="8"/>
      <c r="D454" s="28"/>
      <c r="E454" s="8"/>
      <c r="F454" s="8"/>
    </row>
    <row r="455" spans="2:6" x14ac:dyDescent="0.35">
      <c r="B455" s="8"/>
      <c r="C455" s="8"/>
      <c r="D455" s="28"/>
      <c r="E455" s="8"/>
      <c r="F455" s="8"/>
    </row>
    <row r="456" spans="2:6" x14ac:dyDescent="0.35">
      <c r="B456" s="8"/>
      <c r="C456" s="8"/>
      <c r="D456" s="28"/>
      <c r="E456" s="8"/>
      <c r="F456" s="8"/>
    </row>
    <row r="457" spans="2:6" x14ac:dyDescent="0.35">
      <c r="B457" s="8"/>
      <c r="C457" s="8"/>
      <c r="D457" s="28"/>
      <c r="E457" s="8"/>
      <c r="F457" s="8"/>
    </row>
    <row r="458" spans="2:6" x14ac:dyDescent="0.35">
      <c r="B458" s="8"/>
      <c r="C458" s="8"/>
      <c r="D458" s="28"/>
      <c r="E458" s="8"/>
      <c r="F458" s="8"/>
    </row>
    <row r="459" spans="2:6" x14ac:dyDescent="0.35">
      <c r="B459" s="8"/>
      <c r="C459" s="8"/>
      <c r="D459" s="28"/>
      <c r="E459" s="8"/>
      <c r="F459" s="8"/>
    </row>
    <row r="460" spans="2:6" x14ac:dyDescent="0.35">
      <c r="B460" s="8"/>
      <c r="C460" s="8"/>
      <c r="D460" s="28"/>
      <c r="E460" s="8"/>
      <c r="F460" s="8"/>
    </row>
    <row r="461" spans="2:6" x14ac:dyDescent="0.35">
      <c r="B461" s="8"/>
      <c r="C461" s="8"/>
      <c r="D461" s="28"/>
      <c r="E461" s="8"/>
      <c r="F461" s="8"/>
    </row>
    <row r="462" spans="2:6" x14ac:dyDescent="0.35">
      <c r="B462" s="8"/>
      <c r="C462" s="8"/>
      <c r="D462" s="28"/>
      <c r="E462" s="8"/>
      <c r="F462" s="8"/>
    </row>
    <row r="463" spans="2:6" x14ac:dyDescent="0.35">
      <c r="B463" s="8"/>
      <c r="C463" s="8"/>
      <c r="D463" s="28"/>
      <c r="E463" s="8"/>
      <c r="F463" s="8"/>
    </row>
    <row r="464" spans="2:6" x14ac:dyDescent="0.35">
      <c r="B464" s="8"/>
      <c r="C464" s="8"/>
      <c r="D464" s="28"/>
      <c r="E464" s="8"/>
      <c r="F464" s="8"/>
    </row>
    <row r="465" spans="2:6" x14ac:dyDescent="0.35">
      <c r="B465" s="8"/>
      <c r="C465" s="8"/>
      <c r="D465" s="28"/>
      <c r="E465" s="8"/>
      <c r="F465" s="8"/>
    </row>
    <row r="466" spans="2:6" x14ac:dyDescent="0.35">
      <c r="B466" s="8"/>
      <c r="C466" s="8"/>
      <c r="D466" s="28"/>
      <c r="E466" s="8"/>
      <c r="F466" s="8"/>
    </row>
    <row r="467" spans="2:6" x14ac:dyDescent="0.35">
      <c r="B467" s="8"/>
      <c r="C467" s="8"/>
      <c r="D467" s="28"/>
      <c r="E467" s="8"/>
      <c r="F467" s="8"/>
    </row>
    <row r="468" spans="2:6" x14ac:dyDescent="0.35">
      <c r="B468" s="8"/>
      <c r="C468" s="8"/>
      <c r="D468" s="28"/>
      <c r="E468" s="8"/>
      <c r="F468" s="8"/>
    </row>
    <row r="469" spans="2:6" x14ac:dyDescent="0.35">
      <c r="B469" s="8"/>
      <c r="C469" s="8"/>
      <c r="D469" s="28"/>
      <c r="E469" s="8"/>
      <c r="F469" s="8"/>
    </row>
    <row r="470" spans="2:6" x14ac:dyDescent="0.35">
      <c r="B470" s="8"/>
      <c r="C470" s="8"/>
      <c r="D470" s="28"/>
      <c r="E470" s="8"/>
      <c r="F470" s="8"/>
    </row>
    <row r="471" spans="2:6" x14ac:dyDescent="0.35">
      <c r="B471" s="8"/>
      <c r="C471" s="8"/>
      <c r="D471" s="28"/>
      <c r="E471" s="8"/>
      <c r="F471" s="8"/>
    </row>
    <row r="472" spans="2:6" x14ac:dyDescent="0.35">
      <c r="B472" s="8"/>
      <c r="C472" s="8"/>
      <c r="D472" s="28"/>
      <c r="E472" s="8"/>
      <c r="F472" s="8"/>
    </row>
    <row r="473" spans="2:6" x14ac:dyDescent="0.35">
      <c r="B473" s="8"/>
      <c r="C473" s="8"/>
      <c r="D473" s="28"/>
      <c r="E473" s="8"/>
      <c r="F473" s="8"/>
    </row>
    <row r="474" spans="2:6" x14ac:dyDescent="0.35">
      <c r="B474" s="8"/>
      <c r="C474" s="8"/>
      <c r="D474" s="28"/>
      <c r="E474" s="8"/>
      <c r="F474" s="8"/>
    </row>
    <row r="475" spans="2:6" x14ac:dyDescent="0.35">
      <c r="B475" s="8"/>
      <c r="C475" s="8"/>
      <c r="D475" s="28"/>
      <c r="E475" s="8"/>
      <c r="F475" s="8"/>
    </row>
    <row r="476" spans="2:6" x14ac:dyDescent="0.35">
      <c r="B476" s="8"/>
      <c r="C476" s="8"/>
      <c r="D476" s="28"/>
      <c r="E476" s="8"/>
      <c r="F476" s="8"/>
    </row>
    <row r="477" spans="2:6" x14ac:dyDescent="0.35">
      <c r="B477" s="8"/>
      <c r="C477" s="8"/>
      <c r="D477" s="28"/>
      <c r="E477" s="8"/>
      <c r="F477" s="8"/>
    </row>
    <row r="478" spans="2:6" x14ac:dyDescent="0.35">
      <c r="B478" s="8"/>
      <c r="C478" s="8"/>
      <c r="D478" s="28"/>
      <c r="E478" s="8"/>
      <c r="F478" s="8"/>
    </row>
    <row r="479" spans="2:6" x14ac:dyDescent="0.35">
      <c r="B479" s="8"/>
      <c r="C479" s="8"/>
      <c r="D479" s="28"/>
      <c r="E479" s="8"/>
      <c r="F479" s="8"/>
    </row>
    <row r="480" spans="2:6" x14ac:dyDescent="0.35">
      <c r="B480" s="8"/>
      <c r="C480" s="8"/>
      <c r="D480" s="28"/>
      <c r="E480" s="8"/>
      <c r="F480" s="8"/>
    </row>
    <row r="481" spans="2:6" x14ac:dyDescent="0.35">
      <c r="B481" s="8"/>
      <c r="C481" s="8"/>
      <c r="D481" s="28"/>
      <c r="E481" s="8"/>
      <c r="F481" s="8"/>
    </row>
    <row r="482" spans="2:6" x14ac:dyDescent="0.35">
      <c r="B482" s="8"/>
      <c r="C482" s="8"/>
      <c r="D482" s="28"/>
      <c r="E482" s="8"/>
      <c r="F482" s="8"/>
    </row>
    <row r="483" spans="2:6" x14ac:dyDescent="0.35">
      <c r="B483" s="8"/>
      <c r="C483" s="8"/>
      <c r="D483" s="28"/>
      <c r="E483" s="8"/>
      <c r="F483" s="8"/>
    </row>
    <row r="484" spans="2:6" x14ac:dyDescent="0.35">
      <c r="B484" s="8"/>
      <c r="C484" s="8"/>
      <c r="D484" s="28"/>
      <c r="E484" s="8"/>
      <c r="F484" s="8"/>
    </row>
    <row r="485" spans="2:6" x14ac:dyDescent="0.35">
      <c r="B485" s="8"/>
      <c r="C485" s="8"/>
      <c r="D485" s="28"/>
      <c r="E485" s="8"/>
      <c r="F485" s="8"/>
    </row>
    <row r="486" spans="2:6" x14ac:dyDescent="0.35">
      <c r="B486" s="8"/>
      <c r="C486" s="8"/>
      <c r="D486" s="28"/>
      <c r="E486" s="8"/>
      <c r="F486" s="8"/>
    </row>
    <row r="487" spans="2:6" x14ac:dyDescent="0.35">
      <c r="B487" s="8"/>
      <c r="C487" s="8"/>
      <c r="D487" s="28"/>
      <c r="E487" s="8"/>
      <c r="F487" s="8"/>
    </row>
    <row r="488" spans="2:6" x14ac:dyDescent="0.35">
      <c r="B488" s="8"/>
      <c r="C488" s="8"/>
      <c r="D488" s="28"/>
      <c r="E488" s="8"/>
      <c r="F488" s="8"/>
    </row>
    <row r="489" spans="2:6" x14ac:dyDescent="0.35">
      <c r="B489" s="8"/>
      <c r="C489" s="8"/>
      <c r="D489" s="28"/>
      <c r="E489" s="8"/>
      <c r="F489" s="8"/>
    </row>
    <row r="490" spans="2:6" x14ac:dyDescent="0.35">
      <c r="B490" s="8"/>
      <c r="C490" s="8"/>
      <c r="D490" s="28"/>
      <c r="E490" s="8"/>
      <c r="F490" s="8"/>
    </row>
    <row r="491" spans="2:6" x14ac:dyDescent="0.35">
      <c r="B491" s="8"/>
      <c r="C491" s="8"/>
      <c r="D491" s="28"/>
      <c r="E491" s="8"/>
      <c r="F491" s="8"/>
    </row>
    <row r="492" spans="2:6" x14ac:dyDescent="0.35">
      <c r="B492" s="8"/>
      <c r="C492" s="8"/>
      <c r="D492" s="28"/>
      <c r="E492" s="8"/>
      <c r="F492" s="8"/>
    </row>
    <row r="493" spans="2:6" x14ac:dyDescent="0.35">
      <c r="B493" s="8"/>
      <c r="C493" s="8"/>
      <c r="D493" s="28"/>
      <c r="E493" s="8"/>
      <c r="F493" s="8"/>
    </row>
    <row r="494" spans="2:6" x14ac:dyDescent="0.35">
      <c r="B494" s="8"/>
      <c r="C494" s="8"/>
      <c r="D494" s="28"/>
      <c r="E494" s="8"/>
      <c r="F494" s="8"/>
    </row>
    <row r="495" spans="2:6" x14ac:dyDescent="0.35">
      <c r="B495" s="8"/>
      <c r="C495" s="8"/>
      <c r="D495" s="28"/>
      <c r="E495" s="8"/>
      <c r="F495" s="8"/>
    </row>
    <row r="496" spans="2:6" x14ac:dyDescent="0.35">
      <c r="B496" s="8"/>
      <c r="C496" s="8"/>
      <c r="D496" s="28"/>
      <c r="E496" s="8"/>
      <c r="F496" s="8"/>
    </row>
    <row r="497" spans="2:6" x14ac:dyDescent="0.35">
      <c r="B497" s="8"/>
      <c r="C497" s="8"/>
      <c r="D497" s="28"/>
      <c r="E497" s="8"/>
      <c r="F497" s="8"/>
    </row>
    <row r="498" spans="2:6" x14ac:dyDescent="0.35">
      <c r="B498" s="8"/>
      <c r="C498" s="8"/>
      <c r="D498" s="28"/>
      <c r="E498" s="8"/>
      <c r="F498" s="8"/>
    </row>
    <row r="499" spans="2:6" x14ac:dyDescent="0.35">
      <c r="B499" s="8"/>
      <c r="C499" s="8"/>
      <c r="D499" s="28"/>
      <c r="E499" s="8"/>
      <c r="F499" s="8"/>
    </row>
    <row r="500" spans="2:6" x14ac:dyDescent="0.35">
      <c r="B500" s="8"/>
      <c r="C500" s="8"/>
      <c r="D500" s="28"/>
      <c r="E500" s="8"/>
      <c r="F500" s="8"/>
    </row>
    <row r="501" spans="2:6" x14ac:dyDescent="0.35">
      <c r="B501" s="8"/>
      <c r="C501" s="8"/>
      <c r="D501" s="28"/>
      <c r="E501" s="8"/>
      <c r="F501" s="8"/>
    </row>
    <row r="502" spans="2:6" x14ac:dyDescent="0.35">
      <c r="B502" s="8"/>
      <c r="C502" s="8"/>
      <c r="D502" s="28"/>
      <c r="E502" s="8"/>
      <c r="F502" s="8"/>
    </row>
    <row r="503" spans="2:6" x14ac:dyDescent="0.35">
      <c r="B503" s="8"/>
      <c r="C503" s="8"/>
      <c r="D503" s="28"/>
      <c r="E503" s="8"/>
      <c r="F503" s="8"/>
    </row>
    <row r="504" spans="2:6" x14ac:dyDescent="0.35">
      <c r="B504" s="8"/>
      <c r="C504" s="8"/>
      <c r="D504" s="28"/>
      <c r="E504" s="8"/>
      <c r="F504" s="8"/>
    </row>
    <row r="505" spans="2:6" x14ac:dyDescent="0.35">
      <c r="B505" s="8"/>
      <c r="C505" s="8"/>
      <c r="D505" s="28"/>
      <c r="E505" s="8"/>
      <c r="F505" s="8"/>
    </row>
    <row r="506" spans="2:6" x14ac:dyDescent="0.35">
      <c r="B506" s="8"/>
      <c r="C506" s="8"/>
      <c r="D506" s="28"/>
      <c r="E506" s="8"/>
      <c r="F506" s="8"/>
    </row>
    <row r="507" spans="2:6" x14ac:dyDescent="0.35">
      <c r="B507" s="8"/>
      <c r="C507" s="8"/>
      <c r="D507" s="28"/>
      <c r="E507" s="8"/>
      <c r="F507" s="8"/>
    </row>
    <row r="508" spans="2:6" x14ac:dyDescent="0.35">
      <c r="B508" s="8"/>
      <c r="C508" s="8"/>
      <c r="D508" s="28"/>
      <c r="E508" s="8"/>
      <c r="F508" s="8"/>
    </row>
    <row r="509" spans="2:6" x14ac:dyDescent="0.35">
      <c r="B509" s="8"/>
      <c r="C509" s="8"/>
      <c r="D509" s="28"/>
      <c r="E509" s="8"/>
      <c r="F509" s="8"/>
    </row>
    <row r="510" spans="2:6" x14ac:dyDescent="0.35">
      <c r="B510" s="8"/>
      <c r="C510" s="8"/>
      <c r="D510" s="28"/>
      <c r="E510" s="8"/>
      <c r="F510" s="8"/>
    </row>
    <row r="511" spans="2:6" x14ac:dyDescent="0.35">
      <c r="B511" s="8"/>
      <c r="C511" s="8"/>
      <c r="D511" s="28"/>
      <c r="E511" s="8"/>
      <c r="F511" s="8"/>
    </row>
    <row r="512" spans="2:6" x14ac:dyDescent="0.35">
      <c r="B512" s="8"/>
      <c r="C512" s="8"/>
      <c r="D512" s="28"/>
      <c r="E512" s="8"/>
      <c r="F512" s="8"/>
    </row>
    <row r="513" spans="2:6" x14ac:dyDescent="0.35">
      <c r="B513" s="8"/>
      <c r="C513" s="8"/>
      <c r="D513" s="28"/>
      <c r="E513" s="8"/>
      <c r="F513" s="8"/>
    </row>
    <row r="514" spans="2:6" x14ac:dyDescent="0.35">
      <c r="B514" s="8"/>
      <c r="C514" s="8"/>
      <c r="D514" s="28"/>
      <c r="E514" s="8"/>
      <c r="F514" s="8"/>
    </row>
    <row r="515" spans="2:6" x14ac:dyDescent="0.35">
      <c r="B515" s="8"/>
      <c r="C515" s="8"/>
      <c r="D515" s="28"/>
      <c r="E515" s="8"/>
      <c r="F515" s="8"/>
    </row>
    <row r="516" spans="2:6" x14ac:dyDescent="0.35">
      <c r="B516" s="8"/>
      <c r="C516" s="8"/>
      <c r="D516" s="28"/>
      <c r="E516" s="8"/>
      <c r="F516" s="8"/>
    </row>
    <row r="517" spans="2:6" x14ac:dyDescent="0.35">
      <c r="B517" s="8"/>
      <c r="C517" s="8"/>
      <c r="D517" s="28"/>
      <c r="E517" s="8"/>
      <c r="F517" s="8"/>
    </row>
    <row r="518" spans="2:6" x14ac:dyDescent="0.35">
      <c r="B518" s="8"/>
      <c r="C518" s="8"/>
      <c r="D518" s="28"/>
      <c r="E518" s="8"/>
      <c r="F518" s="8"/>
    </row>
    <row r="519" spans="2:6" x14ac:dyDescent="0.35">
      <c r="B519" s="8"/>
      <c r="C519" s="8"/>
      <c r="D519" s="28"/>
      <c r="E519" s="8"/>
      <c r="F519" s="8"/>
    </row>
    <row r="520" spans="2:6" x14ac:dyDescent="0.35">
      <c r="B520" s="8"/>
      <c r="C520" s="8"/>
      <c r="D520" s="28"/>
      <c r="E520" s="8"/>
      <c r="F520" s="8"/>
    </row>
    <row r="521" spans="2:6" x14ac:dyDescent="0.35">
      <c r="B521" s="8"/>
      <c r="C521" s="8"/>
      <c r="D521" s="28"/>
      <c r="E521" s="8"/>
      <c r="F521" s="8"/>
    </row>
    <row r="522" spans="2:6" x14ac:dyDescent="0.35">
      <c r="B522" s="8"/>
      <c r="C522" s="8"/>
      <c r="D522" s="28"/>
      <c r="E522" s="8"/>
      <c r="F522" s="8"/>
    </row>
    <row r="523" spans="2:6" x14ac:dyDescent="0.35">
      <c r="B523" s="8"/>
      <c r="C523" s="8"/>
      <c r="D523" s="28"/>
      <c r="E523" s="8"/>
      <c r="F523" s="8"/>
    </row>
    <row r="524" spans="2:6" x14ac:dyDescent="0.35">
      <c r="B524" s="8"/>
      <c r="C524" s="8"/>
      <c r="D524" s="28"/>
      <c r="E524" s="8"/>
      <c r="F524" s="8"/>
    </row>
    <row r="525" spans="2:6" x14ac:dyDescent="0.35">
      <c r="B525" s="8"/>
      <c r="C525" s="8"/>
      <c r="D525" s="28"/>
      <c r="E525" s="8"/>
      <c r="F525" s="8"/>
    </row>
    <row r="526" spans="2:6" x14ac:dyDescent="0.35">
      <c r="B526" s="8"/>
      <c r="C526" s="8"/>
      <c r="D526" s="28"/>
      <c r="E526" s="8"/>
      <c r="F526" s="8"/>
    </row>
    <row r="527" spans="2:6" x14ac:dyDescent="0.35">
      <c r="B527" s="8"/>
      <c r="C527" s="8"/>
      <c r="D527" s="28"/>
      <c r="E527" s="8"/>
      <c r="F527" s="8"/>
    </row>
    <row r="528" spans="2:6" x14ac:dyDescent="0.35">
      <c r="B528" s="8"/>
      <c r="C528" s="8"/>
      <c r="D528" s="28"/>
      <c r="E528" s="8"/>
      <c r="F528" s="8"/>
    </row>
    <row r="529" spans="2:6" x14ac:dyDescent="0.35">
      <c r="B529" s="8"/>
      <c r="C529" s="8"/>
      <c r="D529" s="28"/>
      <c r="E529" s="8"/>
      <c r="F529" s="8"/>
    </row>
    <row r="530" spans="2:6" x14ac:dyDescent="0.35">
      <c r="B530" s="8"/>
      <c r="C530" s="8"/>
      <c r="D530" s="28"/>
      <c r="E530" s="8"/>
      <c r="F530" s="8"/>
    </row>
    <row r="531" spans="2:6" x14ac:dyDescent="0.35">
      <c r="B531" s="8"/>
      <c r="C531" s="8"/>
      <c r="D531" s="28"/>
      <c r="E531" s="8"/>
      <c r="F531" s="8"/>
    </row>
    <row r="532" spans="2:6" x14ac:dyDescent="0.35">
      <c r="B532" s="8"/>
      <c r="C532" s="8"/>
      <c r="D532" s="28"/>
      <c r="E532" s="8"/>
      <c r="F532" s="8"/>
    </row>
    <row r="533" spans="2:6" x14ac:dyDescent="0.35">
      <c r="B533" s="8"/>
      <c r="C533" s="8"/>
      <c r="D533" s="28"/>
      <c r="E533" s="8"/>
      <c r="F533" s="8"/>
    </row>
    <row r="534" spans="2:6" x14ac:dyDescent="0.35">
      <c r="B534" s="8"/>
      <c r="C534" s="8"/>
      <c r="D534" s="28"/>
      <c r="E534" s="8"/>
      <c r="F534" s="8"/>
    </row>
    <row r="535" spans="2:6" x14ac:dyDescent="0.35">
      <c r="B535" s="8"/>
      <c r="C535" s="8"/>
      <c r="D535" s="28"/>
      <c r="E535" s="8"/>
      <c r="F535" s="8"/>
    </row>
    <row r="536" spans="2:6" x14ac:dyDescent="0.35">
      <c r="B536" s="8"/>
      <c r="C536" s="8"/>
      <c r="D536" s="28"/>
      <c r="E536" s="8"/>
      <c r="F536" s="8"/>
    </row>
    <row r="537" spans="2:6" x14ac:dyDescent="0.35">
      <c r="B537" s="8"/>
      <c r="C537" s="8"/>
      <c r="D537" s="28"/>
      <c r="E537" s="8"/>
      <c r="F537" s="8"/>
    </row>
    <row r="538" spans="2:6" x14ac:dyDescent="0.35">
      <c r="B538" s="8"/>
      <c r="C538" s="8"/>
      <c r="D538" s="28"/>
      <c r="E538" s="8"/>
      <c r="F538" s="8"/>
    </row>
    <row r="539" spans="2:6" x14ac:dyDescent="0.35">
      <c r="B539" s="8"/>
      <c r="C539" s="8"/>
      <c r="D539" s="28"/>
      <c r="E539" s="8"/>
      <c r="F539" s="8"/>
    </row>
    <row r="540" spans="2:6" x14ac:dyDescent="0.35">
      <c r="B540" s="8"/>
      <c r="C540" s="8"/>
      <c r="D540" s="28"/>
      <c r="E540" s="8"/>
      <c r="F540" s="8"/>
    </row>
    <row r="541" spans="2:6" x14ac:dyDescent="0.35">
      <c r="B541" s="8"/>
      <c r="C541" s="8"/>
      <c r="D541" s="28"/>
      <c r="E541" s="8"/>
      <c r="F541" s="8"/>
    </row>
    <row r="542" spans="2:6" x14ac:dyDescent="0.35">
      <c r="B542" s="8"/>
      <c r="C542" s="8"/>
      <c r="D542" s="28"/>
      <c r="E542" s="8"/>
      <c r="F542" s="8"/>
    </row>
    <row r="543" spans="2:6" x14ac:dyDescent="0.35">
      <c r="B543" s="8"/>
      <c r="C543" s="8"/>
      <c r="D543" s="28"/>
      <c r="E543" s="8"/>
      <c r="F543" s="8"/>
    </row>
    <row r="544" spans="2:6" x14ac:dyDescent="0.35">
      <c r="B544" s="8"/>
      <c r="C544" s="8"/>
      <c r="D544" s="28"/>
      <c r="E544" s="8"/>
      <c r="F544" s="8"/>
    </row>
    <row r="545" spans="2:6" x14ac:dyDescent="0.35">
      <c r="B545" s="8"/>
      <c r="C545" s="8"/>
      <c r="D545" s="28"/>
      <c r="E545" s="8"/>
      <c r="F545" s="8"/>
    </row>
    <row r="546" spans="2:6" x14ac:dyDescent="0.35">
      <c r="B546" s="8"/>
      <c r="C546" s="8"/>
      <c r="D546" s="28"/>
      <c r="E546" s="8"/>
      <c r="F546" s="8"/>
    </row>
    <row r="547" spans="2:6" x14ac:dyDescent="0.35">
      <c r="B547" s="8"/>
      <c r="C547" s="8"/>
      <c r="D547" s="28"/>
      <c r="E547" s="8"/>
      <c r="F547" s="8"/>
    </row>
    <row r="548" spans="2:6" x14ac:dyDescent="0.35">
      <c r="B548" s="8"/>
      <c r="C548" s="8"/>
      <c r="D548" s="28"/>
      <c r="E548" s="8"/>
      <c r="F548" s="8"/>
    </row>
    <row r="549" spans="2:6" x14ac:dyDescent="0.35">
      <c r="B549" s="8"/>
      <c r="C549" s="8"/>
      <c r="D549" s="28"/>
      <c r="E549" s="8"/>
      <c r="F549" s="8"/>
    </row>
    <row r="550" spans="2:6" x14ac:dyDescent="0.35">
      <c r="B550" s="8"/>
      <c r="C550" s="8"/>
      <c r="D550" s="28"/>
      <c r="E550" s="8"/>
      <c r="F550" s="8"/>
    </row>
    <row r="551" spans="2:6" x14ac:dyDescent="0.35">
      <c r="B551" s="8"/>
      <c r="C551" s="8"/>
      <c r="D551" s="28"/>
      <c r="E551" s="8"/>
      <c r="F551" s="8"/>
    </row>
    <row r="552" spans="2:6" x14ac:dyDescent="0.35">
      <c r="B552" s="8"/>
      <c r="C552" s="8"/>
      <c r="D552" s="28"/>
      <c r="E552" s="8"/>
      <c r="F552" s="8"/>
    </row>
    <row r="553" spans="2:6" x14ac:dyDescent="0.35">
      <c r="B553" s="8"/>
      <c r="C553" s="8"/>
      <c r="D553" s="28"/>
      <c r="E553" s="8"/>
      <c r="F553" s="8"/>
    </row>
    <row r="554" spans="2:6" x14ac:dyDescent="0.35">
      <c r="B554" s="8"/>
      <c r="C554" s="8"/>
      <c r="D554" s="28"/>
      <c r="E554" s="8"/>
      <c r="F554" s="8"/>
    </row>
    <row r="555" spans="2:6" x14ac:dyDescent="0.35">
      <c r="B555" s="8"/>
      <c r="C555" s="8"/>
      <c r="D555" s="28"/>
      <c r="E555" s="8"/>
      <c r="F555" s="8"/>
    </row>
    <row r="556" spans="2:6" x14ac:dyDescent="0.35">
      <c r="B556" s="8"/>
      <c r="C556" s="8"/>
      <c r="D556" s="28"/>
      <c r="E556" s="8"/>
      <c r="F556" s="8"/>
    </row>
    <row r="557" spans="2:6" x14ac:dyDescent="0.35">
      <c r="B557" s="8"/>
      <c r="C557" s="8"/>
      <c r="D557" s="28"/>
      <c r="E557" s="8"/>
      <c r="F557" s="8"/>
    </row>
    <row r="558" spans="2:6" x14ac:dyDescent="0.35">
      <c r="B558" s="8"/>
      <c r="C558" s="8"/>
      <c r="D558" s="28"/>
      <c r="E558" s="8"/>
      <c r="F558" s="8"/>
    </row>
    <row r="559" spans="2:6" x14ac:dyDescent="0.35">
      <c r="B559" s="8"/>
      <c r="C559" s="8"/>
      <c r="D559" s="28"/>
      <c r="E559" s="8"/>
      <c r="F559" s="8"/>
    </row>
    <row r="560" spans="2:6" x14ac:dyDescent="0.35">
      <c r="B560" s="8"/>
      <c r="C560" s="8"/>
      <c r="D560" s="28"/>
      <c r="E560" s="8"/>
      <c r="F560" s="8"/>
    </row>
    <row r="561" spans="2:6" x14ac:dyDescent="0.35">
      <c r="B561" s="8"/>
      <c r="C561" s="8"/>
      <c r="D561" s="28"/>
      <c r="E561" s="8"/>
      <c r="F561" s="8"/>
    </row>
    <row r="562" spans="2:6" x14ac:dyDescent="0.35">
      <c r="B562" s="8"/>
      <c r="C562" s="8"/>
      <c r="D562" s="28"/>
      <c r="E562" s="8"/>
      <c r="F562" s="8"/>
    </row>
    <row r="563" spans="2:6" x14ac:dyDescent="0.35">
      <c r="B563" s="8"/>
      <c r="C563" s="8"/>
      <c r="D563" s="28"/>
      <c r="E563" s="8"/>
      <c r="F563" s="8"/>
    </row>
    <row r="564" spans="2:6" x14ac:dyDescent="0.35">
      <c r="B564" s="8"/>
      <c r="C564" s="8"/>
      <c r="D564" s="28"/>
      <c r="E564" s="8"/>
      <c r="F564" s="8"/>
    </row>
    <row r="565" spans="2:6" x14ac:dyDescent="0.35">
      <c r="B565" s="8"/>
      <c r="C565" s="8"/>
      <c r="D565" s="28"/>
      <c r="E565" s="8"/>
      <c r="F565" s="8"/>
    </row>
    <row r="566" spans="2:6" x14ac:dyDescent="0.35">
      <c r="B566" s="8"/>
      <c r="C566" s="8"/>
      <c r="D566" s="28"/>
      <c r="E566" s="8"/>
      <c r="F566" s="8"/>
    </row>
    <row r="567" spans="2:6" x14ac:dyDescent="0.35">
      <c r="B567" s="8"/>
      <c r="C567" s="8"/>
      <c r="D567" s="28"/>
      <c r="E567" s="8"/>
      <c r="F567" s="8"/>
    </row>
    <row r="568" spans="2:6" x14ac:dyDescent="0.35">
      <c r="B568" s="8"/>
      <c r="C568" s="8"/>
      <c r="D568" s="28"/>
      <c r="E568" s="8"/>
      <c r="F568" s="8"/>
    </row>
    <row r="569" spans="2:6" x14ac:dyDescent="0.35">
      <c r="B569" s="8"/>
      <c r="C569" s="8"/>
      <c r="D569" s="28"/>
      <c r="E569" s="8"/>
      <c r="F569" s="8"/>
    </row>
    <row r="570" spans="2:6" x14ac:dyDescent="0.35">
      <c r="B570" s="8"/>
      <c r="C570" s="8"/>
      <c r="D570" s="28"/>
      <c r="E570" s="8"/>
      <c r="F570" s="8"/>
    </row>
    <row r="571" spans="2:6" x14ac:dyDescent="0.35">
      <c r="B571" s="8"/>
      <c r="C571" s="8"/>
      <c r="D571" s="28"/>
      <c r="E571" s="8"/>
      <c r="F571" s="8"/>
    </row>
    <row r="572" spans="2:6" x14ac:dyDescent="0.35">
      <c r="B572" s="8"/>
      <c r="C572" s="8"/>
      <c r="D572" s="28"/>
      <c r="E572" s="8"/>
      <c r="F572" s="8"/>
    </row>
    <row r="573" spans="2:6" x14ac:dyDescent="0.35">
      <c r="B573" s="8"/>
      <c r="C573" s="8"/>
      <c r="D573" s="28"/>
      <c r="E573" s="8"/>
      <c r="F573" s="8"/>
    </row>
    <row r="574" spans="2:6" x14ac:dyDescent="0.35">
      <c r="B574" s="8"/>
      <c r="C574" s="8"/>
      <c r="D574" s="28"/>
      <c r="E574" s="8"/>
      <c r="F574" s="8"/>
    </row>
    <row r="575" spans="2:6" x14ac:dyDescent="0.35">
      <c r="B575" s="8"/>
      <c r="C575" s="8"/>
      <c r="D575" s="28"/>
      <c r="E575" s="8"/>
      <c r="F575" s="8"/>
    </row>
    <row r="576" spans="2:6" x14ac:dyDescent="0.35">
      <c r="B576" s="8"/>
      <c r="C576" s="8"/>
      <c r="D576" s="28"/>
      <c r="E576" s="8"/>
      <c r="F576" s="8"/>
    </row>
    <row r="577" spans="2:6" x14ac:dyDescent="0.35">
      <c r="B577" s="8"/>
      <c r="C577" s="8"/>
      <c r="D577" s="28"/>
      <c r="E577" s="8"/>
      <c r="F577" s="8"/>
    </row>
    <row r="578" spans="2:6" x14ac:dyDescent="0.35">
      <c r="B578" s="8"/>
      <c r="C578" s="8"/>
      <c r="D578" s="28"/>
      <c r="E578" s="8"/>
      <c r="F578" s="8"/>
    </row>
    <row r="579" spans="2:6" x14ac:dyDescent="0.35">
      <c r="B579" s="8"/>
      <c r="C579" s="8"/>
      <c r="D579" s="28"/>
      <c r="E579" s="8"/>
      <c r="F579" s="8"/>
    </row>
    <row r="580" spans="2:6" x14ac:dyDescent="0.35">
      <c r="B580" s="8"/>
      <c r="C580" s="8"/>
      <c r="D580" s="28"/>
      <c r="E580" s="8"/>
      <c r="F580" s="8"/>
    </row>
    <row r="581" spans="2:6" x14ac:dyDescent="0.35">
      <c r="B581" s="8"/>
      <c r="C581" s="8"/>
      <c r="D581" s="28"/>
      <c r="E581" s="8"/>
      <c r="F581" s="8"/>
    </row>
    <row r="582" spans="2:6" x14ac:dyDescent="0.35">
      <c r="B582" s="8"/>
      <c r="C582" s="8"/>
      <c r="D582" s="28"/>
      <c r="E582" s="8"/>
      <c r="F582" s="8"/>
    </row>
    <row r="583" spans="2:6" x14ac:dyDescent="0.35">
      <c r="B583" s="8"/>
      <c r="C583" s="8"/>
      <c r="D583" s="28"/>
      <c r="E583" s="8"/>
      <c r="F583" s="8"/>
    </row>
    <row r="584" spans="2:6" x14ac:dyDescent="0.35">
      <c r="B584" s="8"/>
      <c r="C584" s="8"/>
      <c r="D584" s="28"/>
      <c r="E584" s="8"/>
      <c r="F584" s="8"/>
    </row>
    <row r="585" spans="2:6" x14ac:dyDescent="0.35">
      <c r="B585" s="8"/>
      <c r="C585" s="8"/>
      <c r="D585" s="28"/>
      <c r="E585" s="8"/>
      <c r="F585" s="8"/>
    </row>
    <row r="586" spans="2:6" x14ac:dyDescent="0.35">
      <c r="B586" s="8"/>
      <c r="C586" s="8"/>
      <c r="D586" s="28"/>
      <c r="E586" s="8"/>
      <c r="F586" s="8"/>
    </row>
    <row r="587" spans="2:6" x14ac:dyDescent="0.35">
      <c r="B587" s="8"/>
      <c r="C587" s="8"/>
      <c r="D587" s="28"/>
      <c r="E587" s="8"/>
      <c r="F587" s="8"/>
    </row>
    <row r="588" spans="2:6" x14ac:dyDescent="0.35">
      <c r="B588" s="8"/>
      <c r="C588" s="8"/>
      <c r="D588" s="28"/>
      <c r="E588" s="8"/>
      <c r="F588" s="8"/>
    </row>
    <row r="589" spans="2:6" x14ac:dyDescent="0.35">
      <c r="B589" s="8"/>
      <c r="C589" s="8"/>
      <c r="D589" s="28"/>
      <c r="E589" s="8"/>
      <c r="F589" s="8"/>
    </row>
    <row r="590" spans="2:6" x14ac:dyDescent="0.35">
      <c r="B590" s="8"/>
      <c r="C590" s="8"/>
      <c r="D590" s="28"/>
      <c r="E590" s="8"/>
      <c r="F590" s="8"/>
    </row>
    <row r="591" spans="2:6" x14ac:dyDescent="0.35">
      <c r="B591" s="8"/>
      <c r="C591" s="8"/>
      <c r="D591" s="28"/>
      <c r="E591" s="8"/>
      <c r="F591" s="8"/>
    </row>
    <row r="592" spans="2:6" x14ac:dyDescent="0.35">
      <c r="B592" s="8"/>
      <c r="C592" s="8"/>
      <c r="D592" s="28"/>
      <c r="E592" s="8"/>
      <c r="F592" s="8"/>
    </row>
    <row r="593" spans="2:6" x14ac:dyDescent="0.35">
      <c r="B593" s="8"/>
      <c r="C593" s="8"/>
      <c r="D593" s="28"/>
      <c r="E593" s="8"/>
      <c r="F593" s="8"/>
    </row>
    <row r="594" spans="2:6" x14ac:dyDescent="0.35">
      <c r="B594" s="8"/>
      <c r="C594" s="8"/>
      <c r="D594" s="28"/>
      <c r="E594" s="8"/>
      <c r="F594" s="8"/>
    </row>
    <row r="595" spans="2:6" x14ac:dyDescent="0.35">
      <c r="B595" s="8"/>
      <c r="C595" s="8"/>
      <c r="D595" s="28"/>
      <c r="E595" s="8"/>
      <c r="F595" s="8"/>
    </row>
    <row r="596" spans="2:6" x14ac:dyDescent="0.35">
      <c r="B596" s="8"/>
      <c r="C596" s="8"/>
      <c r="D596" s="28"/>
      <c r="E596" s="8"/>
      <c r="F596" s="8"/>
    </row>
    <row r="597" spans="2:6" x14ac:dyDescent="0.35">
      <c r="B597" s="8"/>
      <c r="C597" s="8"/>
      <c r="D597" s="28"/>
      <c r="E597" s="8"/>
      <c r="F597" s="8"/>
    </row>
    <row r="598" spans="2:6" x14ac:dyDescent="0.35">
      <c r="B598" s="8"/>
      <c r="C598" s="8"/>
      <c r="D598" s="28"/>
      <c r="E598" s="8"/>
      <c r="F598" s="8"/>
    </row>
    <row r="599" spans="2:6" x14ac:dyDescent="0.35">
      <c r="B599" s="8"/>
      <c r="C599" s="8"/>
      <c r="D599" s="28"/>
      <c r="E599" s="8"/>
      <c r="F599" s="8"/>
    </row>
    <row r="600" spans="2:6" x14ac:dyDescent="0.35">
      <c r="B600" s="8"/>
      <c r="C600" s="8"/>
      <c r="D600" s="28"/>
      <c r="E600" s="8"/>
      <c r="F600" s="8"/>
    </row>
    <row r="601" spans="2:6" x14ac:dyDescent="0.35">
      <c r="B601" s="8"/>
      <c r="C601" s="8"/>
      <c r="D601" s="28"/>
      <c r="E601" s="8"/>
      <c r="F601" s="8"/>
    </row>
    <row r="602" spans="2:6" x14ac:dyDescent="0.35">
      <c r="B602" s="8"/>
      <c r="C602" s="8"/>
      <c r="D602" s="28"/>
      <c r="E602" s="8"/>
      <c r="F602" s="8"/>
    </row>
    <row r="603" spans="2:6" x14ac:dyDescent="0.35">
      <c r="B603" s="8"/>
      <c r="C603" s="8"/>
      <c r="D603" s="28"/>
      <c r="E603" s="8"/>
      <c r="F603" s="8"/>
    </row>
    <row r="604" spans="2:6" x14ac:dyDescent="0.35">
      <c r="B604" s="8"/>
      <c r="C604" s="8"/>
      <c r="D604" s="28"/>
      <c r="E604" s="8"/>
      <c r="F604" s="8"/>
    </row>
    <row r="605" spans="2:6" x14ac:dyDescent="0.35">
      <c r="B605" s="8"/>
      <c r="C605" s="8"/>
      <c r="D605" s="28"/>
      <c r="E605" s="8"/>
      <c r="F605" s="8"/>
    </row>
    <row r="606" spans="2:6" x14ac:dyDescent="0.35">
      <c r="B606" s="8"/>
      <c r="C606" s="8"/>
      <c r="D606" s="28"/>
      <c r="E606" s="8"/>
      <c r="F606" s="8"/>
    </row>
    <row r="607" spans="2:6" x14ac:dyDescent="0.35">
      <c r="B607" s="8"/>
      <c r="C607" s="8"/>
      <c r="D607" s="28"/>
      <c r="E607" s="8"/>
      <c r="F607" s="8"/>
    </row>
    <row r="608" spans="2:6" x14ac:dyDescent="0.35">
      <c r="B608" s="8"/>
      <c r="C608" s="8"/>
      <c r="D608" s="28"/>
      <c r="E608" s="8"/>
      <c r="F608" s="8"/>
    </row>
    <row r="609" spans="2:6" x14ac:dyDescent="0.35">
      <c r="B609" s="8"/>
      <c r="C609" s="8"/>
      <c r="D609" s="28"/>
      <c r="E609" s="8"/>
      <c r="F609" s="8"/>
    </row>
    <row r="610" spans="2:6" x14ac:dyDescent="0.35">
      <c r="B610" s="8"/>
      <c r="C610" s="8"/>
      <c r="D610" s="28"/>
      <c r="E610" s="8"/>
      <c r="F610" s="8"/>
    </row>
    <row r="611" spans="2:6" x14ac:dyDescent="0.35">
      <c r="B611" s="8"/>
      <c r="C611" s="8"/>
      <c r="D611" s="28"/>
      <c r="E611" s="8"/>
      <c r="F611" s="8"/>
    </row>
    <row r="612" spans="2:6" x14ac:dyDescent="0.35">
      <c r="B612" s="8"/>
      <c r="C612" s="8"/>
      <c r="D612" s="28"/>
      <c r="E612" s="8"/>
      <c r="F612" s="8"/>
    </row>
    <row r="613" spans="2:6" x14ac:dyDescent="0.35">
      <c r="B613" s="8"/>
      <c r="C613" s="8"/>
      <c r="D613" s="28"/>
      <c r="E613" s="8"/>
      <c r="F613" s="8"/>
    </row>
    <row r="614" spans="2:6" x14ac:dyDescent="0.35">
      <c r="B614" s="8"/>
      <c r="C614" s="8"/>
      <c r="D614" s="28"/>
      <c r="E614" s="8"/>
      <c r="F614" s="8"/>
    </row>
    <row r="615" spans="2:6" x14ac:dyDescent="0.35">
      <c r="B615" s="8"/>
      <c r="C615" s="8"/>
      <c r="D615" s="28"/>
      <c r="E615" s="8"/>
      <c r="F615" s="8"/>
    </row>
    <row r="616" spans="2:6" x14ac:dyDescent="0.35">
      <c r="B616" s="8"/>
      <c r="C616" s="8"/>
      <c r="D616" s="28"/>
      <c r="E616" s="8"/>
      <c r="F616" s="8"/>
    </row>
    <row r="617" spans="2:6" x14ac:dyDescent="0.35">
      <c r="B617" s="8"/>
      <c r="C617" s="8"/>
      <c r="D617" s="28"/>
      <c r="E617" s="8"/>
      <c r="F617" s="8"/>
    </row>
    <row r="618" spans="2:6" x14ac:dyDescent="0.35">
      <c r="B618" s="8"/>
      <c r="C618" s="8"/>
      <c r="D618" s="28"/>
      <c r="E618" s="8"/>
      <c r="F618" s="8"/>
    </row>
    <row r="619" spans="2:6" x14ac:dyDescent="0.35">
      <c r="B619" s="8"/>
      <c r="C619" s="8"/>
      <c r="D619" s="28"/>
      <c r="E619" s="8"/>
      <c r="F619" s="8"/>
    </row>
    <row r="620" spans="2:6" x14ac:dyDescent="0.35">
      <c r="B620" s="8"/>
      <c r="C620" s="8"/>
      <c r="D620" s="28"/>
      <c r="E620" s="8"/>
      <c r="F620" s="8"/>
    </row>
    <row r="621" spans="2:6" x14ac:dyDescent="0.35">
      <c r="B621" s="8"/>
      <c r="C621" s="8"/>
      <c r="D621" s="28"/>
      <c r="E621" s="8"/>
      <c r="F621" s="8"/>
    </row>
    <row r="622" spans="2:6" x14ac:dyDescent="0.35">
      <c r="B622" s="8"/>
      <c r="C622" s="8"/>
      <c r="D622" s="28"/>
      <c r="E622" s="8"/>
      <c r="F622" s="8"/>
    </row>
    <row r="623" spans="2:6" x14ac:dyDescent="0.35">
      <c r="B623" s="8"/>
      <c r="C623" s="8"/>
      <c r="D623" s="28"/>
      <c r="E623" s="8"/>
      <c r="F623" s="8"/>
    </row>
    <row r="624" spans="2:6" x14ac:dyDescent="0.35">
      <c r="B624" s="8"/>
      <c r="C624" s="8"/>
      <c r="D624" s="28"/>
      <c r="E624" s="8"/>
      <c r="F624" s="8"/>
    </row>
    <row r="625" spans="2:6" x14ac:dyDescent="0.35">
      <c r="B625" s="8"/>
      <c r="C625" s="8"/>
      <c r="D625" s="28"/>
      <c r="E625" s="8"/>
      <c r="F625" s="8"/>
    </row>
    <row r="626" spans="2:6" x14ac:dyDescent="0.35">
      <c r="B626" s="8"/>
      <c r="C626" s="8"/>
      <c r="D626" s="28"/>
      <c r="E626" s="8"/>
      <c r="F626" s="8"/>
    </row>
    <row r="627" spans="2:6" x14ac:dyDescent="0.35">
      <c r="B627" s="8"/>
      <c r="C627" s="8"/>
      <c r="D627" s="28"/>
      <c r="E627" s="8"/>
      <c r="F627" s="8"/>
    </row>
    <row r="628" spans="2:6" x14ac:dyDescent="0.35">
      <c r="B628" s="8"/>
      <c r="C628" s="8"/>
      <c r="D628" s="28"/>
      <c r="E628" s="8"/>
      <c r="F628" s="8"/>
    </row>
    <row r="629" spans="2:6" x14ac:dyDescent="0.35">
      <c r="B629" s="8"/>
      <c r="C629" s="8"/>
      <c r="D629" s="28"/>
      <c r="E629" s="8"/>
      <c r="F629" s="8"/>
    </row>
    <row r="630" spans="2:6" x14ac:dyDescent="0.35">
      <c r="B630" s="8"/>
      <c r="C630" s="8"/>
      <c r="D630" s="28"/>
      <c r="E630" s="8"/>
      <c r="F630" s="8"/>
    </row>
    <row r="631" spans="2:6" x14ac:dyDescent="0.35">
      <c r="B631" s="8"/>
      <c r="C631" s="8"/>
      <c r="D631" s="28"/>
      <c r="E631" s="8"/>
      <c r="F631" s="8"/>
    </row>
    <row r="632" spans="2:6" x14ac:dyDescent="0.35">
      <c r="B632" s="8"/>
      <c r="C632" s="8"/>
      <c r="D632" s="28"/>
      <c r="E632" s="8"/>
      <c r="F632" s="8"/>
    </row>
    <row r="633" spans="2:6" x14ac:dyDescent="0.35">
      <c r="B633" s="8"/>
      <c r="C633" s="8"/>
      <c r="D633" s="28"/>
      <c r="E633" s="8"/>
      <c r="F633" s="8"/>
    </row>
    <row r="634" spans="2:6" x14ac:dyDescent="0.35">
      <c r="B634" s="8"/>
      <c r="C634" s="8"/>
      <c r="D634" s="28"/>
      <c r="E634" s="8"/>
      <c r="F634" s="8"/>
    </row>
    <row r="635" spans="2:6" x14ac:dyDescent="0.35">
      <c r="B635" s="8"/>
      <c r="C635" s="8"/>
      <c r="D635" s="28"/>
      <c r="E635" s="8"/>
      <c r="F635" s="8"/>
    </row>
    <row r="636" spans="2:6" x14ac:dyDescent="0.35">
      <c r="B636" s="8"/>
      <c r="C636" s="8"/>
      <c r="D636" s="28"/>
      <c r="E636" s="8"/>
      <c r="F636" s="8"/>
    </row>
    <row r="637" spans="2:6" x14ac:dyDescent="0.35">
      <c r="B637" s="8"/>
      <c r="C637" s="8"/>
      <c r="D637" s="28"/>
      <c r="E637" s="8"/>
      <c r="F637" s="8"/>
    </row>
    <row r="638" spans="2:6" x14ac:dyDescent="0.35">
      <c r="B638" s="8"/>
      <c r="C638" s="8"/>
      <c r="D638" s="28"/>
      <c r="E638" s="8"/>
      <c r="F638" s="8"/>
    </row>
    <row r="639" spans="2:6" x14ac:dyDescent="0.35">
      <c r="B639" s="8"/>
      <c r="C639" s="8"/>
      <c r="D639" s="28"/>
      <c r="E639" s="8"/>
      <c r="F639" s="8"/>
    </row>
    <row r="640" spans="2:6" x14ac:dyDescent="0.35">
      <c r="B640" s="8"/>
      <c r="C640" s="8"/>
      <c r="D640" s="28"/>
      <c r="E640" s="8"/>
      <c r="F640" s="8"/>
    </row>
    <row r="641" spans="2:6" x14ac:dyDescent="0.35">
      <c r="B641" s="8"/>
      <c r="C641" s="8"/>
      <c r="D641" s="28"/>
      <c r="E641" s="8"/>
      <c r="F641" s="8"/>
    </row>
    <row r="642" spans="2:6" x14ac:dyDescent="0.35">
      <c r="B642" s="8"/>
      <c r="C642" s="8"/>
      <c r="D642" s="28"/>
      <c r="E642" s="8"/>
      <c r="F642" s="8"/>
    </row>
    <row r="643" spans="2:6" x14ac:dyDescent="0.35">
      <c r="B643" s="8"/>
      <c r="C643" s="8"/>
      <c r="D643" s="28"/>
      <c r="E643" s="8"/>
      <c r="F643" s="8"/>
    </row>
    <row r="644" spans="2:6" x14ac:dyDescent="0.35">
      <c r="B644" s="8"/>
      <c r="C644" s="8"/>
      <c r="D644" s="28"/>
      <c r="E644" s="8"/>
      <c r="F644" s="8"/>
    </row>
    <row r="645" spans="2:6" x14ac:dyDescent="0.35">
      <c r="B645" s="8"/>
      <c r="C645" s="8"/>
      <c r="D645" s="28"/>
      <c r="E645" s="8"/>
      <c r="F645" s="8"/>
    </row>
    <row r="646" spans="2:6" x14ac:dyDescent="0.35">
      <c r="B646" s="8"/>
      <c r="C646" s="8"/>
      <c r="D646" s="28"/>
      <c r="E646" s="8"/>
      <c r="F646" s="8"/>
    </row>
    <row r="647" spans="2:6" x14ac:dyDescent="0.35">
      <c r="B647" s="8"/>
      <c r="C647" s="8"/>
      <c r="D647" s="28"/>
      <c r="E647" s="8"/>
      <c r="F647" s="8"/>
    </row>
    <row r="648" spans="2:6" x14ac:dyDescent="0.35">
      <c r="B648" s="8"/>
      <c r="C648" s="8"/>
      <c r="D648" s="28"/>
      <c r="E648" s="8"/>
      <c r="F648" s="8"/>
    </row>
    <row r="649" spans="2:6" x14ac:dyDescent="0.35">
      <c r="B649" s="8"/>
      <c r="C649" s="8"/>
      <c r="D649" s="28"/>
      <c r="E649" s="8"/>
      <c r="F649" s="8"/>
    </row>
    <row r="650" spans="2:6" x14ac:dyDescent="0.35">
      <c r="B650" s="8"/>
      <c r="C650" s="8"/>
      <c r="D650" s="28"/>
      <c r="E650" s="8"/>
      <c r="F650" s="8"/>
    </row>
    <row r="651" spans="2:6" x14ac:dyDescent="0.35">
      <c r="B651" s="8"/>
      <c r="C651" s="8"/>
      <c r="D651" s="28"/>
      <c r="E651" s="8"/>
      <c r="F651" s="8"/>
    </row>
    <row r="652" spans="2:6" x14ac:dyDescent="0.35">
      <c r="B652" s="8"/>
      <c r="C652" s="8"/>
      <c r="D652" s="28"/>
      <c r="E652" s="8"/>
      <c r="F652" s="8"/>
    </row>
    <row r="653" spans="2:6" x14ac:dyDescent="0.35">
      <c r="B653" s="8"/>
      <c r="C653" s="8"/>
      <c r="D653" s="28"/>
      <c r="E653" s="8"/>
      <c r="F653" s="8"/>
    </row>
    <row r="654" spans="2:6" x14ac:dyDescent="0.35">
      <c r="B654" s="8"/>
      <c r="C654" s="8"/>
      <c r="D654" s="28"/>
      <c r="E654" s="8"/>
      <c r="F654" s="8"/>
    </row>
    <row r="655" spans="2:6" x14ac:dyDescent="0.35">
      <c r="B655" s="8"/>
      <c r="C655" s="8"/>
      <c r="D655" s="28"/>
      <c r="E655" s="8"/>
      <c r="F655" s="8"/>
    </row>
    <row r="656" spans="2:6" x14ac:dyDescent="0.35">
      <c r="B656" s="8"/>
      <c r="C656" s="8"/>
      <c r="D656" s="28"/>
      <c r="E656" s="8"/>
      <c r="F656" s="8"/>
    </row>
    <row r="657" spans="2:6" x14ac:dyDescent="0.35">
      <c r="B657" s="8"/>
      <c r="C657" s="8"/>
      <c r="D657" s="28"/>
      <c r="E657" s="8"/>
      <c r="F657" s="8"/>
    </row>
    <row r="658" spans="2:6" x14ac:dyDescent="0.35">
      <c r="B658" s="8"/>
      <c r="C658" s="8"/>
      <c r="D658" s="28"/>
      <c r="E658" s="8"/>
      <c r="F658" s="8"/>
    </row>
    <row r="659" spans="2:6" x14ac:dyDescent="0.35">
      <c r="B659" s="8"/>
      <c r="C659" s="8"/>
      <c r="D659" s="28"/>
      <c r="E659" s="8"/>
      <c r="F659" s="8"/>
    </row>
    <row r="660" spans="2:6" x14ac:dyDescent="0.35">
      <c r="B660" s="8"/>
      <c r="C660" s="8"/>
      <c r="D660" s="28"/>
      <c r="E660" s="8"/>
      <c r="F660" s="8"/>
    </row>
    <row r="661" spans="2:6" x14ac:dyDescent="0.35">
      <c r="B661" s="8"/>
      <c r="C661" s="8"/>
      <c r="D661" s="28"/>
      <c r="E661" s="8"/>
      <c r="F661" s="8"/>
    </row>
    <row r="662" spans="2:6" x14ac:dyDescent="0.35">
      <c r="B662" s="8"/>
      <c r="C662" s="8"/>
      <c r="D662" s="28"/>
      <c r="E662" s="8"/>
      <c r="F662" s="8"/>
    </row>
    <row r="663" spans="2:6" x14ac:dyDescent="0.35">
      <c r="B663" s="8"/>
      <c r="C663" s="8"/>
      <c r="D663" s="28"/>
      <c r="E663" s="8"/>
      <c r="F663" s="8"/>
    </row>
    <row r="664" spans="2:6" x14ac:dyDescent="0.35">
      <c r="B664" s="8"/>
      <c r="C664" s="8"/>
      <c r="D664" s="28"/>
      <c r="E664" s="8"/>
      <c r="F664" s="8"/>
    </row>
    <row r="665" spans="2:6" x14ac:dyDescent="0.35">
      <c r="B665" s="8"/>
      <c r="C665" s="8"/>
      <c r="D665" s="28"/>
      <c r="E665" s="8"/>
      <c r="F665" s="8"/>
    </row>
    <row r="666" spans="2:6" x14ac:dyDescent="0.35">
      <c r="B666" s="8"/>
      <c r="C666" s="8"/>
      <c r="D666" s="28"/>
      <c r="E666" s="8"/>
      <c r="F666" s="8"/>
    </row>
    <row r="667" spans="2:6" x14ac:dyDescent="0.35">
      <c r="B667" s="8"/>
      <c r="C667" s="8"/>
      <c r="D667" s="28"/>
      <c r="E667" s="8"/>
      <c r="F667" s="8"/>
    </row>
    <row r="668" spans="2:6" x14ac:dyDescent="0.35">
      <c r="B668" s="8"/>
      <c r="C668" s="8"/>
      <c r="D668" s="28"/>
      <c r="E668" s="8"/>
      <c r="F668" s="8"/>
    </row>
    <row r="669" spans="2:6" x14ac:dyDescent="0.35">
      <c r="B669" s="8"/>
      <c r="C669" s="8"/>
      <c r="D669" s="28"/>
      <c r="E669" s="8"/>
      <c r="F669" s="8"/>
    </row>
    <row r="670" spans="2:6" x14ac:dyDescent="0.35">
      <c r="B670" s="8"/>
      <c r="C670" s="8"/>
      <c r="D670" s="28"/>
      <c r="E670" s="8"/>
      <c r="F670" s="8"/>
    </row>
    <row r="671" spans="2:6" x14ac:dyDescent="0.35">
      <c r="B671" s="8"/>
      <c r="C671" s="8"/>
      <c r="D671" s="28"/>
      <c r="E671" s="8"/>
      <c r="F671" s="8"/>
    </row>
    <row r="672" spans="2:6" x14ac:dyDescent="0.35">
      <c r="B672" s="8"/>
      <c r="C672" s="8"/>
      <c r="D672" s="28"/>
      <c r="E672" s="8"/>
      <c r="F672" s="8"/>
    </row>
    <row r="673" spans="2:6" x14ac:dyDescent="0.35">
      <c r="B673" s="8"/>
      <c r="C673" s="8"/>
      <c r="D673" s="28"/>
      <c r="E673" s="8"/>
      <c r="F673" s="8"/>
    </row>
    <row r="674" spans="2:6" x14ac:dyDescent="0.35">
      <c r="B674" s="8"/>
      <c r="C674" s="8"/>
      <c r="D674" s="28"/>
      <c r="E674" s="8"/>
      <c r="F674" s="8"/>
    </row>
    <row r="675" spans="2:6" x14ac:dyDescent="0.35">
      <c r="B675" s="8"/>
      <c r="C675" s="8"/>
      <c r="D675" s="28"/>
      <c r="E675" s="8"/>
      <c r="F675" s="8"/>
    </row>
    <row r="676" spans="2:6" x14ac:dyDescent="0.35">
      <c r="B676" s="8"/>
      <c r="C676" s="8"/>
      <c r="D676" s="28"/>
      <c r="E676" s="8"/>
      <c r="F676" s="8"/>
    </row>
    <row r="677" spans="2:6" x14ac:dyDescent="0.35">
      <c r="B677" s="8"/>
      <c r="C677" s="8"/>
      <c r="D677" s="28"/>
      <c r="E677" s="8"/>
      <c r="F677" s="8"/>
    </row>
    <row r="678" spans="2:6" x14ac:dyDescent="0.35">
      <c r="B678" s="8"/>
      <c r="C678" s="8"/>
      <c r="D678" s="28"/>
      <c r="E678" s="8"/>
      <c r="F678" s="8"/>
    </row>
    <row r="679" spans="2:6" x14ac:dyDescent="0.35">
      <c r="B679" s="8"/>
      <c r="C679" s="8"/>
      <c r="D679" s="28"/>
      <c r="E679" s="8"/>
      <c r="F679" s="8"/>
    </row>
    <row r="680" spans="2:6" x14ac:dyDescent="0.35">
      <c r="B680" s="8"/>
      <c r="C680" s="8"/>
      <c r="D680" s="28"/>
      <c r="E680" s="8"/>
      <c r="F680" s="8"/>
    </row>
    <row r="681" spans="2:6" x14ac:dyDescent="0.35">
      <c r="B681" s="8"/>
      <c r="C681" s="8"/>
      <c r="D681" s="28"/>
      <c r="E681" s="8"/>
      <c r="F681" s="8"/>
    </row>
    <row r="682" spans="2:6" x14ac:dyDescent="0.35">
      <c r="B682" s="8"/>
      <c r="C682" s="8"/>
      <c r="D682" s="28"/>
      <c r="E682" s="8"/>
      <c r="F682" s="8"/>
    </row>
    <row r="683" spans="2:6" x14ac:dyDescent="0.35">
      <c r="B683" s="8"/>
      <c r="C683" s="8"/>
      <c r="D683" s="28"/>
      <c r="E683" s="8"/>
      <c r="F683" s="8"/>
    </row>
    <row r="684" spans="2:6" x14ac:dyDescent="0.35">
      <c r="B684" s="8"/>
      <c r="C684" s="8"/>
      <c r="D684" s="28"/>
      <c r="E684" s="8"/>
      <c r="F684" s="8"/>
    </row>
    <row r="685" spans="2:6" x14ac:dyDescent="0.35">
      <c r="B685" s="8"/>
      <c r="C685" s="8"/>
      <c r="D685" s="28"/>
      <c r="E685" s="8"/>
      <c r="F685" s="8"/>
    </row>
    <row r="686" spans="2:6" x14ac:dyDescent="0.35">
      <c r="B686" s="8"/>
      <c r="C686" s="8"/>
      <c r="D686" s="28"/>
      <c r="E686" s="8"/>
      <c r="F686" s="8"/>
    </row>
    <row r="687" spans="2:6" x14ac:dyDescent="0.35">
      <c r="B687" s="8"/>
      <c r="C687" s="8"/>
      <c r="D687" s="28"/>
      <c r="E687" s="8"/>
      <c r="F687" s="8"/>
    </row>
    <row r="688" spans="2:6" x14ac:dyDescent="0.35">
      <c r="B688" s="8"/>
      <c r="C688" s="8"/>
      <c r="D688" s="28"/>
      <c r="E688" s="8"/>
      <c r="F688" s="8"/>
    </row>
    <row r="689" spans="2:6" x14ac:dyDescent="0.35">
      <c r="B689" s="8"/>
      <c r="C689" s="8"/>
      <c r="D689" s="28"/>
      <c r="E689" s="8"/>
      <c r="F689" s="8"/>
    </row>
    <row r="690" spans="2:6" x14ac:dyDescent="0.35">
      <c r="B690" s="8"/>
      <c r="C690" s="8"/>
      <c r="D690" s="28"/>
      <c r="E690" s="8"/>
      <c r="F690" s="8"/>
    </row>
    <row r="691" spans="2:6" x14ac:dyDescent="0.35">
      <c r="B691" s="8"/>
      <c r="C691" s="8"/>
      <c r="D691" s="28"/>
      <c r="E691" s="8"/>
      <c r="F691" s="8"/>
    </row>
    <row r="692" spans="2:6" x14ac:dyDescent="0.35">
      <c r="B692" s="8"/>
      <c r="C692" s="8"/>
      <c r="D692" s="28"/>
      <c r="E692" s="8"/>
      <c r="F692" s="8"/>
    </row>
    <row r="693" spans="2:6" x14ac:dyDescent="0.35">
      <c r="B693" s="8"/>
      <c r="C693" s="8"/>
      <c r="D693" s="28"/>
      <c r="E693" s="8"/>
      <c r="F693" s="8"/>
    </row>
    <row r="694" spans="2:6" x14ac:dyDescent="0.35">
      <c r="B694" s="8"/>
      <c r="C694" s="8"/>
      <c r="D694" s="28"/>
      <c r="E694" s="8"/>
      <c r="F694" s="8"/>
    </row>
    <row r="695" spans="2:6" x14ac:dyDescent="0.35">
      <c r="B695" s="8"/>
      <c r="C695" s="8"/>
      <c r="D695" s="28"/>
      <c r="E695" s="8"/>
      <c r="F695" s="8"/>
    </row>
    <row r="696" spans="2:6" x14ac:dyDescent="0.35">
      <c r="B696" s="8"/>
      <c r="C696" s="8"/>
      <c r="D696" s="28"/>
      <c r="E696" s="8"/>
      <c r="F696" s="8"/>
    </row>
    <row r="697" spans="2:6" x14ac:dyDescent="0.35">
      <c r="B697" s="8"/>
      <c r="C697" s="8"/>
      <c r="D697" s="28"/>
      <c r="E697" s="8"/>
      <c r="F697" s="8"/>
    </row>
    <row r="698" spans="2:6" x14ac:dyDescent="0.35">
      <c r="B698" s="8"/>
      <c r="C698" s="8"/>
      <c r="D698" s="28"/>
      <c r="E698" s="8"/>
      <c r="F698" s="8"/>
    </row>
    <row r="699" spans="2:6" x14ac:dyDescent="0.35">
      <c r="B699" s="8"/>
      <c r="C699" s="8"/>
      <c r="D699" s="28"/>
      <c r="E699" s="8"/>
      <c r="F699" s="8"/>
    </row>
    <row r="700" spans="2:6" x14ac:dyDescent="0.35">
      <c r="B700" s="8"/>
      <c r="C700" s="8"/>
      <c r="D700" s="28"/>
      <c r="E700" s="8"/>
      <c r="F700" s="8"/>
    </row>
    <row r="701" spans="2:6" x14ac:dyDescent="0.35">
      <c r="B701" s="8"/>
      <c r="C701" s="8"/>
      <c r="D701" s="28"/>
      <c r="E701" s="8"/>
      <c r="F701" s="8"/>
    </row>
    <row r="702" spans="2:6" x14ac:dyDescent="0.35">
      <c r="B702" s="8"/>
      <c r="C702" s="8"/>
      <c r="D702" s="28"/>
      <c r="E702" s="8"/>
      <c r="F702" s="8"/>
    </row>
    <row r="703" spans="2:6" x14ac:dyDescent="0.35">
      <c r="B703" s="8"/>
      <c r="C703" s="8"/>
      <c r="D703" s="28"/>
      <c r="E703" s="8"/>
      <c r="F703" s="8"/>
    </row>
    <row r="704" spans="2:6" x14ac:dyDescent="0.35">
      <c r="B704" s="8"/>
      <c r="C704" s="8"/>
      <c r="D704" s="28"/>
      <c r="E704" s="8"/>
      <c r="F704" s="8"/>
    </row>
    <row r="705" spans="2:6" x14ac:dyDescent="0.35">
      <c r="B705" s="8"/>
      <c r="C705" s="8"/>
      <c r="D705" s="28"/>
      <c r="E705" s="8"/>
      <c r="F705" s="8"/>
    </row>
    <row r="706" spans="2:6" x14ac:dyDescent="0.35">
      <c r="B706" s="8"/>
      <c r="C706" s="8"/>
      <c r="D706" s="28"/>
      <c r="E706" s="8"/>
      <c r="F706" s="8"/>
    </row>
    <row r="707" spans="2:6" x14ac:dyDescent="0.35">
      <c r="B707" s="8"/>
      <c r="C707" s="8"/>
      <c r="D707" s="28"/>
      <c r="E707" s="8"/>
      <c r="F707" s="8"/>
    </row>
    <row r="708" spans="2:6" x14ac:dyDescent="0.35">
      <c r="B708" s="8"/>
      <c r="C708" s="8"/>
      <c r="D708" s="28"/>
      <c r="E708" s="8"/>
      <c r="F708" s="8"/>
    </row>
    <row r="709" spans="2:6" x14ac:dyDescent="0.35">
      <c r="B709" s="8"/>
      <c r="C709" s="8"/>
      <c r="D709" s="28"/>
      <c r="E709" s="8"/>
      <c r="F709" s="8"/>
    </row>
    <row r="710" spans="2:6" x14ac:dyDescent="0.35">
      <c r="B710" s="8"/>
      <c r="C710" s="8"/>
      <c r="D710" s="28"/>
      <c r="E710" s="8"/>
      <c r="F710" s="8"/>
    </row>
    <row r="711" spans="2:6" x14ac:dyDescent="0.35">
      <c r="B711" s="8"/>
      <c r="C711" s="8"/>
      <c r="D711" s="28"/>
      <c r="E711" s="8"/>
      <c r="F711" s="8"/>
    </row>
    <row r="712" spans="2:6" x14ac:dyDescent="0.35">
      <c r="B712" s="8"/>
      <c r="C712" s="8"/>
      <c r="D712" s="28"/>
      <c r="E712" s="8"/>
      <c r="F712" s="8"/>
    </row>
    <row r="713" spans="2:6" x14ac:dyDescent="0.35">
      <c r="B713" s="8"/>
      <c r="C713" s="8"/>
      <c r="D713" s="28"/>
      <c r="E713" s="8"/>
      <c r="F713" s="8"/>
    </row>
    <row r="714" spans="2:6" x14ac:dyDescent="0.35">
      <c r="B714" s="8"/>
      <c r="C714" s="8"/>
      <c r="D714" s="28"/>
      <c r="E714" s="8"/>
      <c r="F714" s="8"/>
    </row>
    <row r="715" spans="2:6" x14ac:dyDescent="0.35">
      <c r="B715" s="8"/>
      <c r="C715" s="8"/>
      <c r="D715" s="28"/>
      <c r="E715" s="8"/>
      <c r="F715" s="8"/>
    </row>
    <row r="716" spans="2:6" x14ac:dyDescent="0.35">
      <c r="B716" s="8"/>
      <c r="C716" s="8"/>
      <c r="D716" s="28"/>
      <c r="E716" s="8"/>
      <c r="F716" s="8"/>
    </row>
    <row r="717" spans="2:6" x14ac:dyDescent="0.35">
      <c r="B717" s="8"/>
      <c r="C717" s="8"/>
      <c r="D717" s="28"/>
      <c r="E717" s="8"/>
      <c r="F717" s="8"/>
    </row>
    <row r="718" spans="2:6" x14ac:dyDescent="0.35">
      <c r="B718" s="8"/>
      <c r="C718" s="8"/>
      <c r="D718" s="28"/>
      <c r="E718" s="8"/>
      <c r="F718" s="8"/>
    </row>
    <row r="719" spans="2:6" x14ac:dyDescent="0.35">
      <c r="B719" s="8"/>
      <c r="C719" s="8"/>
      <c r="D719" s="28"/>
      <c r="E719" s="8"/>
      <c r="F719" s="8"/>
    </row>
    <row r="720" spans="2:6" x14ac:dyDescent="0.35">
      <c r="B720" s="8"/>
      <c r="C720" s="8"/>
      <c r="D720" s="28"/>
      <c r="E720" s="8"/>
      <c r="F720" s="8"/>
    </row>
    <row r="721" spans="2:6" x14ac:dyDescent="0.35">
      <c r="B721" s="8"/>
      <c r="C721" s="8"/>
      <c r="D721" s="28"/>
      <c r="E721" s="8"/>
      <c r="F721" s="8"/>
    </row>
    <row r="722" spans="2:6" x14ac:dyDescent="0.35">
      <c r="B722" s="8"/>
      <c r="C722" s="8"/>
      <c r="D722" s="28"/>
      <c r="E722" s="8"/>
      <c r="F722" s="8"/>
    </row>
    <row r="723" spans="2:6" x14ac:dyDescent="0.35">
      <c r="B723" s="8"/>
      <c r="C723" s="8"/>
      <c r="D723" s="28"/>
      <c r="E723" s="8"/>
      <c r="F723" s="8"/>
    </row>
    <row r="724" spans="2:6" x14ac:dyDescent="0.35">
      <c r="B724" s="8"/>
      <c r="C724" s="8"/>
      <c r="D724" s="28"/>
      <c r="E724" s="8"/>
      <c r="F724" s="8"/>
    </row>
    <row r="725" spans="2:6" x14ac:dyDescent="0.35">
      <c r="B725" s="8"/>
      <c r="C725" s="8"/>
      <c r="D725" s="28"/>
      <c r="E725" s="8"/>
      <c r="F725" s="8"/>
    </row>
    <row r="726" spans="2:6" x14ac:dyDescent="0.35">
      <c r="B726" s="8"/>
      <c r="C726" s="8"/>
      <c r="D726" s="28"/>
      <c r="E726" s="8"/>
      <c r="F726" s="8"/>
    </row>
    <row r="727" spans="2:6" x14ac:dyDescent="0.35">
      <c r="B727" s="8"/>
      <c r="C727" s="8"/>
      <c r="D727" s="28"/>
      <c r="E727" s="8"/>
      <c r="F727" s="8"/>
    </row>
    <row r="728" spans="2:6" x14ac:dyDescent="0.35">
      <c r="B728" s="8"/>
      <c r="C728" s="8"/>
      <c r="D728" s="28"/>
      <c r="E728" s="8"/>
      <c r="F728" s="8"/>
    </row>
    <row r="729" spans="2:6" x14ac:dyDescent="0.35">
      <c r="B729" s="8"/>
      <c r="C729" s="8"/>
      <c r="D729" s="28"/>
      <c r="E729" s="8"/>
      <c r="F729" s="8"/>
    </row>
    <row r="730" spans="2:6" x14ac:dyDescent="0.35">
      <c r="B730" s="8"/>
      <c r="C730" s="8"/>
      <c r="D730" s="28"/>
      <c r="E730" s="8"/>
      <c r="F730" s="8"/>
    </row>
    <row r="731" spans="2:6" x14ac:dyDescent="0.35">
      <c r="B731" s="8"/>
      <c r="C731" s="8"/>
      <c r="D731" s="28"/>
      <c r="E731" s="8"/>
      <c r="F731" s="8"/>
    </row>
    <row r="732" spans="2:6" x14ac:dyDescent="0.35">
      <c r="B732" s="8"/>
      <c r="C732" s="8"/>
      <c r="D732" s="28"/>
      <c r="E732" s="8"/>
      <c r="F732" s="8"/>
    </row>
    <row r="733" spans="2:6" x14ac:dyDescent="0.35">
      <c r="B733" s="8"/>
      <c r="C733" s="8"/>
      <c r="D733" s="28"/>
      <c r="E733" s="8"/>
      <c r="F733" s="8"/>
    </row>
    <row r="734" spans="2:6" x14ac:dyDescent="0.35">
      <c r="B734" s="8"/>
      <c r="C734" s="8"/>
      <c r="D734" s="28"/>
      <c r="E734" s="8"/>
      <c r="F734" s="8"/>
    </row>
    <row r="735" spans="2:6" x14ac:dyDescent="0.35">
      <c r="B735" s="8"/>
      <c r="C735" s="8"/>
      <c r="D735" s="28"/>
      <c r="E735" s="8"/>
      <c r="F735" s="8"/>
    </row>
    <row r="736" spans="2:6" x14ac:dyDescent="0.35">
      <c r="B736" s="8"/>
      <c r="C736" s="8"/>
      <c r="D736" s="28"/>
      <c r="E736" s="8"/>
      <c r="F736" s="8"/>
    </row>
    <row r="737" spans="2:6" x14ac:dyDescent="0.35">
      <c r="B737" s="8"/>
      <c r="C737" s="8"/>
      <c r="D737" s="28"/>
      <c r="E737" s="8"/>
      <c r="F737" s="8"/>
    </row>
    <row r="738" spans="2:6" x14ac:dyDescent="0.35">
      <c r="B738" s="8"/>
      <c r="C738" s="8"/>
      <c r="D738" s="28"/>
      <c r="E738" s="8"/>
      <c r="F738" s="8"/>
    </row>
    <row r="739" spans="2:6" x14ac:dyDescent="0.35">
      <c r="B739" s="8"/>
      <c r="C739" s="8"/>
      <c r="D739" s="28"/>
      <c r="E739" s="8"/>
      <c r="F739" s="8"/>
    </row>
    <row r="740" spans="2:6" x14ac:dyDescent="0.35">
      <c r="B740" s="8"/>
      <c r="C740" s="8"/>
      <c r="D740" s="28"/>
      <c r="E740" s="8"/>
      <c r="F740" s="8"/>
    </row>
    <row r="741" spans="2:6" x14ac:dyDescent="0.35">
      <c r="B741" s="8"/>
      <c r="C741" s="8"/>
      <c r="D741" s="28"/>
      <c r="E741" s="8"/>
      <c r="F741" s="8"/>
    </row>
    <row r="742" spans="2:6" x14ac:dyDescent="0.35">
      <c r="B742" s="8"/>
      <c r="C742" s="8"/>
      <c r="D742" s="28"/>
      <c r="E742" s="8"/>
      <c r="F742" s="8"/>
    </row>
    <row r="743" spans="2:6" x14ac:dyDescent="0.35">
      <c r="B743" s="8"/>
      <c r="C743" s="8"/>
      <c r="D743" s="28"/>
      <c r="E743" s="8"/>
      <c r="F743" s="8"/>
    </row>
    <row r="744" spans="2:6" x14ac:dyDescent="0.35">
      <c r="B744" s="8"/>
      <c r="C744" s="8"/>
      <c r="D744" s="28"/>
      <c r="E744" s="8"/>
      <c r="F744" s="8"/>
    </row>
    <row r="745" spans="2:6" x14ac:dyDescent="0.35">
      <c r="B745" s="8"/>
      <c r="C745" s="8"/>
      <c r="D745" s="28"/>
      <c r="E745" s="8"/>
      <c r="F745" s="8"/>
    </row>
    <row r="746" spans="2:6" x14ac:dyDescent="0.35">
      <c r="B746" s="8"/>
      <c r="C746" s="8"/>
      <c r="D746" s="28"/>
      <c r="E746" s="8"/>
      <c r="F746" s="8"/>
    </row>
    <row r="747" spans="2:6" x14ac:dyDescent="0.35">
      <c r="B747" s="8"/>
      <c r="C747" s="8"/>
      <c r="D747" s="28"/>
      <c r="E747" s="8"/>
      <c r="F747" s="8"/>
    </row>
    <row r="748" spans="2:6" x14ac:dyDescent="0.35">
      <c r="B748" s="8"/>
      <c r="C748" s="8"/>
      <c r="D748" s="28"/>
      <c r="E748" s="8"/>
      <c r="F748" s="8"/>
    </row>
    <row r="749" spans="2:6" x14ac:dyDescent="0.35">
      <c r="B749" s="8"/>
      <c r="C749" s="8"/>
      <c r="D749" s="28"/>
      <c r="E749" s="8"/>
      <c r="F749" s="8"/>
    </row>
    <row r="750" spans="2:6" x14ac:dyDescent="0.35">
      <c r="B750" s="8"/>
      <c r="C750" s="8"/>
      <c r="D750" s="28"/>
      <c r="E750" s="8"/>
      <c r="F750" s="8"/>
    </row>
    <row r="751" spans="2:6" x14ac:dyDescent="0.35">
      <c r="B751" s="8"/>
      <c r="C751" s="8"/>
      <c r="D751" s="28"/>
      <c r="E751" s="8"/>
      <c r="F751" s="8"/>
    </row>
    <row r="752" spans="2:6" x14ac:dyDescent="0.35">
      <c r="B752" s="8"/>
      <c r="C752" s="8"/>
      <c r="D752" s="28"/>
      <c r="E752" s="8"/>
      <c r="F752" s="8"/>
    </row>
    <row r="753" spans="2:6" x14ac:dyDescent="0.35">
      <c r="B753" s="8"/>
      <c r="C753" s="8"/>
      <c r="D753" s="28"/>
      <c r="E753" s="8"/>
      <c r="F753" s="8"/>
    </row>
    <row r="754" spans="2:6" x14ac:dyDescent="0.35">
      <c r="B754" s="8"/>
      <c r="C754" s="8"/>
      <c r="D754" s="28"/>
      <c r="E754" s="8"/>
      <c r="F754" s="8"/>
    </row>
    <row r="755" spans="2:6" x14ac:dyDescent="0.35">
      <c r="B755" s="8"/>
      <c r="C755" s="8"/>
      <c r="D755" s="28"/>
      <c r="E755" s="8"/>
      <c r="F755" s="8"/>
    </row>
    <row r="756" spans="2:6" x14ac:dyDescent="0.35">
      <c r="B756" s="8"/>
      <c r="C756" s="8"/>
      <c r="D756" s="28"/>
      <c r="E756" s="8"/>
      <c r="F756" s="8"/>
    </row>
    <row r="757" spans="2:6" x14ac:dyDescent="0.35">
      <c r="B757" s="8"/>
      <c r="C757" s="8"/>
      <c r="D757" s="28"/>
      <c r="E757" s="8"/>
      <c r="F757" s="8"/>
    </row>
    <row r="758" spans="2:6" x14ac:dyDescent="0.35">
      <c r="B758" s="8"/>
      <c r="C758" s="8"/>
      <c r="D758" s="28"/>
      <c r="E758" s="8"/>
      <c r="F758" s="8"/>
    </row>
    <row r="759" spans="2:6" x14ac:dyDescent="0.35">
      <c r="B759" s="8"/>
      <c r="C759" s="8"/>
      <c r="D759" s="28"/>
      <c r="E759" s="8"/>
      <c r="F759" s="8"/>
    </row>
    <row r="760" spans="2:6" x14ac:dyDescent="0.35">
      <c r="B760" s="8"/>
      <c r="C760" s="8"/>
      <c r="D760" s="28"/>
      <c r="E760" s="8"/>
      <c r="F760" s="8"/>
    </row>
    <row r="761" spans="2:6" x14ac:dyDescent="0.35">
      <c r="B761" s="8"/>
      <c r="C761" s="8"/>
      <c r="D761" s="28"/>
      <c r="E761" s="8"/>
      <c r="F761" s="8"/>
    </row>
    <row r="762" spans="2:6" x14ac:dyDescent="0.35">
      <c r="B762" s="8"/>
      <c r="C762" s="8"/>
      <c r="D762" s="28"/>
      <c r="E762" s="8"/>
      <c r="F762" s="8"/>
    </row>
    <row r="763" spans="2:6" x14ac:dyDescent="0.35">
      <c r="B763" s="8"/>
      <c r="C763" s="8"/>
      <c r="D763" s="28"/>
      <c r="E763" s="8"/>
      <c r="F763" s="8"/>
    </row>
    <row r="764" spans="2:6" x14ac:dyDescent="0.35">
      <c r="B764" s="8"/>
      <c r="C764" s="8"/>
      <c r="D764" s="28"/>
      <c r="E764" s="8"/>
      <c r="F764" s="8"/>
    </row>
    <row r="765" spans="2:6" x14ac:dyDescent="0.35">
      <c r="B765" s="8"/>
      <c r="C765" s="8"/>
      <c r="D765" s="28"/>
      <c r="E765" s="8"/>
      <c r="F765" s="8"/>
    </row>
    <row r="766" spans="2:6" x14ac:dyDescent="0.35">
      <c r="B766" s="8"/>
      <c r="C766" s="8"/>
      <c r="D766" s="28"/>
      <c r="E766" s="8"/>
      <c r="F766" s="8"/>
    </row>
    <row r="767" spans="2:6" x14ac:dyDescent="0.35">
      <c r="B767" s="8"/>
      <c r="C767" s="8"/>
      <c r="D767" s="28"/>
      <c r="E767" s="8"/>
      <c r="F767" s="8"/>
    </row>
    <row r="768" spans="2:6" x14ac:dyDescent="0.35">
      <c r="B768" s="8"/>
      <c r="C768" s="8"/>
      <c r="D768" s="28"/>
      <c r="E768" s="8"/>
      <c r="F768" s="8"/>
    </row>
    <row r="769" spans="2:6" x14ac:dyDescent="0.35">
      <c r="B769" s="8"/>
      <c r="C769" s="8"/>
      <c r="D769" s="28"/>
      <c r="E769" s="8"/>
      <c r="F769" s="8"/>
    </row>
    <row r="770" spans="2:6" x14ac:dyDescent="0.35">
      <c r="B770" s="8"/>
      <c r="C770" s="8"/>
      <c r="D770" s="28"/>
      <c r="E770" s="8"/>
      <c r="F770" s="8"/>
    </row>
    <row r="771" spans="2:6" x14ac:dyDescent="0.35">
      <c r="B771" s="8"/>
      <c r="C771" s="8"/>
      <c r="D771" s="28"/>
      <c r="E771" s="8"/>
      <c r="F771" s="8"/>
    </row>
    <row r="772" spans="2:6" x14ac:dyDescent="0.35">
      <c r="B772" s="8"/>
      <c r="C772" s="8"/>
      <c r="D772" s="28"/>
      <c r="E772" s="8"/>
      <c r="F772" s="8"/>
    </row>
    <row r="773" spans="2:6" x14ac:dyDescent="0.35">
      <c r="B773" s="8"/>
      <c r="C773" s="8"/>
      <c r="D773" s="28"/>
      <c r="E773" s="8"/>
      <c r="F773" s="8"/>
    </row>
    <row r="774" spans="2:6" x14ac:dyDescent="0.35">
      <c r="B774" s="8"/>
      <c r="C774" s="8"/>
      <c r="D774" s="28"/>
      <c r="E774" s="8"/>
      <c r="F774" s="8"/>
    </row>
    <row r="775" spans="2:6" x14ac:dyDescent="0.35">
      <c r="B775" s="8"/>
      <c r="C775" s="8"/>
      <c r="D775" s="28"/>
      <c r="E775" s="8"/>
      <c r="F775" s="8"/>
    </row>
    <row r="776" spans="2:6" x14ac:dyDescent="0.35">
      <c r="B776" s="8"/>
      <c r="C776" s="8"/>
      <c r="D776" s="28"/>
      <c r="E776" s="8"/>
      <c r="F776" s="8"/>
    </row>
    <row r="777" spans="2:6" x14ac:dyDescent="0.35">
      <c r="B777" s="8"/>
      <c r="C777" s="8"/>
      <c r="D777" s="28"/>
      <c r="E777" s="8"/>
      <c r="F777" s="8"/>
    </row>
    <row r="778" spans="2:6" x14ac:dyDescent="0.35">
      <c r="B778" s="8"/>
      <c r="C778" s="8"/>
      <c r="D778" s="28"/>
      <c r="E778" s="8"/>
      <c r="F778" s="8"/>
    </row>
    <row r="779" spans="2:6" x14ac:dyDescent="0.35">
      <c r="B779" s="8"/>
      <c r="C779" s="8"/>
      <c r="D779" s="28"/>
      <c r="E779" s="8"/>
      <c r="F779" s="8"/>
    </row>
    <row r="780" spans="2:6" x14ac:dyDescent="0.35">
      <c r="B780" s="8"/>
      <c r="C780" s="8"/>
      <c r="D780" s="28"/>
      <c r="E780" s="8"/>
      <c r="F780" s="8"/>
    </row>
    <row r="781" spans="2:6" x14ac:dyDescent="0.35">
      <c r="B781" s="8"/>
      <c r="C781" s="8"/>
      <c r="D781" s="28"/>
      <c r="E781" s="8"/>
      <c r="F781" s="8"/>
    </row>
    <row r="782" spans="2:6" x14ac:dyDescent="0.35">
      <c r="B782" s="8"/>
      <c r="C782" s="8"/>
      <c r="D782" s="28"/>
      <c r="E782" s="8"/>
      <c r="F782" s="8"/>
    </row>
    <row r="783" spans="2:6" x14ac:dyDescent="0.35">
      <c r="B783" s="8"/>
      <c r="C783" s="8"/>
      <c r="D783" s="28"/>
      <c r="E783" s="8"/>
      <c r="F783" s="8"/>
    </row>
    <row r="784" spans="2:6" x14ac:dyDescent="0.35">
      <c r="B784" s="8"/>
      <c r="C784" s="8"/>
      <c r="D784" s="28"/>
      <c r="E784" s="8"/>
      <c r="F784" s="8"/>
    </row>
    <row r="785" spans="2:6" x14ac:dyDescent="0.35">
      <c r="B785" s="8"/>
      <c r="C785" s="8"/>
      <c r="D785" s="28"/>
      <c r="E785" s="8"/>
      <c r="F785" s="8"/>
    </row>
    <row r="786" spans="2:6" x14ac:dyDescent="0.35">
      <c r="B786" s="8"/>
      <c r="C786" s="8"/>
      <c r="D786" s="28"/>
      <c r="E786" s="8"/>
      <c r="F786" s="8"/>
    </row>
    <row r="787" spans="2:6" x14ac:dyDescent="0.35">
      <c r="B787" s="8"/>
      <c r="C787" s="8"/>
      <c r="D787" s="28"/>
      <c r="E787" s="8"/>
      <c r="F787" s="8"/>
    </row>
    <row r="788" spans="2:6" x14ac:dyDescent="0.35">
      <c r="B788" s="8"/>
      <c r="C788" s="8"/>
      <c r="D788" s="28"/>
      <c r="E788" s="8"/>
      <c r="F788" s="8"/>
    </row>
    <row r="789" spans="2:6" x14ac:dyDescent="0.35">
      <c r="B789" s="8"/>
      <c r="C789" s="8"/>
      <c r="D789" s="28"/>
      <c r="E789" s="8"/>
      <c r="F789" s="8"/>
    </row>
    <row r="790" spans="2:6" x14ac:dyDescent="0.35">
      <c r="B790" s="8"/>
      <c r="C790" s="8"/>
      <c r="D790" s="28"/>
      <c r="E790" s="8"/>
      <c r="F790" s="8"/>
    </row>
    <row r="791" spans="2:6" x14ac:dyDescent="0.35">
      <c r="B791" s="8"/>
      <c r="C791" s="8"/>
      <c r="D791" s="28"/>
      <c r="E791" s="8"/>
      <c r="F791" s="8"/>
    </row>
    <row r="792" spans="2:6" x14ac:dyDescent="0.35">
      <c r="B792" s="8"/>
      <c r="C792" s="8"/>
      <c r="D792" s="28"/>
      <c r="E792" s="8"/>
      <c r="F792" s="8"/>
    </row>
    <row r="793" spans="2:6" x14ac:dyDescent="0.35">
      <c r="B793" s="8"/>
      <c r="C793" s="8"/>
      <c r="D793" s="28"/>
      <c r="E793" s="8"/>
      <c r="F793" s="8"/>
    </row>
    <row r="794" spans="2:6" x14ac:dyDescent="0.35">
      <c r="B794" s="8"/>
      <c r="C794" s="8"/>
      <c r="D794" s="28"/>
      <c r="E794" s="8"/>
      <c r="F794" s="8"/>
    </row>
    <row r="795" spans="2:6" x14ac:dyDescent="0.35">
      <c r="B795" s="8"/>
      <c r="C795" s="8"/>
      <c r="D795" s="28"/>
      <c r="E795" s="8"/>
      <c r="F795" s="8"/>
    </row>
    <row r="796" spans="2:6" x14ac:dyDescent="0.35">
      <c r="B796" s="8"/>
      <c r="C796" s="8"/>
      <c r="D796" s="28"/>
      <c r="E796" s="8"/>
      <c r="F796" s="8"/>
    </row>
    <row r="797" spans="2:6" x14ac:dyDescent="0.35">
      <c r="B797" s="8"/>
      <c r="C797" s="8"/>
      <c r="D797" s="28"/>
      <c r="E797" s="8"/>
      <c r="F797" s="8"/>
    </row>
    <row r="798" spans="2:6" x14ac:dyDescent="0.35">
      <c r="B798" s="8"/>
      <c r="C798" s="8"/>
      <c r="D798" s="28"/>
      <c r="E798" s="8"/>
      <c r="F798" s="8"/>
    </row>
    <row r="799" spans="2:6" x14ac:dyDescent="0.35">
      <c r="B799" s="8"/>
      <c r="C799" s="8"/>
      <c r="D799" s="28"/>
      <c r="E799" s="8"/>
      <c r="F799" s="8"/>
    </row>
    <row r="800" spans="2:6" x14ac:dyDescent="0.35">
      <c r="B800" s="8"/>
      <c r="C800" s="8"/>
      <c r="D800" s="28"/>
      <c r="E800" s="8"/>
      <c r="F800" s="8"/>
    </row>
    <row r="801" spans="2:6" x14ac:dyDescent="0.35">
      <c r="B801" s="8"/>
      <c r="C801" s="8"/>
      <c r="D801" s="28"/>
      <c r="E801" s="8"/>
      <c r="F801" s="8"/>
    </row>
    <row r="802" spans="2:6" x14ac:dyDescent="0.35">
      <c r="B802" s="8"/>
      <c r="C802" s="8"/>
      <c r="D802" s="28"/>
      <c r="E802" s="8"/>
      <c r="F802" s="8"/>
    </row>
    <row r="803" spans="2:6" x14ac:dyDescent="0.35">
      <c r="B803" s="8"/>
      <c r="C803" s="8"/>
      <c r="D803" s="28"/>
      <c r="E803" s="8"/>
      <c r="F803" s="8"/>
    </row>
    <row r="804" spans="2:6" x14ac:dyDescent="0.35">
      <c r="B804" s="8"/>
      <c r="C804" s="8"/>
      <c r="D804" s="28"/>
      <c r="E804" s="8"/>
      <c r="F804" s="8"/>
    </row>
    <row r="805" spans="2:6" x14ac:dyDescent="0.35">
      <c r="B805" s="8"/>
      <c r="C805" s="8"/>
      <c r="D805" s="28"/>
      <c r="E805" s="8"/>
      <c r="F805" s="8"/>
    </row>
    <row r="806" spans="2:6" x14ac:dyDescent="0.35">
      <c r="B806" s="8"/>
      <c r="C806" s="8"/>
      <c r="D806" s="28"/>
      <c r="E806" s="8"/>
      <c r="F806" s="8"/>
    </row>
    <row r="807" spans="2:6" x14ac:dyDescent="0.35">
      <c r="B807" s="8"/>
      <c r="C807" s="8"/>
      <c r="D807" s="28"/>
      <c r="E807" s="8"/>
      <c r="F807" s="8"/>
    </row>
    <row r="808" spans="2:6" x14ac:dyDescent="0.35">
      <c r="B808" s="8"/>
      <c r="C808" s="8"/>
      <c r="D808" s="28"/>
      <c r="E808" s="8"/>
      <c r="F808" s="8"/>
    </row>
    <row r="809" spans="2:6" x14ac:dyDescent="0.35">
      <c r="B809" s="8"/>
      <c r="C809" s="8"/>
      <c r="D809" s="28"/>
      <c r="E809" s="8"/>
      <c r="F809" s="8"/>
    </row>
    <row r="810" spans="2:6" x14ac:dyDescent="0.35">
      <c r="B810" s="8"/>
      <c r="C810" s="8"/>
      <c r="D810" s="28"/>
      <c r="E810" s="8"/>
      <c r="F810" s="8"/>
    </row>
    <row r="811" spans="2:6" x14ac:dyDescent="0.35">
      <c r="B811" s="8"/>
      <c r="C811" s="8"/>
      <c r="D811" s="28"/>
      <c r="E811" s="8"/>
      <c r="F811" s="8"/>
    </row>
    <row r="812" spans="2:6" x14ac:dyDescent="0.35">
      <c r="B812" s="8"/>
      <c r="C812" s="8"/>
      <c r="D812" s="28"/>
      <c r="E812" s="8"/>
      <c r="F812" s="8"/>
    </row>
    <row r="813" spans="2:6" x14ac:dyDescent="0.35">
      <c r="B813" s="8"/>
      <c r="C813" s="8"/>
      <c r="D813" s="28"/>
      <c r="E813" s="8"/>
      <c r="F813" s="8"/>
    </row>
    <row r="814" spans="2:6" x14ac:dyDescent="0.35">
      <c r="B814" s="8"/>
      <c r="C814" s="8"/>
      <c r="D814" s="28"/>
      <c r="E814" s="8"/>
      <c r="F814" s="8"/>
    </row>
    <row r="815" spans="2:6" x14ac:dyDescent="0.35">
      <c r="B815" s="8"/>
      <c r="C815" s="8"/>
      <c r="D815" s="28"/>
      <c r="E815" s="8"/>
      <c r="F815" s="8"/>
    </row>
    <row r="816" spans="2:6" x14ac:dyDescent="0.35">
      <c r="B816" s="8"/>
      <c r="C816" s="8"/>
      <c r="D816" s="28"/>
      <c r="E816" s="8"/>
      <c r="F816" s="8"/>
    </row>
    <row r="817" spans="2:6" x14ac:dyDescent="0.35">
      <c r="B817" s="8"/>
      <c r="C817" s="8"/>
      <c r="D817" s="28"/>
      <c r="E817" s="8"/>
      <c r="F817" s="8"/>
    </row>
    <row r="818" spans="2:6" x14ac:dyDescent="0.35">
      <c r="B818" s="8"/>
      <c r="C818" s="8"/>
      <c r="D818" s="28"/>
      <c r="E818" s="8"/>
      <c r="F818" s="8"/>
    </row>
    <row r="819" spans="2:6" x14ac:dyDescent="0.35">
      <c r="B819" s="8"/>
      <c r="C819" s="8"/>
      <c r="D819" s="28"/>
      <c r="E819" s="8"/>
      <c r="F819" s="8"/>
    </row>
    <row r="820" spans="2:6" x14ac:dyDescent="0.35">
      <c r="B820" s="8"/>
      <c r="C820" s="8"/>
      <c r="D820" s="28"/>
      <c r="E820" s="8"/>
      <c r="F820" s="8"/>
    </row>
    <row r="821" spans="2:6" x14ac:dyDescent="0.35">
      <c r="B821" s="8"/>
      <c r="C821" s="8"/>
      <c r="D821" s="28"/>
      <c r="E821" s="8"/>
      <c r="F821" s="8"/>
    </row>
    <row r="822" spans="2:6" x14ac:dyDescent="0.35">
      <c r="B822" s="8"/>
      <c r="C822" s="8"/>
      <c r="D822" s="28"/>
      <c r="E822" s="8"/>
      <c r="F822" s="8"/>
    </row>
    <row r="823" spans="2:6" x14ac:dyDescent="0.35">
      <c r="B823" s="8"/>
      <c r="C823" s="8"/>
      <c r="D823" s="28"/>
      <c r="E823" s="8"/>
      <c r="F823" s="8"/>
    </row>
    <row r="824" spans="2:6" x14ac:dyDescent="0.35">
      <c r="B824" s="8"/>
      <c r="C824" s="8"/>
      <c r="D824" s="28"/>
      <c r="E824" s="8"/>
      <c r="F824" s="8"/>
    </row>
    <row r="825" spans="2:6" x14ac:dyDescent="0.35">
      <c r="B825" s="8"/>
      <c r="C825" s="8"/>
      <c r="D825" s="28"/>
      <c r="E825" s="8"/>
      <c r="F825" s="8"/>
    </row>
    <row r="826" spans="2:6" x14ac:dyDescent="0.35">
      <c r="B826" s="8"/>
      <c r="C826" s="8"/>
      <c r="D826" s="28"/>
      <c r="E826" s="8"/>
      <c r="F826" s="8"/>
    </row>
    <row r="827" spans="2:6" x14ac:dyDescent="0.35">
      <c r="B827" s="8"/>
      <c r="C827" s="8"/>
      <c r="D827" s="28"/>
      <c r="E827" s="8"/>
      <c r="F827" s="8"/>
    </row>
    <row r="828" spans="2:6" x14ac:dyDescent="0.35">
      <c r="B828" s="8"/>
      <c r="C828" s="8"/>
      <c r="D828" s="28"/>
      <c r="E828" s="8"/>
      <c r="F828" s="8"/>
    </row>
    <row r="829" spans="2:6" x14ac:dyDescent="0.35">
      <c r="B829" s="8"/>
      <c r="C829" s="8"/>
      <c r="D829" s="28"/>
      <c r="E829" s="8"/>
      <c r="F829" s="8"/>
    </row>
    <row r="830" spans="2:6" x14ac:dyDescent="0.35">
      <c r="B830" s="8"/>
      <c r="C830" s="8"/>
      <c r="D830" s="28"/>
      <c r="E830" s="8"/>
      <c r="F830" s="8"/>
    </row>
    <row r="831" spans="2:6" x14ac:dyDescent="0.35">
      <c r="B831" s="8"/>
      <c r="C831" s="8"/>
      <c r="D831" s="28"/>
      <c r="E831" s="8"/>
      <c r="F831" s="8"/>
    </row>
    <row r="832" spans="2:6" x14ac:dyDescent="0.35">
      <c r="B832" s="8"/>
      <c r="C832" s="8"/>
      <c r="D832" s="28"/>
      <c r="E832" s="8"/>
      <c r="F832" s="8"/>
    </row>
    <row r="833" spans="2:6" x14ac:dyDescent="0.35">
      <c r="B833" s="8"/>
      <c r="C833" s="8"/>
      <c r="D833" s="28"/>
      <c r="E833" s="8"/>
      <c r="F833" s="8"/>
    </row>
    <row r="834" spans="2:6" x14ac:dyDescent="0.35">
      <c r="B834" s="8"/>
      <c r="C834" s="8"/>
      <c r="D834" s="28"/>
      <c r="E834" s="8"/>
      <c r="F834" s="8"/>
    </row>
    <row r="835" spans="2:6" x14ac:dyDescent="0.35">
      <c r="B835" s="8"/>
      <c r="C835" s="8"/>
      <c r="D835" s="28"/>
      <c r="E835" s="8"/>
      <c r="F835" s="8"/>
    </row>
    <row r="836" spans="2:6" x14ac:dyDescent="0.35">
      <c r="B836" s="8"/>
      <c r="C836" s="8"/>
      <c r="D836" s="28"/>
      <c r="E836" s="8"/>
      <c r="F836" s="8"/>
    </row>
    <row r="837" spans="2:6" x14ac:dyDescent="0.35">
      <c r="B837" s="8"/>
      <c r="C837" s="8"/>
      <c r="D837" s="28"/>
      <c r="E837" s="8"/>
      <c r="F837" s="8"/>
    </row>
    <row r="838" spans="2:6" x14ac:dyDescent="0.35">
      <c r="B838" s="8"/>
      <c r="C838" s="8"/>
      <c r="D838" s="28"/>
      <c r="E838" s="8"/>
      <c r="F838" s="8"/>
    </row>
    <row r="839" spans="2:6" x14ac:dyDescent="0.35">
      <c r="B839" s="8"/>
      <c r="C839" s="8"/>
      <c r="D839" s="28"/>
      <c r="E839" s="8"/>
      <c r="F839" s="8"/>
    </row>
    <row r="840" spans="2:6" x14ac:dyDescent="0.35">
      <c r="B840" s="8"/>
      <c r="C840" s="8"/>
      <c r="D840" s="28"/>
      <c r="E840" s="8"/>
      <c r="F840" s="8"/>
    </row>
    <row r="841" spans="2:6" x14ac:dyDescent="0.35">
      <c r="B841" s="8"/>
      <c r="C841" s="8"/>
      <c r="D841" s="28"/>
      <c r="E841" s="8"/>
      <c r="F841" s="8"/>
    </row>
    <row r="842" spans="2:6" x14ac:dyDescent="0.35">
      <c r="B842" s="8"/>
      <c r="C842" s="8"/>
      <c r="D842" s="28"/>
      <c r="E842" s="8"/>
      <c r="F842" s="8"/>
    </row>
    <row r="843" spans="2:6" x14ac:dyDescent="0.35">
      <c r="B843" s="8"/>
      <c r="C843" s="8"/>
      <c r="D843" s="28"/>
      <c r="E843" s="8"/>
      <c r="F843" s="8"/>
    </row>
    <row r="844" spans="2:6" x14ac:dyDescent="0.35">
      <c r="B844" s="8"/>
      <c r="C844" s="8"/>
      <c r="D844" s="28"/>
      <c r="E844" s="8"/>
      <c r="F844" s="8"/>
    </row>
    <row r="845" spans="2:6" x14ac:dyDescent="0.35">
      <c r="B845" s="8"/>
      <c r="C845" s="8"/>
      <c r="D845" s="28"/>
      <c r="E845" s="8"/>
      <c r="F845" s="8"/>
    </row>
    <row r="846" spans="2:6" x14ac:dyDescent="0.35">
      <c r="B846" s="8"/>
      <c r="C846" s="8"/>
      <c r="D846" s="28"/>
      <c r="E846" s="8"/>
      <c r="F846" s="8"/>
    </row>
    <row r="847" spans="2:6" x14ac:dyDescent="0.35">
      <c r="B847" s="8"/>
      <c r="C847" s="8"/>
      <c r="D847" s="28"/>
      <c r="E847" s="8"/>
      <c r="F847" s="8"/>
    </row>
    <row r="848" spans="2:6" x14ac:dyDescent="0.35">
      <c r="B848" s="8"/>
      <c r="C848" s="8"/>
      <c r="D848" s="28"/>
      <c r="E848" s="8"/>
      <c r="F848" s="8"/>
    </row>
    <row r="849" spans="2:6" x14ac:dyDescent="0.35">
      <c r="B849" s="8"/>
      <c r="C849" s="8"/>
      <c r="D849" s="28"/>
      <c r="E849" s="8"/>
      <c r="F849" s="8"/>
    </row>
    <row r="850" spans="2:6" x14ac:dyDescent="0.35">
      <c r="B850" s="8"/>
      <c r="C850" s="8"/>
      <c r="D850" s="28"/>
      <c r="E850" s="8"/>
      <c r="F850" s="8"/>
    </row>
    <row r="851" spans="2:6" x14ac:dyDescent="0.35">
      <c r="B851" s="8"/>
      <c r="C851" s="8"/>
      <c r="D851" s="28"/>
      <c r="E851" s="8"/>
      <c r="F851" s="8"/>
    </row>
    <row r="852" spans="2:6" x14ac:dyDescent="0.35">
      <c r="B852" s="8"/>
      <c r="C852" s="8"/>
      <c r="D852" s="28"/>
      <c r="E852" s="8"/>
      <c r="F852" s="8"/>
    </row>
    <row r="853" spans="2:6" x14ac:dyDescent="0.35">
      <c r="B853" s="8"/>
      <c r="C853" s="8"/>
      <c r="D853" s="28"/>
      <c r="E853" s="8"/>
      <c r="F853" s="8"/>
    </row>
    <row r="854" spans="2:6" x14ac:dyDescent="0.35">
      <c r="B854" s="8"/>
      <c r="C854" s="8"/>
      <c r="D854" s="28"/>
      <c r="E854" s="8"/>
      <c r="F854" s="8"/>
    </row>
    <row r="855" spans="2:6" x14ac:dyDescent="0.35">
      <c r="B855" s="8"/>
      <c r="C855" s="8"/>
      <c r="D855" s="28"/>
      <c r="E855" s="8"/>
      <c r="F855" s="8"/>
    </row>
    <row r="856" spans="2:6" x14ac:dyDescent="0.35">
      <c r="B856" s="8"/>
      <c r="C856" s="8"/>
      <c r="D856" s="28"/>
      <c r="E856" s="8"/>
      <c r="F856" s="8"/>
    </row>
    <row r="857" spans="2:6" x14ac:dyDescent="0.35">
      <c r="B857" s="8"/>
      <c r="C857" s="8"/>
      <c r="D857" s="28"/>
      <c r="E857" s="8"/>
      <c r="F857" s="8"/>
    </row>
    <row r="858" spans="2:6" x14ac:dyDescent="0.35">
      <c r="B858" s="8"/>
      <c r="C858" s="8"/>
      <c r="D858" s="28"/>
      <c r="E858" s="8"/>
      <c r="F858" s="8"/>
    </row>
    <row r="859" spans="2:6" x14ac:dyDescent="0.35">
      <c r="B859" s="8"/>
      <c r="C859" s="8"/>
      <c r="D859" s="28"/>
      <c r="E859" s="8"/>
      <c r="F859" s="8"/>
    </row>
    <row r="860" spans="2:6" x14ac:dyDescent="0.35">
      <c r="B860" s="8"/>
      <c r="C860" s="8"/>
      <c r="D860" s="28"/>
      <c r="E860" s="8"/>
      <c r="F860" s="8"/>
    </row>
    <row r="861" spans="2:6" x14ac:dyDescent="0.35">
      <c r="B861" s="8"/>
      <c r="C861" s="8"/>
      <c r="D861" s="28"/>
      <c r="E861" s="8"/>
      <c r="F861" s="8"/>
    </row>
    <row r="862" spans="2:6" x14ac:dyDescent="0.35">
      <c r="B862" s="8"/>
      <c r="C862" s="8"/>
      <c r="D862" s="28"/>
      <c r="E862" s="8"/>
      <c r="F862" s="8"/>
    </row>
    <row r="863" spans="2:6" x14ac:dyDescent="0.35">
      <c r="B863" s="8"/>
      <c r="C863" s="8"/>
      <c r="D863" s="28"/>
      <c r="E863" s="8"/>
      <c r="F863" s="8"/>
    </row>
    <row r="864" spans="2:6" x14ac:dyDescent="0.35">
      <c r="B864" s="8"/>
      <c r="C864" s="8"/>
      <c r="D864" s="28"/>
      <c r="E864" s="8"/>
      <c r="F864" s="8"/>
    </row>
    <row r="865" spans="2:6" x14ac:dyDescent="0.35">
      <c r="B865" s="8"/>
      <c r="C865" s="8"/>
      <c r="D865" s="28"/>
      <c r="E865" s="8"/>
      <c r="F865" s="8"/>
    </row>
    <row r="866" spans="2:6" x14ac:dyDescent="0.35">
      <c r="B866" s="8"/>
      <c r="C866" s="8"/>
      <c r="D866" s="28"/>
      <c r="E866" s="8"/>
      <c r="F866" s="8"/>
    </row>
    <row r="867" spans="2:6" x14ac:dyDescent="0.35">
      <c r="B867" s="8"/>
      <c r="C867" s="8"/>
      <c r="D867" s="28"/>
      <c r="E867" s="8"/>
      <c r="F867" s="8"/>
    </row>
    <row r="868" spans="2:6" x14ac:dyDescent="0.35">
      <c r="B868" s="8"/>
      <c r="C868" s="8"/>
      <c r="D868" s="28"/>
      <c r="E868" s="8"/>
      <c r="F868" s="8"/>
    </row>
    <row r="869" spans="2:6" x14ac:dyDescent="0.35">
      <c r="B869" s="8"/>
      <c r="C869" s="8"/>
      <c r="D869" s="28"/>
      <c r="E869" s="8"/>
      <c r="F869" s="8"/>
    </row>
    <row r="870" spans="2:6" x14ac:dyDescent="0.35">
      <c r="B870" s="8"/>
      <c r="C870" s="8"/>
      <c r="D870" s="28"/>
      <c r="E870" s="8"/>
      <c r="F870" s="8"/>
    </row>
    <row r="871" spans="2:6" x14ac:dyDescent="0.35">
      <c r="B871" s="8"/>
      <c r="C871" s="8"/>
      <c r="D871" s="28"/>
      <c r="E871" s="8"/>
      <c r="F871" s="8"/>
    </row>
    <row r="872" spans="2:6" x14ac:dyDescent="0.35">
      <c r="B872" s="8"/>
      <c r="C872" s="8"/>
      <c r="D872" s="28"/>
      <c r="E872" s="8"/>
      <c r="F872" s="8"/>
    </row>
    <row r="873" spans="2:6" x14ac:dyDescent="0.35">
      <c r="B873" s="8"/>
      <c r="C873" s="8"/>
      <c r="D873" s="28"/>
      <c r="E873" s="8"/>
      <c r="F873" s="8"/>
    </row>
    <row r="874" spans="2:6" x14ac:dyDescent="0.35">
      <c r="B874" s="8"/>
      <c r="C874" s="8"/>
      <c r="D874" s="28"/>
      <c r="E874" s="8"/>
      <c r="F874" s="8"/>
    </row>
    <row r="875" spans="2:6" x14ac:dyDescent="0.35">
      <c r="B875" s="8"/>
      <c r="C875" s="8"/>
      <c r="D875" s="28"/>
      <c r="E875" s="8"/>
      <c r="F875" s="8"/>
    </row>
    <row r="876" spans="2:6" x14ac:dyDescent="0.35">
      <c r="B876" s="8"/>
      <c r="C876" s="8"/>
      <c r="D876" s="28"/>
      <c r="E876" s="8"/>
      <c r="F876" s="8"/>
    </row>
    <row r="877" spans="2:6" x14ac:dyDescent="0.35">
      <c r="B877" s="8"/>
      <c r="C877" s="8"/>
      <c r="D877" s="28"/>
      <c r="E877" s="8"/>
      <c r="F877" s="8"/>
    </row>
    <row r="878" spans="2:6" x14ac:dyDescent="0.35">
      <c r="B878" s="8"/>
      <c r="C878" s="8"/>
      <c r="D878" s="28"/>
      <c r="E878" s="8"/>
      <c r="F878" s="8"/>
    </row>
    <row r="879" spans="2:6" x14ac:dyDescent="0.35">
      <c r="B879" s="8"/>
      <c r="C879" s="8"/>
      <c r="D879" s="28"/>
      <c r="E879" s="8"/>
      <c r="F879" s="8"/>
    </row>
    <row r="880" spans="2:6" x14ac:dyDescent="0.35">
      <c r="B880" s="8"/>
      <c r="C880" s="8"/>
      <c r="D880" s="28"/>
      <c r="E880" s="8"/>
      <c r="F880" s="8"/>
    </row>
    <row r="881" spans="2:6" x14ac:dyDescent="0.35">
      <c r="B881" s="8"/>
      <c r="C881" s="8"/>
      <c r="D881" s="28"/>
      <c r="E881" s="8"/>
      <c r="F881" s="8"/>
    </row>
    <row r="882" spans="2:6" x14ac:dyDescent="0.35">
      <c r="B882" s="8"/>
      <c r="C882" s="8"/>
      <c r="D882" s="28"/>
      <c r="E882" s="8"/>
      <c r="F882" s="8"/>
    </row>
    <row r="883" spans="2:6" x14ac:dyDescent="0.35">
      <c r="B883" s="8"/>
      <c r="C883" s="8"/>
      <c r="D883" s="28"/>
      <c r="E883" s="8"/>
      <c r="F883" s="8"/>
    </row>
    <row r="884" spans="2:6" x14ac:dyDescent="0.35">
      <c r="B884" s="8"/>
      <c r="C884" s="8"/>
      <c r="D884" s="28"/>
      <c r="E884" s="8"/>
      <c r="F884" s="8"/>
    </row>
    <row r="885" spans="2:6" x14ac:dyDescent="0.35">
      <c r="B885" s="8"/>
      <c r="C885" s="8"/>
      <c r="D885" s="28"/>
      <c r="E885" s="8"/>
      <c r="F885" s="8"/>
    </row>
    <row r="886" spans="2:6" x14ac:dyDescent="0.35">
      <c r="B886" s="8"/>
      <c r="C886" s="8"/>
      <c r="D886" s="28"/>
      <c r="E886" s="8"/>
      <c r="F886" s="8"/>
    </row>
    <row r="887" spans="2:6" x14ac:dyDescent="0.35">
      <c r="B887" s="8"/>
      <c r="C887" s="8"/>
      <c r="D887" s="28"/>
      <c r="E887" s="8"/>
      <c r="F887" s="8"/>
    </row>
    <row r="888" spans="2:6" x14ac:dyDescent="0.35">
      <c r="B888" s="8"/>
      <c r="C888" s="8"/>
      <c r="D888" s="28"/>
      <c r="E888" s="8"/>
      <c r="F888" s="8"/>
    </row>
    <row r="889" spans="2:6" x14ac:dyDescent="0.35">
      <c r="B889" s="8"/>
      <c r="C889" s="8"/>
      <c r="D889" s="28"/>
      <c r="E889" s="8"/>
      <c r="F889" s="8"/>
    </row>
    <row r="890" spans="2:6" x14ac:dyDescent="0.35">
      <c r="B890" s="8"/>
      <c r="C890" s="8"/>
      <c r="D890" s="28"/>
      <c r="E890" s="8"/>
      <c r="F890" s="8"/>
    </row>
    <row r="891" spans="2:6" x14ac:dyDescent="0.35">
      <c r="B891" s="8"/>
      <c r="C891" s="8"/>
      <c r="D891" s="28"/>
      <c r="E891" s="8"/>
      <c r="F891" s="8"/>
    </row>
    <row r="892" spans="2:6" x14ac:dyDescent="0.35">
      <c r="B892" s="8"/>
      <c r="C892" s="8"/>
      <c r="D892" s="28"/>
      <c r="E892" s="8"/>
      <c r="F892" s="8"/>
    </row>
    <row r="893" spans="2:6" x14ac:dyDescent="0.35">
      <c r="B893" s="8"/>
      <c r="C893" s="8"/>
      <c r="D893" s="28"/>
      <c r="E893" s="8"/>
      <c r="F893" s="8"/>
    </row>
    <row r="894" spans="2:6" x14ac:dyDescent="0.35">
      <c r="B894" s="8"/>
      <c r="C894" s="8"/>
      <c r="D894" s="28"/>
      <c r="E894" s="8"/>
      <c r="F894" s="8"/>
    </row>
    <row r="895" spans="2:6" x14ac:dyDescent="0.35">
      <c r="B895" s="8"/>
      <c r="C895" s="8"/>
      <c r="D895" s="28"/>
      <c r="E895" s="8"/>
      <c r="F895" s="8"/>
    </row>
    <row r="896" spans="2:6" x14ac:dyDescent="0.35">
      <c r="B896" s="8"/>
      <c r="C896" s="8"/>
      <c r="D896" s="28"/>
      <c r="E896" s="8"/>
      <c r="F896" s="8"/>
    </row>
    <row r="897" spans="2:6" x14ac:dyDescent="0.35">
      <c r="B897" s="8"/>
      <c r="C897" s="8"/>
      <c r="D897" s="28"/>
      <c r="E897" s="8"/>
      <c r="F897" s="8"/>
    </row>
    <row r="898" spans="2:6" x14ac:dyDescent="0.35">
      <c r="B898" s="8"/>
      <c r="C898" s="8"/>
      <c r="D898" s="28"/>
      <c r="E898" s="8"/>
      <c r="F898" s="8"/>
    </row>
    <row r="899" spans="2:6" x14ac:dyDescent="0.35">
      <c r="B899" s="8"/>
      <c r="C899" s="8"/>
      <c r="D899" s="28"/>
      <c r="E899" s="8"/>
      <c r="F899" s="8"/>
    </row>
    <row r="900" spans="2:6" x14ac:dyDescent="0.35">
      <c r="B900" s="8"/>
      <c r="C900" s="8"/>
      <c r="D900" s="28"/>
      <c r="E900" s="8"/>
      <c r="F900" s="8"/>
    </row>
    <row r="901" spans="2:6" x14ac:dyDescent="0.35">
      <c r="B901" s="8"/>
      <c r="C901" s="8"/>
      <c r="D901" s="28"/>
      <c r="E901" s="8"/>
      <c r="F901" s="8"/>
    </row>
    <row r="902" spans="2:6" x14ac:dyDescent="0.35">
      <c r="B902" s="8"/>
      <c r="C902" s="8"/>
      <c r="D902" s="28"/>
      <c r="E902" s="8"/>
      <c r="F902" s="8"/>
    </row>
    <row r="903" spans="2:6" x14ac:dyDescent="0.35">
      <c r="B903" s="8"/>
      <c r="C903" s="8"/>
      <c r="D903" s="28"/>
      <c r="E903" s="8"/>
      <c r="F903" s="8"/>
    </row>
    <row r="904" spans="2:6" x14ac:dyDescent="0.35">
      <c r="B904" s="8"/>
      <c r="C904" s="8"/>
      <c r="D904" s="28"/>
      <c r="E904" s="8"/>
      <c r="F904" s="8"/>
    </row>
    <row r="905" spans="2:6" x14ac:dyDescent="0.35">
      <c r="B905" s="8"/>
      <c r="C905" s="8"/>
      <c r="D905" s="28"/>
      <c r="E905" s="8"/>
      <c r="F905" s="8"/>
    </row>
    <row r="906" spans="2:6" x14ac:dyDescent="0.35">
      <c r="B906" s="8"/>
      <c r="C906" s="8"/>
      <c r="D906" s="28"/>
      <c r="E906" s="8"/>
      <c r="F906" s="8"/>
    </row>
    <row r="907" spans="2:6" x14ac:dyDescent="0.35">
      <c r="B907" s="8"/>
      <c r="C907" s="8"/>
      <c r="D907" s="28"/>
      <c r="E907" s="8"/>
      <c r="F907" s="8"/>
    </row>
    <row r="908" spans="2:6" x14ac:dyDescent="0.35">
      <c r="B908" s="8"/>
      <c r="C908" s="8"/>
      <c r="D908" s="28"/>
      <c r="E908" s="8"/>
      <c r="F908" s="8"/>
    </row>
    <row r="909" spans="2:6" x14ac:dyDescent="0.35">
      <c r="B909" s="8"/>
      <c r="C909" s="8"/>
      <c r="D909" s="28"/>
      <c r="E909" s="8"/>
      <c r="F909" s="8"/>
    </row>
    <row r="910" spans="2:6" x14ac:dyDescent="0.35">
      <c r="B910" s="8"/>
      <c r="C910" s="8"/>
      <c r="D910" s="28"/>
      <c r="E910" s="8"/>
      <c r="F910" s="8"/>
    </row>
    <row r="911" spans="2:6" x14ac:dyDescent="0.35">
      <c r="B911" s="8"/>
      <c r="C911" s="8"/>
      <c r="D911" s="28"/>
      <c r="E911" s="8"/>
      <c r="F911" s="8"/>
    </row>
    <row r="912" spans="2:6" x14ac:dyDescent="0.35">
      <c r="B912" s="8"/>
      <c r="C912" s="8"/>
      <c r="D912" s="28"/>
      <c r="E912" s="8"/>
      <c r="F912" s="8"/>
    </row>
    <row r="913" spans="2:6" x14ac:dyDescent="0.35">
      <c r="B913" s="8"/>
      <c r="C913" s="8"/>
      <c r="D913" s="28"/>
      <c r="E913" s="8"/>
      <c r="F913" s="8"/>
    </row>
    <row r="914" spans="2:6" x14ac:dyDescent="0.35">
      <c r="B914" s="8"/>
      <c r="C914" s="8"/>
      <c r="D914" s="28"/>
      <c r="E914" s="8"/>
      <c r="F914" s="8"/>
    </row>
    <row r="915" spans="2:6" x14ac:dyDescent="0.35">
      <c r="B915" s="8"/>
      <c r="C915" s="8"/>
      <c r="D915" s="28"/>
      <c r="E915" s="8"/>
      <c r="F915" s="8"/>
    </row>
    <row r="916" spans="2:6" x14ac:dyDescent="0.35">
      <c r="B916" s="8"/>
      <c r="C916" s="8"/>
      <c r="D916" s="28"/>
      <c r="E916" s="8"/>
      <c r="F916" s="8"/>
    </row>
    <row r="917" spans="2:6" x14ac:dyDescent="0.35">
      <c r="B917" s="8"/>
      <c r="C917" s="8"/>
      <c r="D917" s="28"/>
      <c r="E917" s="8"/>
      <c r="F917" s="8"/>
    </row>
    <row r="918" spans="2:6" x14ac:dyDescent="0.35">
      <c r="B918" s="8"/>
      <c r="C918" s="8"/>
      <c r="D918" s="28"/>
      <c r="E918" s="8"/>
      <c r="F918" s="8"/>
    </row>
    <row r="919" spans="2:6" x14ac:dyDescent="0.35">
      <c r="B919" s="8"/>
      <c r="C919" s="8"/>
      <c r="D919" s="28"/>
      <c r="E919" s="8"/>
      <c r="F919" s="8"/>
    </row>
    <row r="920" spans="2:6" x14ac:dyDescent="0.35">
      <c r="B920" s="8"/>
      <c r="C920" s="8"/>
      <c r="D920" s="28"/>
      <c r="E920" s="8"/>
      <c r="F920" s="8"/>
    </row>
    <row r="921" spans="2:6" x14ac:dyDescent="0.35">
      <c r="B921" s="8"/>
      <c r="C921" s="8"/>
      <c r="D921" s="28"/>
      <c r="E921" s="8"/>
      <c r="F921" s="8"/>
    </row>
    <row r="922" spans="2:6" x14ac:dyDescent="0.35">
      <c r="B922" s="8"/>
      <c r="C922" s="8"/>
      <c r="D922" s="28"/>
      <c r="E922" s="8"/>
      <c r="F922" s="8"/>
    </row>
    <row r="923" spans="2:6" x14ac:dyDescent="0.35">
      <c r="B923" s="8"/>
      <c r="C923" s="8"/>
      <c r="D923" s="28"/>
      <c r="E923" s="8"/>
      <c r="F923" s="8"/>
    </row>
    <row r="924" spans="2:6" x14ac:dyDescent="0.35">
      <c r="B924" s="8"/>
      <c r="C924" s="8"/>
      <c r="D924" s="28"/>
      <c r="E924" s="8"/>
      <c r="F924" s="8"/>
    </row>
    <row r="925" spans="2:6" x14ac:dyDescent="0.35">
      <c r="B925" s="8"/>
      <c r="C925" s="8"/>
      <c r="D925" s="28"/>
      <c r="E925" s="8"/>
      <c r="F925" s="8"/>
    </row>
    <row r="926" spans="2:6" x14ac:dyDescent="0.35">
      <c r="B926" s="8"/>
      <c r="C926" s="8"/>
      <c r="D926" s="28"/>
      <c r="E926" s="8"/>
      <c r="F926" s="8"/>
    </row>
    <row r="927" spans="2:6" x14ac:dyDescent="0.35">
      <c r="B927" s="8"/>
      <c r="C927" s="8"/>
      <c r="D927" s="28"/>
      <c r="E927" s="8"/>
      <c r="F927" s="8"/>
    </row>
    <row r="928" spans="2:6" x14ac:dyDescent="0.35">
      <c r="B928" s="8"/>
      <c r="C928" s="8"/>
      <c r="D928" s="28"/>
      <c r="E928" s="8"/>
      <c r="F928" s="8"/>
    </row>
    <row r="929" spans="2:6" x14ac:dyDescent="0.35">
      <c r="B929" s="8"/>
      <c r="C929" s="8"/>
      <c r="D929" s="28"/>
      <c r="E929" s="8"/>
      <c r="F929" s="8"/>
    </row>
    <row r="930" spans="2:6" x14ac:dyDescent="0.35">
      <c r="B930" s="8"/>
      <c r="C930" s="8"/>
      <c r="D930" s="28"/>
      <c r="E930" s="8"/>
      <c r="F930" s="8"/>
    </row>
    <row r="931" spans="2:6" x14ac:dyDescent="0.35">
      <c r="B931" s="8"/>
      <c r="C931" s="8"/>
      <c r="D931" s="28"/>
      <c r="E931" s="8"/>
      <c r="F931" s="8"/>
    </row>
    <row r="932" spans="2:6" x14ac:dyDescent="0.35">
      <c r="B932" s="8"/>
      <c r="C932" s="8"/>
      <c r="D932" s="28"/>
      <c r="E932" s="8"/>
      <c r="F932" s="8"/>
    </row>
    <row r="933" spans="2:6" x14ac:dyDescent="0.35">
      <c r="B933" s="8"/>
      <c r="C933" s="8"/>
      <c r="D933" s="28"/>
      <c r="E933" s="8"/>
      <c r="F933" s="8"/>
    </row>
    <row r="934" spans="2:6" x14ac:dyDescent="0.35">
      <c r="B934" s="8"/>
      <c r="C934" s="8"/>
      <c r="D934" s="28"/>
      <c r="E934" s="8"/>
      <c r="F934" s="8"/>
    </row>
    <row r="935" spans="2:6" x14ac:dyDescent="0.35">
      <c r="B935" s="8"/>
      <c r="C935" s="8"/>
      <c r="D935" s="28"/>
      <c r="E935" s="8"/>
      <c r="F935" s="8"/>
    </row>
    <row r="936" spans="2:6" x14ac:dyDescent="0.35">
      <c r="B936" s="8"/>
      <c r="C936" s="8"/>
      <c r="D936" s="28"/>
      <c r="E936" s="8"/>
      <c r="F936" s="8"/>
    </row>
    <row r="937" spans="2:6" x14ac:dyDescent="0.35">
      <c r="B937" s="8"/>
      <c r="C937" s="8"/>
      <c r="D937" s="28"/>
      <c r="E937" s="8"/>
      <c r="F937" s="8"/>
    </row>
    <row r="938" spans="2:6" x14ac:dyDescent="0.35">
      <c r="B938" s="8"/>
      <c r="C938" s="8"/>
      <c r="D938" s="28"/>
      <c r="E938" s="8"/>
      <c r="F938" s="8"/>
    </row>
    <row r="939" spans="2:6" x14ac:dyDescent="0.35">
      <c r="B939" s="8"/>
      <c r="C939" s="8"/>
      <c r="D939" s="28"/>
      <c r="E939" s="8"/>
      <c r="F939" s="8"/>
    </row>
    <row r="940" spans="2:6" x14ac:dyDescent="0.35">
      <c r="B940" s="8"/>
      <c r="C940" s="8"/>
      <c r="D940" s="28"/>
      <c r="E940" s="8"/>
      <c r="F940" s="8"/>
    </row>
    <row r="941" spans="2:6" x14ac:dyDescent="0.35">
      <c r="B941" s="8"/>
      <c r="C941" s="8"/>
      <c r="D941" s="28"/>
      <c r="E941" s="8"/>
      <c r="F941" s="8"/>
    </row>
    <row r="942" spans="2:6" x14ac:dyDescent="0.35">
      <c r="B942" s="8"/>
      <c r="C942" s="8"/>
      <c r="D942" s="28"/>
      <c r="E942" s="8"/>
      <c r="F942" s="8"/>
    </row>
    <row r="943" spans="2:6" x14ac:dyDescent="0.35">
      <c r="B943" s="8"/>
      <c r="C943" s="8"/>
      <c r="D943" s="28"/>
      <c r="E943" s="8"/>
      <c r="F943" s="8"/>
    </row>
    <row r="944" spans="2:6" x14ac:dyDescent="0.35">
      <c r="B944" s="8"/>
      <c r="C944" s="8"/>
      <c r="D944" s="28"/>
      <c r="E944" s="8"/>
      <c r="F944" s="8"/>
    </row>
    <row r="945" spans="2:6" x14ac:dyDescent="0.35">
      <c r="B945" s="8"/>
      <c r="C945" s="8"/>
      <c r="D945" s="28"/>
      <c r="E945" s="8"/>
      <c r="F945" s="8"/>
    </row>
    <row r="946" spans="2:6" x14ac:dyDescent="0.35">
      <c r="B946" s="8"/>
      <c r="C946" s="8"/>
      <c r="D946" s="28"/>
      <c r="E946" s="8"/>
      <c r="F946" s="8"/>
    </row>
    <row r="947" spans="2:6" x14ac:dyDescent="0.35">
      <c r="B947" s="8"/>
      <c r="C947" s="8"/>
      <c r="D947" s="28"/>
      <c r="E947" s="8"/>
      <c r="F947" s="8"/>
    </row>
    <row r="948" spans="2:6" x14ac:dyDescent="0.35">
      <c r="B948" s="8"/>
      <c r="C948" s="8"/>
      <c r="D948" s="28"/>
      <c r="E948" s="8"/>
      <c r="F948" s="8"/>
    </row>
    <row r="949" spans="2:6" x14ac:dyDescent="0.35">
      <c r="B949" s="8"/>
      <c r="C949" s="8"/>
      <c r="D949" s="28"/>
      <c r="E949" s="8"/>
      <c r="F949" s="8"/>
    </row>
    <row r="950" spans="2:6" x14ac:dyDescent="0.35">
      <c r="B950" s="8"/>
      <c r="C950" s="8"/>
      <c r="D950" s="28"/>
      <c r="E950" s="8"/>
      <c r="F950" s="8"/>
    </row>
    <row r="951" spans="2:6" x14ac:dyDescent="0.35">
      <c r="B951" s="8"/>
      <c r="C951" s="8"/>
      <c r="D951" s="28"/>
      <c r="E951" s="8"/>
      <c r="F951" s="8"/>
    </row>
    <row r="952" spans="2:6" x14ac:dyDescent="0.35">
      <c r="B952" s="8"/>
      <c r="C952" s="8"/>
      <c r="D952" s="28"/>
      <c r="E952" s="8"/>
      <c r="F952" s="8"/>
    </row>
    <row r="953" spans="2:6" x14ac:dyDescent="0.35">
      <c r="B953" s="8"/>
      <c r="C953" s="8"/>
      <c r="D953" s="28"/>
      <c r="E953" s="8"/>
      <c r="F953" s="8"/>
    </row>
    <row r="954" spans="2:6" x14ac:dyDescent="0.35">
      <c r="B954" s="8"/>
      <c r="C954" s="8"/>
      <c r="D954" s="28"/>
      <c r="E954" s="8"/>
      <c r="F954" s="8"/>
    </row>
    <row r="955" spans="2:6" x14ac:dyDescent="0.35">
      <c r="B955" s="8"/>
      <c r="C955" s="8"/>
      <c r="D955" s="28"/>
      <c r="E955" s="8"/>
      <c r="F955" s="8"/>
    </row>
    <row r="956" spans="2:6" x14ac:dyDescent="0.35">
      <c r="B956" s="8"/>
      <c r="C956" s="8"/>
      <c r="D956" s="28"/>
      <c r="E956" s="8"/>
      <c r="F956" s="8"/>
    </row>
    <row r="957" spans="2:6" x14ac:dyDescent="0.35">
      <c r="B957" s="8"/>
      <c r="C957" s="8"/>
      <c r="D957" s="28"/>
      <c r="E957" s="8"/>
      <c r="F957" s="8"/>
    </row>
    <row r="958" spans="2:6" x14ac:dyDescent="0.35">
      <c r="B958" s="8"/>
      <c r="C958" s="8"/>
      <c r="D958" s="28"/>
      <c r="E958" s="8"/>
      <c r="F958" s="8"/>
    </row>
    <row r="959" spans="2:6" x14ac:dyDescent="0.35">
      <c r="B959" s="8"/>
      <c r="C959" s="8"/>
      <c r="D959" s="28"/>
      <c r="E959" s="8"/>
      <c r="F959" s="8"/>
    </row>
    <row r="960" spans="2:6" x14ac:dyDescent="0.35">
      <c r="B960" s="8"/>
      <c r="C960" s="8"/>
      <c r="D960" s="28"/>
      <c r="E960" s="8"/>
      <c r="F960" s="8"/>
    </row>
    <row r="961" spans="2:6" x14ac:dyDescent="0.35">
      <c r="B961" s="8"/>
      <c r="C961" s="8"/>
      <c r="D961" s="28"/>
      <c r="E961" s="8"/>
      <c r="F961" s="8"/>
    </row>
    <row r="962" spans="2:6" x14ac:dyDescent="0.35">
      <c r="B962" s="8"/>
      <c r="C962" s="8"/>
      <c r="D962" s="28"/>
      <c r="E962" s="8"/>
      <c r="F962" s="8"/>
    </row>
    <row r="963" spans="2:6" x14ac:dyDescent="0.35">
      <c r="B963" s="8"/>
      <c r="C963" s="8"/>
      <c r="D963" s="28"/>
      <c r="E963" s="8"/>
      <c r="F963" s="8"/>
    </row>
    <row r="964" spans="2:6" x14ac:dyDescent="0.35">
      <c r="B964" s="8"/>
      <c r="C964" s="8"/>
      <c r="D964" s="28"/>
      <c r="E964" s="8"/>
      <c r="F964" s="8"/>
    </row>
    <row r="965" spans="2:6" x14ac:dyDescent="0.35">
      <c r="B965" s="8"/>
      <c r="C965" s="8"/>
      <c r="D965" s="28"/>
      <c r="E965" s="8"/>
      <c r="F965" s="8"/>
    </row>
    <row r="966" spans="2:6" x14ac:dyDescent="0.35">
      <c r="B966" s="8"/>
      <c r="C966" s="8"/>
      <c r="D966" s="28"/>
      <c r="E966" s="8"/>
      <c r="F966" s="8"/>
    </row>
    <row r="967" spans="2:6" x14ac:dyDescent="0.35">
      <c r="B967" s="8"/>
      <c r="C967" s="8"/>
      <c r="D967" s="28"/>
      <c r="E967" s="8"/>
      <c r="F967" s="8"/>
    </row>
    <row r="968" spans="2:6" x14ac:dyDescent="0.35">
      <c r="B968" s="8"/>
      <c r="C968" s="8"/>
      <c r="D968" s="28"/>
      <c r="E968" s="8"/>
      <c r="F968" s="8"/>
    </row>
    <row r="969" spans="2:6" x14ac:dyDescent="0.35">
      <c r="B969" s="8"/>
      <c r="C969" s="8"/>
      <c r="D969" s="28"/>
      <c r="E969" s="8"/>
      <c r="F969" s="8"/>
    </row>
    <row r="970" spans="2:6" x14ac:dyDescent="0.35">
      <c r="B970" s="8"/>
      <c r="C970" s="8"/>
      <c r="D970" s="28"/>
      <c r="E970" s="8"/>
      <c r="F970" s="8"/>
    </row>
    <row r="971" spans="2:6" x14ac:dyDescent="0.35">
      <c r="B971" s="8"/>
      <c r="C971" s="8"/>
      <c r="D971" s="28"/>
      <c r="E971" s="8"/>
      <c r="F971" s="8"/>
    </row>
    <row r="972" spans="2:6" x14ac:dyDescent="0.35">
      <c r="B972" s="8"/>
      <c r="C972" s="8"/>
      <c r="D972" s="28"/>
      <c r="E972" s="8"/>
      <c r="F972" s="8"/>
    </row>
    <row r="973" spans="2:6" x14ac:dyDescent="0.35">
      <c r="B973" s="8"/>
      <c r="C973" s="8"/>
      <c r="D973" s="28"/>
      <c r="E973" s="8"/>
      <c r="F973" s="8"/>
    </row>
    <row r="974" spans="2:6" x14ac:dyDescent="0.35">
      <c r="B974" s="8"/>
      <c r="C974" s="8"/>
      <c r="D974" s="28"/>
      <c r="E974" s="8"/>
      <c r="F974" s="8"/>
    </row>
    <row r="975" spans="2:6" x14ac:dyDescent="0.35">
      <c r="B975" s="8"/>
      <c r="C975" s="8"/>
      <c r="D975" s="28"/>
      <c r="E975" s="8"/>
      <c r="F975" s="8"/>
    </row>
    <row r="976" spans="2:6" x14ac:dyDescent="0.35">
      <c r="B976" s="8"/>
      <c r="C976" s="8"/>
      <c r="D976" s="28"/>
      <c r="E976" s="8"/>
      <c r="F976" s="8"/>
    </row>
    <row r="977" spans="2:6" x14ac:dyDescent="0.35">
      <c r="B977" s="8"/>
      <c r="C977" s="8"/>
      <c r="D977" s="28"/>
      <c r="E977" s="8"/>
      <c r="F977" s="8"/>
    </row>
    <row r="978" spans="2:6" x14ac:dyDescent="0.35">
      <c r="B978" s="8"/>
      <c r="C978" s="8"/>
      <c r="D978" s="28"/>
      <c r="E978" s="8"/>
      <c r="F978" s="8"/>
    </row>
    <row r="979" spans="2:6" x14ac:dyDescent="0.35">
      <c r="B979" s="8"/>
      <c r="C979" s="8"/>
      <c r="D979" s="28"/>
      <c r="E979" s="8"/>
      <c r="F979" s="8"/>
    </row>
    <row r="980" spans="2:6" x14ac:dyDescent="0.35">
      <c r="B980" s="8"/>
      <c r="C980" s="8"/>
      <c r="D980" s="28"/>
      <c r="E980" s="8"/>
      <c r="F980" s="8"/>
    </row>
    <row r="981" spans="2:6" x14ac:dyDescent="0.35">
      <c r="B981" s="8"/>
      <c r="C981" s="8"/>
      <c r="D981" s="28"/>
      <c r="E981" s="8"/>
      <c r="F981" s="8"/>
    </row>
    <row r="982" spans="2:6" x14ac:dyDescent="0.35">
      <c r="B982" s="8"/>
      <c r="C982" s="8"/>
      <c r="D982" s="28"/>
      <c r="E982" s="8"/>
      <c r="F982" s="8"/>
    </row>
    <row r="983" spans="2:6" x14ac:dyDescent="0.35">
      <c r="B983" s="8"/>
      <c r="C983" s="8"/>
      <c r="D983" s="28"/>
      <c r="E983" s="8"/>
      <c r="F983" s="8"/>
    </row>
    <row r="984" spans="2:6" x14ac:dyDescent="0.35">
      <c r="B984" s="8"/>
      <c r="C984" s="8"/>
      <c r="D984" s="28"/>
      <c r="E984" s="8"/>
      <c r="F984" s="8"/>
    </row>
    <row r="985" spans="2:6" x14ac:dyDescent="0.35">
      <c r="B985" s="8"/>
      <c r="C985" s="8"/>
      <c r="D985" s="28"/>
      <c r="E985" s="8"/>
      <c r="F985" s="8"/>
    </row>
    <row r="986" spans="2:6" x14ac:dyDescent="0.35">
      <c r="B986" s="8"/>
      <c r="C986" s="8"/>
      <c r="D986" s="28"/>
      <c r="E986" s="8"/>
      <c r="F986" s="8"/>
    </row>
    <row r="987" spans="2:6" x14ac:dyDescent="0.35">
      <c r="B987" s="8"/>
      <c r="C987" s="8"/>
      <c r="D987" s="28"/>
      <c r="E987" s="8"/>
      <c r="F987" s="8"/>
    </row>
    <row r="988" spans="2:6" x14ac:dyDescent="0.35">
      <c r="B988" s="8"/>
      <c r="C988" s="8"/>
      <c r="D988" s="28"/>
      <c r="E988" s="8"/>
      <c r="F988" s="8"/>
    </row>
    <row r="989" spans="2:6" x14ac:dyDescent="0.35">
      <c r="B989" s="8"/>
      <c r="C989" s="8"/>
      <c r="D989" s="28"/>
      <c r="E989" s="8"/>
      <c r="F989" s="8"/>
    </row>
    <row r="990" spans="2:6" x14ac:dyDescent="0.35">
      <c r="B990" s="8"/>
      <c r="C990" s="8"/>
      <c r="D990" s="28"/>
      <c r="E990" s="8"/>
      <c r="F990" s="8"/>
    </row>
    <row r="991" spans="2:6" x14ac:dyDescent="0.35">
      <c r="B991" s="8"/>
      <c r="C991" s="8"/>
      <c r="D991" s="28"/>
      <c r="E991" s="8"/>
      <c r="F991" s="8"/>
    </row>
    <row r="992" spans="2:6" x14ac:dyDescent="0.35">
      <c r="B992" s="8"/>
      <c r="C992" s="8"/>
      <c r="D992" s="28"/>
      <c r="E992" s="8"/>
      <c r="F992" s="8"/>
    </row>
    <row r="993" spans="2:6" x14ac:dyDescent="0.35">
      <c r="B993" s="8"/>
      <c r="C993" s="8"/>
      <c r="D993" s="28"/>
      <c r="E993" s="8"/>
      <c r="F993" s="8"/>
    </row>
    <row r="994" spans="2:6" x14ac:dyDescent="0.35">
      <c r="B994" s="8"/>
      <c r="C994" s="8"/>
      <c r="D994" s="28"/>
      <c r="E994" s="8"/>
      <c r="F994" s="8"/>
    </row>
    <row r="995" spans="2:6" x14ac:dyDescent="0.35">
      <c r="B995" s="8"/>
      <c r="C995" s="8"/>
      <c r="D995" s="28"/>
      <c r="E995" s="8"/>
      <c r="F995" s="8"/>
    </row>
    <row r="996" spans="2:6" x14ac:dyDescent="0.35">
      <c r="B996" s="8"/>
      <c r="C996" s="8"/>
      <c r="D996" s="28"/>
      <c r="E996" s="8"/>
      <c r="F996" s="8"/>
    </row>
    <row r="997" spans="2:6" x14ac:dyDescent="0.35">
      <c r="B997" s="8"/>
      <c r="C997" s="8"/>
      <c r="D997" s="28"/>
      <c r="E997" s="8"/>
      <c r="F997" s="8"/>
    </row>
    <row r="998" spans="2:6" x14ac:dyDescent="0.35">
      <c r="B998" s="8"/>
      <c r="C998" s="8"/>
      <c r="D998" s="28"/>
      <c r="E998" s="8"/>
      <c r="F998" s="8"/>
    </row>
    <row r="999" spans="2:6" x14ac:dyDescent="0.35">
      <c r="B999" s="8"/>
      <c r="C999" s="8"/>
      <c r="D999" s="28"/>
      <c r="E999" s="8"/>
      <c r="F999" s="8"/>
    </row>
    <row r="1000" spans="2:6" x14ac:dyDescent="0.35">
      <c r="B1000" s="8"/>
      <c r="C1000" s="8"/>
      <c r="D1000" s="28"/>
      <c r="E1000" s="8"/>
      <c r="F1000" s="8"/>
    </row>
    <row r="1001" spans="2:6" x14ac:dyDescent="0.35">
      <c r="B1001" s="8"/>
      <c r="C1001" s="8"/>
      <c r="D1001" s="28"/>
      <c r="E1001" s="8"/>
      <c r="F1001" s="8"/>
    </row>
    <row r="1002" spans="2:6" x14ac:dyDescent="0.35">
      <c r="B1002" s="8"/>
      <c r="C1002" s="8"/>
      <c r="D1002" s="28"/>
      <c r="E1002" s="8"/>
      <c r="F1002" s="8"/>
    </row>
    <row r="1003" spans="2:6" x14ac:dyDescent="0.35">
      <c r="B1003" s="8"/>
      <c r="C1003" s="8"/>
      <c r="D1003" s="28"/>
      <c r="E1003" s="8"/>
      <c r="F1003" s="8"/>
    </row>
    <row r="1004" spans="2:6" x14ac:dyDescent="0.35">
      <c r="B1004" s="8"/>
      <c r="C1004" s="8"/>
      <c r="D1004" s="28"/>
      <c r="E1004" s="8"/>
      <c r="F1004" s="8"/>
    </row>
    <row r="1005" spans="2:6" x14ac:dyDescent="0.35">
      <c r="B1005" s="8"/>
      <c r="C1005" s="8"/>
      <c r="D1005" s="28"/>
      <c r="E1005" s="8"/>
      <c r="F1005" s="8"/>
    </row>
    <row r="1006" spans="2:6" x14ac:dyDescent="0.35">
      <c r="B1006" s="8"/>
      <c r="C1006" s="8"/>
      <c r="D1006" s="28"/>
      <c r="E1006" s="8"/>
      <c r="F1006" s="8"/>
    </row>
    <row r="1007" spans="2:6" x14ac:dyDescent="0.35">
      <c r="B1007" s="8"/>
      <c r="C1007" s="8"/>
      <c r="D1007" s="28"/>
      <c r="E1007" s="8"/>
      <c r="F1007" s="8"/>
    </row>
    <row r="1008" spans="2:6" x14ac:dyDescent="0.35">
      <c r="B1008" s="8"/>
      <c r="C1008" s="8"/>
      <c r="D1008" s="28"/>
      <c r="E1008" s="8"/>
      <c r="F1008" s="8"/>
    </row>
    <row r="1009" spans="2:6" x14ac:dyDescent="0.35">
      <c r="B1009" s="8"/>
      <c r="C1009" s="8"/>
      <c r="D1009" s="28"/>
      <c r="E1009" s="8"/>
      <c r="F1009" s="8"/>
    </row>
    <row r="1010" spans="2:6" x14ac:dyDescent="0.35">
      <c r="B1010" s="8"/>
      <c r="C1010" s="8"/>
      <c r="D1010" s="28"/>
      <c r="E1010" s="8"/>
      <c r="F1010" s="8"/>
    </row>
    <row r="1011" spans="2:6" x14ac:dyDescent="0.35">
      <c r="B1011" s="8"/>
      <c r="C1011" s="8"/>
      <c r="D1011" s="28"/>
      <c r="E1011" s="8"/>
      <c r="F1011" s="8"/>
    </row>
    <row r="1012" spans="2:6" x14ac:dyDescent="0.35">
      <c r="B1012" s="8"/>
      <c r="C1012" s="8"/>
      <c r="D1012" s="28"/>
      <c r="E1012" s="8"/>
      <c r="F1012" s="8"/>
    </row>
    <row r="1013" spans="2:6" x14ac:dyDescent="0.35">
      <c r="B1013" s="8"/>
      <c r="C1013" s="8"/>
      <c r="D1013" s="28"/>
      <c r="E1013" s="8"/>
      <c r="F1013" s="8"/>
    </row>
    <row r="1014" spans="2:6" x14ac:dyDescent="0.35">
      <c r="B1014" s="8"/>
      <c r="C1014" s="8"/>
      <c r="D1014" s="28"/>
      <c r="E1014" s="8"/>
      <c r="F1014" s="8"/>
    </row>
    <row r="1015" spans="2:6" x14ac:dyDescent="0.35">
      <c r="B1015" s="8"/>
      <c r="C1015" s="8"/>
      <c r="D1015" s="28"/>
      <c r="E1015" s="8"/>
      <c r="F1015" s="8"/>
    </row>
    <row r="1016" spans="2:6" x14ac:dyDescent="0.35">
      <c r="B1016" s="8"/>
      <c r="C1016" s="8"/>
      <c r="D1016" s="28"/>
      <c r="E1016" s="8"/>
      <c r="F1016" s="8"/>
    </row>
    <row r="1017" spans="2:6" x14ac:dyDescent="0.35">
      <c r="B1017" s="8"/>
      <c r="C1017" s="8"/>
      <c r="D1017" s="28"/>
      <c r="E1017" s="8"/>
      <c r="F1017" s="8"/>
    </row>
    <row r="1018" spans="2:6" x14ac:dyDescent="0.35">
      <c r="B1018" s="8"/>
      <c r="C1018" s="8"/>
      <c r="D1018" s="28"/>
      <c r="E1018" s="8"/>
      <c r="F1018" s="8"/>
    </row>
    <row r="1019" spans="2:6" x14ac:dyDescent="0.35">
      <c r="B1019" s="8"/>
      <c r="C1019" s="8"/>
      <c r="D1019" s="28"/>
      <c r="E1019" s="8"/>
      <c r="F1019" s="8"/>
    </row>
    <row r="1020" spans="2:6" x14ac:dyDescent="0.35">
      <c r="B1020" s="8"/>
      <c r="C1020" s="8"/>
      <c r="D1020" s="28"/>
      <c r="E1020" s="8"/>
      <c r="F1020" s="8"/>
    </row>
    <row r="1021" spans="2:6" x14ac:dyDescent="0.35">
      <c r="B1021" s="8"/>
      <c r="C1021" s="8"/>
      <c r="D1021" s="28"/>
      <c r="E1021" s="8"/>
      <c r="F1021" s="8"/>
    </row>
    <row r="1022" spans="2:6" x14ac:dyDescent="0.35">
      <c r="B1022" s="8"/>
      <c r="C1022" s="8"/>
      <c r="D1022" s="28"/>
      <c r="E1022" s="8"/>
      <c r="F1022" s="8"/>
    </row>
    <row r="1023" spans="2:6" x14ac:dyDescent="0.35">
      <c r="B1023" s="8"/>
      <c r="C1023" s="8"/>
      <c r="D1023" s="28"/>
      <c r="E1023" s="8"/>
      <c r="F1023" s="8"/>
    </row>
    <row r="1024" spans="2:6" x14ac:dyDescent="0.35">
      <c r="B1024" s="8"/>
      <c r="C1024" s="8"/>
      <c r="D1024" s="28"/>
      <c r="E1024" s="8"/>
      <c r="F1024" s="8"/>
    </row>
    <row r="1025" spans="2:6" x14ac:dyDescent="0.35">
      <c r="B1025" s="8"/>
      <c r="C1025" s="8"/>
      <c r="D1025" s="28"/>
      <c r="E1025" s="8"/>
      <c r="F1025" s="8"/>
    </row>
    <row r="1026" spans="2:6" x14ac:dyDescent="0.35">
      <c r="B1026" s="8"/>
      <c r="C1026" s="8"/>
      <c r="D1026" s="28"/>
      <c r="E1026" s="8"/>
      <c r="F1026" s="8"/>
    </row>
    <row r="1027" spans="2:6" x14ac:dyDescent="0.35">
      <c r="B1027" s="8"/>
      <c r="C1027" s="8"/>
      <c r="D1027" s="28"/>
      <c r="E1027" s="8"/>
      <c r="F1027" s="8"/>
    </row>
    <row r="1028" spans="2:6" x14ac:dyDescent="0.35">
      <c r="B1028" s="8"/>
      <c r="C1028" s="8"/>
      <c r="D1028" s="28"/>
      <c r="E1028" s="8"/>
      <c r="F1028" s="8"/>
    </row>
    <row r="1029" spans="2:6" x14ac:dyDescent="0.35">
      <c r="B1029" s="8"/>
      <c r="C1029" s="8"/>
      <c r="D1029" s="28"/>
      <c r="E1029" s="8"/>
      <c r="F1029" s="8"/>
    </row>
    <row r="1030" spans="2:6" x14ac:dyDescent="0.35">
      <c r="B1030" s="8"/>
      <c r="C1030" s="8"/>
      <c r="D1030" s="28"/>
      <c r="E1030" s="8"/>
      <c r="F1030" s="8"/>
    </row>
    <row r="1031" spans="2:6" x14ac:dyDescent="0.35">
      <c r="B1031" s="8"/>
      <c r="C1031" s="8"/>
      <c r="D1031" s="28"/>
      <c r="E1031" s="8"/>
      <c r="F1031" s="8"/>
    </row>
    <row r="1032" spans="2:6" x14ac:dyDescent="0.35">
      <c r="B1032" s="8"/>
      <c r="C1032" s="8"/>
      <c r="D1032" s="28"/>
      <c r="E1032" s="8"/>
      <c r="F1032" s="8"/>
    </row>
    <row r="1033" spans="2:6" x14ac:dyDescent="0.35">
      <c r="B1033" s="8"/>
      <c r="C1033" s="8"/>
      <c r="D1033" s="28"/>
      <c r="E1033" s="8"/>
      <c r="F1033" s="8"/>
    </row>
    <row r="1034" spans="2:6" x14ac:dyDescent="0.35">
      <c r="B1034" s="8"/>
      <c r="C1034" s="8"/>
      <c r="D1034" s="28"/>
      <c r="E1034" s="8"/>
      <c r="F1034" s="8"/>
    </row>
    <row r="1035" spans="2:6" x14ac:dyDescent="0.35">
      <c r="B1035" s="8"/>
      <c r="C1035" s="8"/>
      <c r="D1035" s="28"/>
      <c r="E1035" s="8"/>
      <c r="F1035" s="8"/>
    </row>
    <row r="1036" spans="2:6" x14ac:dyDescent="0.35">
      <c r="B1036" s="8"/>
      <c r="C1036" s="8"/>
      <c r="D1036" s="28"/>
      <c r="E1036" s="8"/>
      <c r="F1036" s="8"/>
    </row>
    <row r="1037" spans="2:6" x14ac:dyDescent="0.35">
      <c r="B1037" s="8"/>
      <c r="C1037" s="8"/>
      <c r="D1037" s="28"/>
      <c r="E1037" s="8"/>
      <c r="F1037" s="8"/>
    </row>
    <row r="1038" spans="2:6" x14ac:dyDescent="0.35">
      <c r="B1038" s="8"/>
      <c r="C1038" s="8"/>
      <c r="D1038" s="28"/>
      <c r="E1038" s="8"/>
      <c r="F1038" s="8"/>
    </row>
    <row r="1039" spans="2:6" x14ac:dyDescent="0.35">
      <c r="B1039" s="8"/>
      <c r="C1039" s="8"/>
      <c r="D1039" s="28"/>
      <c r="E1039" s="8"/>
      <c r="F1039" s="8"/>
    </row>
    <row r="1040" spans="2:6" x14ac:dyDescent="0.35">
      <c r="B1040" s="8"/>
      <c r="C1040" s="8"/>
      <c r="D1040" s="28"/>
      <c r="E1040" s="8"/>
      <c r="F1040" s="8"/>
    </row>
    <row r="1041" spans="2:6" x14ac:dyDescent="0.35">
      <c r="B1041" s="8"/>
      <c r="C1041" s="8"/>
      <c r="D1041" s="28"/>
      <c r="E1041" s="8"/>
      <c r="F1041" s="8"/>
    </row>
    <row r="1042" spans="2:6" x14ac:dyDescent="0.35">
      <c r="B1042" s="8"/>
      <c r="C1042" s="8"/>
      <c r="D1042" s="28"/>
      <c r="E1042" s="8"/>
      <c r="F1042" s="8"/>
    </row>
    <row r="1043" spans="2:6" x14ac:dyDescent="0.35">
      <c r="B1043" s="8"/>
      <c r="C1043" s="8"/>
      <c r="D1043" s="28"/>
      <c r="E1043" s="8"/>
      <c r="F1043" s="8"/>
    </row>
    <row r="1044" spans="2:6" x14ac:dyDescent="0.35">
      <c r="B1044" s="8"/>
      <c r="C1044" s="8"/>
      <c r="D1044" s="28"/>
      <c r="E1044" s="8"/>
      <c r="F1044" s="8"/>
    </row>
    <row r="1045" spans="2:6" x14ac:dyDescent="0.35">
      <c r="B1045" s="8"/>
      <c r="C1045" s="8"/>
      <c r="D1045" s="28"/>
      <c r="E1045" s="8"/>
      <c r="F1045" s="8"/>
    </row>
    <row r="1046" spans="2:6" x14ac:dyDescent="0.35">
      <c r="B1046" s="8"/>
      <c r="C1046" s="8"/>
      <c r="D1046" s="28"/>
      <c r="E1046" s="8"/>
      <c r="F1046" s="8"/>
    </row>
    <row r="1047" spans="2:6" x14ac:dyDescent="0.35">
      <c r="B1047" s="8"/>
      <c r="C1047" s="8"/>
      <c r="D1047" s="28"/>
      <c r="E1047" s="8"/>
      <c r="F1047" s="8"/>
    </row>
    <row r="1048" spans="2:6" x14ac:dyDescent="0.35">
      <c r="B1048" s="8"/>
      <c r="C1048" s="8"/>
      <c r="D1048" s="28"/>
      <c r="E1048" s="8"/>
      <c r="F1048" s="8"/>
    </row>
    <row r="1049" spans="2:6" x14ac:dyDescent="0.35">
      <c r="B1049" s="8"/>
      <c r="C1049" s="8"/>
      <c r="D1049" s="28"/>
      <c r="E1049" s="8"/>
      <c r="F1049" s="8"/>
    </row>
    <row r="1050" spans="2:6" x14ac:dyDescent="0.35">
      <c r="B1050" s="8"/>
      <c r="C1050" s="8"/>
      <c r="D1050" s="28"/>
      <c r="E1050" s="8"/>
      <c r="F1050" s="8"/>
    </row>
    <row r="1051" spans="2:6" x14ac:dyDescent="0.35">
      <c r="B1051" s="8"/>
      <c r="C1051" s="8"/>
      <c r="D1051" s="28"/>
      <c r="E1051" s="8"/>
      <c r="F1051" s="8"/>
    </row>
    <row r="1052" spans="2:6" x14ac:dyDescent="0.35">
      <c r="B1052" s="8"/>
      <c r="C1052" s="8"/>
      <c r="D1052" s="28"/>
      <c r="E1052" s="8"/>
      <c r="F1052" s="8"/>
    </row>
    <row r="1053" spans="2:6" x14ac:dyDescent="0.35">
      <c r="B1053" s="8"/>
      <c r="C1053" s="8"/>
      <c r="D1053" s="28"/>
      <c r="E1053" s="8"/>
      <c r="F1053" s="8"/>
    </row>
    <row r="1054" spans="2:6" x14ac:dyDescent="0.35">
      <c r="B1054" s="8"/>
      <c r="C1054" s="8"/>
      <c r="D1054" s="28"/>
      <c r="E1054" s="8"/>
      <c r="F1054" s="8"/>
    </row>
    <row r="1055" spans="2:6" x14ac:dyDescent="0.35">
      <c r="B1055" s="8"/>
      <c r="C1055" s="8"/>
      <c r="D1055" s="28"/>
      <c r="E1055" s="8"/>
      <c r="F1055" s="8"/>
    </row>
    <row r="1056" spans="2:6" x14ac:dyDescent="0.35">
      <c r="B1056" s="8"/>
      <c r="C1056" s="8"/>
      <c r="D1056" s="28"/>
      <c r="E1056" s="8"/>
      <c r="F1056" s="8"/>
    </row>
    <row r="1057" spans="2:6" x14ac:dyDescent="0.35">
      <c r="B1057" s="8"/>
      <c r="C1057" s="8"/>
      <c r="D1057" s="28"/>
      <c r="E1057" s="8"/>
      <c r="F1057" s="8"/>
    </row>
    <row r="1058" spans="2:6" x14ac:dyDescent="0.35">
      <c r="B1058" s="8"/>
      <c r="C1058" s="8"/>
      <c r="D1058" s="28"/>
      <c r="E1058" s="8"/>
      <c r="F1058" s="8"/>
    </row>
    <row r="1059" spans="2:6" x14ac:dyDescent="0.35">
      <c r="B1059" s="8"/>
      <c r="C1059" s="8"/>
      <c r="D1059" s="28"/>
      <c r="E1059" s="8"/>
      <c r="F1059" s="8"/>
    </row>
    <row r="1060" spans="2:6" x14ac:dyDescent="0.35">
      <c r="B1060" s="8"/>
      <c r="C1060" s="8"/>
      <c r="D1060" s="28"/>
      <c r="E1060" s="8"/>
      <c r="F1060" s="8"/>
    </row>
    <row r="1061" spans="2:6" x14ac:dyDescent="0.35">
      <c r="B1061" s="8"/>
      <c r="C1061" s="8"/>
      <c r="D1061" s="28"/>
      <c r="E1061" s="8"/>
      <c r="F1061" s="8"/>
    </row>
    <row r="1062" spans="2:6" x14ac:dyDescent="0.35">
      <c r="B1062" s="8"/>
      <c r="C1062" s="8"/>
      <c r="D1062" s="28"/>
      <c r="E1062" s="8"/>
      <c r="F1062" s="8"/>
    </row>
    <row r="1063" spans="2:6" x14ac:dyDescent="0.35">
      <c r="B1063" s="8"/>
      <c r="C1063" s="8"/>
      <c r="D1063" s="28"/>
      <c r="E1063" s="8"/>
      <c r="F1063" s="8"/>
    </row>
    <row r="1064" spans="2:6" x14ac:dyDescent="0.35">
      <c r="B1064" s="8"/>
      <c r="C1064" s="8"/>
      <c r="D1064" s="28"/>
      <c r="E1064" s="8"/>
      <c r="F1064" s="8"/>
    </row>
    <row r="1065" spans="2:6" x14ac:dyDescent="0.35">
      <c r="B1065" s="8"/>
      <c r="C1065" s="8"/>
      <c r="D1065" s="28"/>
      <c r="E1065" s="8"/>
      <c r="F1065" s="8"/>
    </row>
    <row r="1066" spans="2:6" x14ac:dyDescent="0.35">
      <c r="B1066" s="8"/>
      <c r="C1066" s="8"/>
      <c r="D1066" s="28"/>
      <c r="E1066" s="8"/>
      <c r="F1066" s="8"/>
    </row>
    <row r="1067" spans="2:6" x14ac:dyDescent="0.35">
      <c r="B1067" s="8"/>
      <c r="C1067" s="8"/>
      <c r="D1067" s="28"/>
      <c r="E1067" s="8"/>
      <c r="F1067" s="8"/>
    </row>
    <row r="1068" spans="2:6" x14ac:dyDescent="0.35">
      <c r="B1068" s="8"/>
      <c r="C1068" s="8"/>
      <c r="D1068" s="28"/>
      <c r="E1068" s="8"/>
      <c r="F1068" s="8"/>
    </row>
    <row r="1069" spans="2:6" x14ac:dyDescent="0.35">
      <c r="B1069" s="8"/>
      <c r="C1069" s="8"/>
      <c r="D1069" s="28"/>
      <c r="E1069" s="8"/>
      <c r="F1069" s="8"/>
    </row>
    <row r="1070" spans="2:6" x14ac:dyDescent="0.35">
      <c r="B1070" s="8"/>
      <c r="C1070" s="8"/>
      <c r="D1070" s="28"/>
      <c r="E1070" s="8"/>
      <c r="F1070" s="8"/>
    </row>
    <row r="1071" spans="2:6" x14ac:dyDescent="0.35">
      <c r="B1071" s="8"/>
      <c r="C1071" s="8"/>
      <c r="D1071" s="28"/>
      <c r="E1071" s="8"/>
      <c r="F1071" s="8"/>
    </row>
    <row r="1072" spans="2:6" x14ac:dyDescent="0.35">
      <c r="B1072" s="8"/>
      <c r="C1072" s="8"/>
      <c r="D1072" s="28"/>
      <c r="E1072" s="8"/>
      <c r="F1072" s="8"/>
    </row>
    <row r="1073" spans="2:6" x14ac:dyDescent="0.35">
      <c r="B1073" s="8"/>
      <c r="C1073" s="8"/>
      <c r="D1073" s="28"/>
      <c r="E1073" s="8"/>
      <c r="F1073" s="8"/>
    </row>
    <row r="1074" spans="2:6" x14ac:dyDescent="0.35">
      <c r="B1074" s="8"/>
      <c r="C1074" s="8"/>
      <c r="D1074" s="28"/>
      <c r="E1074" s="8"/>
      <c r="F1074" s="8"/>
    </row>
    <row r="1075" spans="2:6" x14ac:dyDescent="0.35">
      <c r="B1075" s="8"/>
      <c r="C1075" s="8"/>
      <c r="D1075" s="28"/>
      <c r="E1075" s="8"/>
      <c r="F1075" s="8"/>
    </row>
    <row r="1076" spans="2:6" x14ac:dyDescent="0.35">
      <c r="B1076" s="8"/>
      <c r="C1076" s="8"/>
      <c r="D1076" s="28"/>
      <c r="E1076" s="8"/>
      <c r="F1076" s="8"/>
    </row>
    <row r="1077" spans="2:6" x14ac:dyDescent="0.35">
      <c r="B1077" s="8"/>
      <c r="C1077" s="8"/>
      <c r="D1077" s="28"/>
      <c r="E1077" s="8"/>
      <c r="F1077" s="8"/>
    </row>
    <row r="1078" spans="2:6" x14ac:dyDescent="0.35">
      <c r="B1078" s="8"/>
      <c r="C1078" s="8"/>
      <c r="D1078" s="28"/>
      <c r="E1078" s="8"/>
      <c r="F1078" s="8"/>
    </row>
    <row r="1079" spans="2:6" x14ac:dyDescent="0.35">
      <c r="B1079" s="8"/>
      <c r="C1079" s="8"/>
      <c r="D1079" s="28"/>
      <c r="E1079" s="8"/>
      <c r="F1079" s="8"/>
    </row>
    <row r="1080" spans="2:6" x14ac:dyDescent="0.35">
      <c r="B1080" s="8"/>
      <c r="C1080" s="8"/>
      <c r="D1080" s="28"/>
      <c r="E1080" s="8"/>
      <c r="F1080" s="8"/>
    </row>
    <row r="1081" spans="2:6" x14ac:dyDescent="0.35">
      <c r="B1081" s="8"/>
      <c r="C1081" s="8"/>
      <c r="D1081" s="28"/>
      <c r="E1081" s="8"/>
      <c r="F1081" s="8"/>
    </row>
    <row r="1082" spans="2:6" x14ac:dyDescent="0.35">
      <c r="B1082" s="8"/>
      <c r="C1082" s="8"/>
      <c r="D1082" s="28"/>
      <c r="E1082" s="8"/>
      <c r="F1082" s="8"/>
    </row>
    <row r="1083" spans="2:6" x14ac:dyDescent="0.35">
      <c r="B1083" s="8"/>
      <c r="C1083" s="8"/>
      <c r="D1083" s="28"/>
      <c r="E1083" s="8"/>
      <c r="F1083" s="8"/>
    </row>
    <row r="1084" spans="2:6" x14ac:dyDescent="0.35">
      <c r="B1084" s="8"/>
      <c r="C1084" s="8"/>
      <c r="D1084" s="28"/>
      <c r="E1084" s="8"/>
      <c r="F1084" s="8"/>
    </row>
    <row r="1085" spans="2:6" x14ac:dyDescent="0.35">
      <c r="B1085" s="8"/>
      <c r="C1085" s="8"/>
      <c r="D1085" s="28"/>
      <c r="E1085" s="8"/>
      <c r="F1085" s="8"/>
    </row>
    <row r="1086" spans="2:6" x14ac:dyDescent="0.35">
      <c r="B1086" s="8"/>
      <c r="C1086" s="8"/>
      <c r="D1086" s="28"/>
      <c r="E1086" s="8"/>
      <c r="F1086" s="8"/>
    </row>
    <row r="1087" spans="2:6" x14ac:dyDescent="0.35">
      <c r="B1087" s="8"/>
      <c r="C1087" s="8"/>
      <c r="D1087" s="28"/>
      <c r="E1087" s="8"/>
      <c r="F1087" s="8"/>
    </row>
    <row r="1088" spans="2:6" x14ac:dyDescent="0.35">
      <c r="B1088" s="8"/>
      <c r="C1088" s="8"/>
      <c r="D1088" s="28"/>
      <c r="E1088" s="8"/>
      <c r="F1088" s="8"/>
    </row>
    <row r="1089" spans="2:6" x14ac:dyDescent="0.35">
      <c r="B1089" s="8"/>
      <c r="C1089" s="8"/>
      <c r="D1089" s="28"/>
      <c r="E1089" s="8"/>
      <c r="F1089" s="8"/>
    </row>
    <row r="1090" spans="2:6" x14ac:dyDescent="0.35">
      <c r="B1090" s="8"/>
      <c r="C1090" s="8"/>
      <c r="D1090" s="28"/>
      <c r="E1090" s="8"/>
      <c r="F1090" s="8"/>
    </row>
    <row r="1091" spans="2:6" x14ac:dyDescent="0.35">
      <c r="B1091" s="8"/>
      <c r="C1091" s="8"/>
      <c r="D1091" s="28"/>
      <c r="E1091" s="8"/>
      <c r="F1091" s="8"/>
    </row>
    <row r="1092" spans="2:6" x14ac:dyDescent="0.35">
      <c r="B1092" s="8"/>
      <c r="C1092" s="8"/>
      <c r="D1092" s="28"/>
      <c r="E1092" s="8"/>
      <c r="F1092" s="8"/>
    </row>
    <row r="1093" spans="2:6" x14ac:dyDescent="0.35">
      <c r="B1093" s="8"/>
      <c r="C1093" s="8"/>
      <c r="D1093" s="28"/>
      <c r="E1093" s="8"/>
      <c r="F1093" s="8"/>
    </row>
    <row r="1094" spans="2:6" x14ac:dyDescent="0.35">
      <c r="B1094" s="8"/>
      <c r="C1094" s="8"/>
      <c r="D1094" s="28"/>
      <c r="E1094" s="8"/>
      <c r="F1094" s="8"/>
    </row>
    <row r="1095" spans="2:6" x14ac:dyDescent="0.35">
      <c r="B1095" s="8"/>
      <c r="C1095" s="8"/>
      <c r="D1095" s="28"/>
      <c r="E1095" s="8"/>
      <c r="F1095" s="8"/>
    </row>
    <row r="1096" spans="2:6" x14ac:dyDescent="0.35">
      <c r="B1096" s="8"/>
      <c r="C1096" s="8"/>
      <c r="D1096" s="28"/>
      <c r="E1096" s="8"/>
      <c r="F1096" s="8"/>
    </row>
    <row r="1097" spans="2:6" x14ac:dyDescent="0.35">
      <c r="B1097" s="8"/>
      <c r="C1097" s="8"/>
      <c r="D1097" s="28"/>
      <c r="E1097" s="8"/>
      <c r="F1097" s="8"/>
    </row>
    <row r="1098" spans="2:6" x14ac:dyDescent="0.35">
      <c r="B1098" s="8"/>
      <c r="C1098" s="8"/>
      <c r="D1098" s="28"/>
      <c r="E1098" s="8"/>
      <c r="F1098" s="8"/>
    </row>
    <row r="1099" spans="2:6" x14ac:dyDescent="0.35">
      <c r="B1099" s="8"/>
      <c r="C1099" s="8"/>
      <c r="D1099" s="28"/>
      <c r="E1099" s="8"/>
      <c r="F1099" s="8"/>
    </row>
    <row r="1100" spans="2:6" x14ac:dyDescent="0.35">
      <c r="B1100" s="8"/>
      <c r="C1100" s="8"/>
      <c r="D1100" s="28"/>
      <c r="E1100" s="8"/>
      <c r="F1100" s="8"/>
    </row>
    <row r="1101" spans="2:6" x14ac:dyDescent="0.35">
      <c r="B1101" s="8"/>
      <c r="C1101" s="8"/>
      <c r="D1101" s="28"/>
      <c r="E1101" s="8"/>
      <c r="F1101" s="8"/>
    </row>
    <row r="1102" spans="2:6" x14ac:dyDescent="0.35">
      <c r="B1102" s="8"/>
      <c r="C1102" s="8"/>
      <c r="D1102" s="28"/>
      <c r="E1102" s="8"/>
      <c r="F1102" s="8"/>
    </row>
    <row r="1103" spans="2:6" x14ac:dyDescent="0.35">
      <c r="B1103" s="8"/>
      <c r="C1103" s="8"/>
      <c r="D1103" s="28"/>
      <c r="E1103" s="8"/>
      <c r="F1103" s="8"/>
    </row>
    <row r="1104" spans="2:6" x14ac:dyDescent="0.35">
      <c r="B1104" s="8"/>
      <c r="C1104" s="8"/>
      <c r="D1104" s="28"/>
      <c r="E1104" s="8"/>
      <c r="F1104" s="8"/>
    </row>
    <row r="1105" spans="2:6" x14ac:dyDescent="0.35">
      <c r="B1105" s="8"/>
      <c r="C1105" s="8"/>
      <c r="D1105" s="28"/>
      <c r="E1105" s="8"/>
      <c r="F1105" s="8"/>
    </row>
    <row r="1106" spans="2:6" x14ac:dyDescent="0.35">
      <c r="B1106" s="8"/>
      <c r="C1106" s="8"/>
      <c r="D1106" s="28"/>
      <c r="E1106" s="8"/>
      <c r="F1106" s="8"/>
    </row>
    <row r="1107" spans="2:6" x14ac:dyDescent="0.35">
      <c r="B1107" s="8"/>
      <c r="C1107" s="8"/>
      <c r="D1107" s="28"/>
      <c r="E1107" s="8"/>
      <c r="F1107" s="8"/>
    </row>
    <row r="1108" spans="2:6" x14ac:dyDescent="0.35">
      <c r="B1108" s="8"/>
      <c r="C1108" s="8"/>
      <c r="D1108" s="28"/>
      <c r="E1108" s="8"/>
      <c r="F1108" s="8"/>
    </row>
    <row r="1109" spans="2:6" x14ac:dyDescent="0.35">
      <c r="B1109" s="8"/>
      <c r="C1109" s="8"/>
      <c r="D1109" s="28"/>
      <c r="E1109" s="8"/>
      <c r="F1109" s="8"/>
    </row>
    <row r="1110" spans="2:6" x14ac:dyDescent="0.35">
      <c r="B1110" s="8"/>
      <c r="C1110" s="8"/>
      <c r="D1110" s="28"/>
      <c r="E1110" s="8"/>
      <c r="F1110" s="8"/>
    </row>
    <row r="1111" spans="2:6" x14ac:dyDescent="0.35">
      <c r="B1111" s="8"/>
      <c r="C1111" s="8"/>
      <c r="D1111" s="28"/>
      <c r="E1111" s="8"/>
      <c r="F1111" s="8"/>
    </row>
    <row r="1112" spans="2:6" x14ac:dyDescent="0.35">
      <c r="B1112" s="8"/>
      <c r="C1112" s="8"/>
      <c r="D1112" s="28"/>
      <c r="E1112" s="8"/>
      <c r="F1112" s="8"/>
    </row>
    <row r="1113" spans="2:6" x14ac:dyDescent="0.35">
      <c r="B1113" s="8"/>
      <c r="C1113" s="8"/>
      <c r="D1113" s="28"/>
      <c r="E1113" s="8"/>
      <c r="F1113" s="8"/>
    </row>
    <row r="1114" spans="2:6" x14ac:dyDescent="0.35">
      <c r="B1114" s="8"/>
      <c r="C1114" s="8"/>
      <c r="D1114" s="28"/>
      <c r="E1114" s="8"/>
      <c r="F1114" s="8"/>
    </row>
    <row r="1115" spans="2:6" x14ac:dyDescent="0.35">
      <c r="B1115" s="8"/>
      <c r="C1115" s="8"/>
      <c r="D1115" s="28"/>
      <c r="E1115" s="8"/>
      <c r="F1115" s="8"/>
    </row>
    <row r="1116" spans="2:6" x14ac:dyDescent="0.35">
      <c r="B1116" s="8"/>
      <c r="C1116" s="8"/>
      <c r="D1116" s="28"/>
      <c r="E1116" s="8"/>
      <c r="F1116" s="8"/>
    </row>
    <row r="1117" spans="2:6" x14ac:dyDescent="0.35">
      <c r="B1117" s="8"/>
      <c r="C1117" s="8"/>
      <c r="D1117" s="28"/>
      <c r="E1117" s="8"/>
      <c r="F1117" s="8"/>
    </row>
    <row r="1118" spans="2:6" x14ac:dyDescent="0.35">
      <c r="B1118" s="8"/>
      <c r="C1118" s="8"/>
      <c r="D1118" s="28"/>
      <c r="E1118" s="8"/>
      <c r="F1118" s="8"/>
    </row>
    <row r="1119" spans="2:6" x14ac:dyDescent="0.35">
      <c r="B1119" s="8"/>
      <c r="C1119" s="8"/>
      <c r="D1119" s="28"/>
      <c r="E1119" s="8"/>
      <c r="F1119" s="8"/>
    </row>
    <row r="1120" spans="2:6" x14ac:dyDescent="0.35">
      <c r="B1120" s="8"/>
      <c r="C1120" s="8"/>
      <c r="D1120" s="28"/>
      <c r="E1120" s="8"/>
      <c r="F1120" s="8"/>
    </row>
    <row r="1121" spans="2:6" x14ac:dyDescent="0.35">
      <c r="B1121" s="8"/>
      <c r="C1121" s="8"/>
      <c r="D1121" s="28"/>
      <c r="E1121" s="8"/>
      <c r="F1121" s="8"/>
    </row>
    <row r="1122" spans="2:6" x14ac:dyDescent="0.35">
      <c r="B1122" s="8"/>
      <c r="C1122" s="8"/>
      <c r="D1122" s="28"/>
      <c r="E1122" s="8"/>
      <c r="F1122" s="8"/>
    </row>
    <row r="1123" spans="2:6" x14ac:dyDescent="0.35">
      <c r="B1123" s="8"/>
      <c r="C1123" s="8"/>
      <c r="D1123" s="28"/>
      <c r="E1123" s="8"/>
      <c r="F1123" s="8"/>
    </row>
    <row r="1124" spans="2:6" x14ac:dyDescent="0.35">
      <c r="B1124" s="8"/>
      <c r="C1124" s="8"/>
      <c r="D1124" s="28"/>
      <c r="E1124" s="8"/>
      <c r="F1124" s="8"/>
    </row>
    <row r="1125" spans="2:6" x14ac:dyDescent="0.35">
      <c r="B1125" s="8"/>
      <c r="C1125" s="8"/>
      <c r="D1125" s="28"/>
      <c r="E1125" s="8"/>
      <c r="F1125" s="8"/>
    </row>
    <row r="1126" spans="2:6" x14ac:dyDescent="0.35">
      <c r="B1126" s="8"/>
      <c r="C1126" s="8"/>
      <c r="D1126" s="28"/>
      <c r="E1126" s="8"/>
      <c r="F1126" s="8"/>
    </row>
    <row r="1127" spans="2:6" x14ac:dyDescent="0.35">
      <c r="B1127" s="8"/>
      <c r="C1127" s="8"/>
      <c r="D1127" s="28"/>
      <c r="E1127" s="8"/>
      <c r="F1127" s="8"/>
    </row>
    <row r="1128" spans="2:6" x14ac:dyDescent="0.35">
      <c r="B1128" s="8"/>
      <c r="C1128" s="8"/>
      <c r="D1128" s="28"/>
      <c r="E1128" s="8"/>
      <c r="F1128" s="8"/>
    </row>
    <row r="1129" spans="2:6" x14ac:dyDescent="0.35">
      <c r="B1129" s="8"/>
      <c r="C1129" s="8"/>
      <c r="D1129" s="28"/>
      <c r="E1129" s="8"/>
      <c r="F1129" s="8"/>
    </row>
    <row r="1130" spans="2:6" x14ac:dyDescent="0.35">
      <c r="B1130" s="8"/>
      <c r="C1130" s="8"/>
      <c r="D1130" s="28"/>
      <c r="E1130" s="8"/>
      <c r="F1130" s="8"/>
    </row>
    <row r="1131" spans="2:6" x14ac:dyDescent="0.35">
      <c r="B1131" s="8"/>
      <c r="C1131" s="8"/>
      <c r="D1131" s="28"/>
      <c r="E1131" s="8"/>
      <c r="F1131" s="8"/>
    </row>
    <row r="1132" spans="2:6" x14ac:dyDescent="0.35">
      <c r="B1132" s="8"/>
      <c r="C1132" s="8"/>
      <c r="D1132" s="28"/>
      <c r="E1132" s="8"/>
      <c r="F1132" s="8"/>
    </row>
    <row r="1133" spans="2:6" x14ac:dyDescent="0.35">
      <c r="B1133" s="8"/>
      <c r="C1133" s="8"/>
      <c r="D1133" s="28"/>
      <c r="E1133" s="8"/>
      <c r="F1133" s="8"/>
    </row>
    <row r="1134" spans="2:6" x14ac:dyDescent="0.35">
      <c r="B1134" s="8"/>
      <c r="C1134" s="8"/>
      <c r="D1134" s="28"/>
      <c r="E1134" s="8"/>
      <c r="F1134" s="8"/>
    </row>
    <row r="1135" spans="2:6" x14ac:dyDescent="0.35">
      <c r="B1135" s="8"/>
      <c r="C1135" s="8"/>
      <c r="D1135" s="28"/>
      <c r="E1135" s="8"/>
      <c r="F1135" s="8"/>
    </row>
    <row r="1136" spans="2:6" x14ac:dyDescent="0.35">
      <c r="B1136" s="8"/>
      <c r="C1136" s="8"/>
      <c r="D1136" s="28"/>
      <c r="E1136" s="8"/>
      <c r="F1136" s="8"/>
    </row>
    <row r="1137" spans="2:6" x14ac:dyDescent="0.35">
      <c r="B1137" s="8"/>
      <c r="C1137" s="8"/>
      <c r="D1137" s="28"/>
      <c r="E1137" s="8"/>
      <c r="F1137" s="8"/>
    </row>
    <row r="1138" spans="2:6" x14ac:dyDescent="0.35">
      <c r="B1138" s="8"/>
      <c r="C1138" s="8"/>
      <c r="D1138" s="28"/>
      <c r="E1138" s="8"/>
      <c r="F1138" s="8"/>
    </row>
    <row r="1139" spans="2:6" x14ac:dyDescent="0.35">
      <c r="B1139" s="8"/>
      <c r="C1139" s="8"/>
      <c r="D1139" s="28"/>
      <c r="E1139" s="8"/>
      <c r="F1139" s="8"/>
    </row>
    <row r="1140" spans="2:6" x14ac:dyDescent="0.35">
      <c r="B1140" s="8"/>
      <c r="C1140" s="8"/>
      <c r="D1140" s="28"/>
      <c r="E1140" s="8"/>
    </row>
    <row r="1141" spans="2:6" x14ac:dyDescent="0.35">
      <c r="B1141" s="8"/>
      <c r="C1141" s="8"/>
      <c r="D1141" s="28"/>
      <c r="E1141" s="8"/>
    </row>
    <row r="1142" spans="2:6" x14ac:dyDescent="0.35">
      <c r="B1142" s="8"/>
      <c r="C1142" s="8"/>
      <c r="D1142" s="28"/>
      <c r="E1142" s="8"/>
    </row>
    <row r="1143" spans="2:6" x14ac:dyDescent="0.35">
      <c r="B1143" s="8"/>
      <c r="C1143" s="8"/>
      <c r="D1143" s="28"/>
      <c r="E1143" s="8"/>
    </row>
    <row r="1144" spans="2:6" x14ac:dyDescent="0.35">
      <c r="B1144" s="8"/>
      <c r="C1144" s="8"/>
      <c r="D1144" s="28"/>
      <c r="E1144" s="8"/>
    </row>
    <row r="1145" spans="2:6" x14ac:dyDescent="0.35">
      <c r="B1145" s="8"/>
      <c r="C1145" s="8"/>
      <c r="D1145" s="28"/>
      <c r="E1145" s="8"/>
    </row>
    <row r="1146" spans="2:6" x14ac:dyDescent="0.35">
      <c r="B1146" s="8"/>
      <c r="C1146" s="8"/>
      <c r="D1146" s="28"/>
      <c r="E1146" s="8"/>
    </row>
    <row r="1147" spans="2:6" x14ac:dyDescent="0.35">
      <c r="B1147" s="8"/>
      <c r="C1147" s="8"/>
      <c r="D1147" s="28"/>
      <c r="E1147" s="8"/>
    </row>
    <row r="1148" spans="2:6" x14ac:dyDescent="0.35">
      <c r="B1148" s="8"/>
      <c r="C1148" s="8"/>
      <c r="D1148" s="28"/>
      <c r="E1148" s="8"/>
    </row>
    <row r="1149" spans="2:6" x14ac:dyDescent="0.35">
      <c r="B1149" s="8"/>
      <c r="C1149" s="8"/>
      <c r="D1149" s="28"/>
      <c r="E1149" s="8"/>
    </row>
    <row r="1150" spans="2:6" x14ac:dyDescent="0.35">
      <c r="B1150" s="8"/>
      <c r="C1150" s="8"/>
      <c r="D1150" s="28"/>
      <c r="E1150" s="8"/>
    </row>
    <row r="1151" spans="2:6" x14ac:dyDescent="0.35">
      <c r="B1151" s="8"/>
      <c r="C1151" s="8"/>
      <c r="D1151" s="28"/>
      <c r="E1151" s="8"/>
    </row>
    <row r="1152" spans="2:6" x14ac:dyDescent="0.35">
      <c r="B1152" s="8"/>
      <c r="C1152" s="8"/>
      <c r="D1152" s="28"/>
      <c r="E1152" s="8"/>
    </row>
    <row r="1153" spans="2:5" x14ac:dyDescent="0.35">
      <c r="B1153" s="8"/>
      <c r="C1153" s="8"/>
      <c r="D1153" s="28"/>
      <c r="E1153" s="8"/>
    </row>
    <row r="1154" spans="2:5" x14ac:dyDescent="0.35">
      <c r="B1154" s="8"/>
      <c r="C1154" s="8"/>
      <c r="D1154" s="28"/>
      <c r="E1154" s="8"/>
    </row>
    <row r="1155" spans="2:5" x14ac:dyDescent="0.35">
      <c r="B1155" s="8"/>
      <c r="C1155" s="8"/>
      <c r="D1155" s="28"/>
      <c r="E1155" s="8"/>
    </row>
    <row r="1156" spans="2:5" x14ac:dyDescent="0.35">
      <c r="B1156" s="8"/>
      <c r="C1156" s="8"/>
      <c r="D1156" s="28"/>
      <c r="E1156" s="8"/>
    </row>
    <row r="1157" spans="2:5" x14ac:dyDescent="0.35">
      <c r="B1157" s="8"/>
      <c r="C1157" s="8"/>
      <c r="D1157" s="28"/>
      <c r="E1157" s="8"/>
    </row>
    <row r="1158" spans="2:5" x14ac:dyDescent="0.35">
      <c r="B1158" s="8"/>
      <c r="C1158" s="8"/>
      <c r="D1158" s="28"/>
      <c r="E1158" s="8"/>
    </row>
    <row r="1159" spans="2:5" x14ac:dyDescent="0.35">
      <c r="B1159" s="8"/>
      <c r="C1159" s="8"/>
      <c r="D1159" s="28"/>
      <c r="E1159" s="8"/>
    </row>
    <row r="1160" spans="2:5" x14ac:dyDescent="0.35">
      <c r="B1160" s="8"/>
      <c r="C1160" s="8"/>
      <c r="D1160" s="28"/>
      <c r="E1160" s="8"/>
    </row>
    <row r="1161" spans="2:5" x14ac:dyDescent="0.35">
      <c r="B1161" s="8"/>
      <c r="C1161" s="8"/>
      <c r="D1161" s="28"/>
      <c r="E1161" s="8"/>
    </row>
    <row r="1162" spans="2:5" x14ac:dyDescent="0.35">
      <c r="B1162" s="8"/>
      <c r="C1162" s="8"/>
      <c r="D1162" s="28"/>
      <c r="E1162" s="8"/>
    </row>
    <row r="1163" spans="2:5" x14ac:dyDescent="0.35">
      <c r="B1163" s="8"/>
      <c r="C1163" s="8"/>
      <c r="D1163" s="28"/>
      <c r="E1163" s="8"/>
    </row>
    <row r="1164" spans="2:5" x14ac:dyDescent="0.35">
      <c r="B1164" s="8"/>
      <c r="C1164" s="8"/>
      <c r="D1164" s="28"/>
      <c r="E1164" s="8"/>
    </row>
    <row r="1165" spans="2:5" x14ac:dyDescent="0.35">
      <c r="B1165" s="8"/>
      <c r="C1165" s="8"/>
      <c r="D1165" s="28"/>
      <c r="E1165" s="8"/>
    </row>
    <row r="1166" spans="2:5" x14ac:dyDescent="0.35">
      <c r="B1166" s="8"/>
      <c r="C1166" s="8"/>
      <c r="D1166" s="28"/>
      <c r="E1166" s="8"/>
    </row>
    <row r="1167" spans="2:5" x14ac:dyDescent="0.35">
      <c r="B1167" s="8"/>
      <c r="C1167" s="8"/>
      <c r="D1167" s="28"/>
      <c r="E1167" s="8"/>
    </row>
    <row r="1168" spans="2:5" x14ac:dyDescent="0.35">
      <c r="B1168" s="8"/>
      <c r="C1168" s="8"/>
      <c r="D1168" s="28"/>
      <c r="E1168" s="8"/>
    </row>
    <row r="1169" spans="2:5" x14ac:dyDescent="0.35">
      <c r="B1169" s="8"/>
      <c r="C1169" s="8"/>
      <c r="D1169" s="28"/>
      <c r="E1169" s="8"/>
    </row>
    <row r="1170" spans="2:5" x14ac:dyDescent="0.35">
      <c r="B1170" s="8"/>
      <c r="C1170" s="8"/>
      <c r="D1170" s="28"/>
      <c r="E1170" s="8"/>
    </row>
    <row r="1171" spans="2:5" x14ac:dyDescent="0.35">
      <c r="B1171" s="8"/>
      <c r="C1171" s="8"/>
      <c r="D1171" s="28"/>
      <c r="E1171" s="8"/>
    </row>
    <row r="1172" spans="2:5" x14ac:dyDescent="0.35">
      <c r="B1172" s="8"/>
      <c r="C1172" s="8"/>
      <c r="D1172" s="28"/>
      <c r="E1172" s="8"/>
    </row>
    <row r="1173" spans="2:5" x14ac:dyDescent="0.35">
      <c r="B1173" s="8"/>
      <c r="C1173" s="8"/>
      <c r="D1173" s="28"/>
      <c r="E1173" s="8"/>
    </row>
    <row r="1174" spans="2:5" x14ac:dyDescent="0.35">
      <c r="B1174" s="8"/>
      <c r="C1174" s="8"/>
      <c r="D1174" s="28"/>
      <c r="E1174" s="8"/>
    </row>
    <row r="1175" spans="2:5" x14ac:dyDescent="0.35">
      <c r="B1175" s="8"/>
      <c r="C1175" s="8"/>
      <c r="D1175" s="28"/>
      <c r="E1175" s="8"/>
    </row>
    <row r="1176" spans="2:5" x14ac:dyDescent="0.35">
      <c r="B1176" s="8"/>
      <c r="C1176" s="8"/>
      <c r="D1176" s="28"/>
      <c r="E1176" s="8"/>
    </row>
    <row r="1177" spans="2:5" x14ac:dyDescent="0.35">
      <c r="B1177" s="8"/>
      <c r="C1177" s="8"/>
      <c r="D1177" s="28"/>
      <c r="E1177" s="8"/>
    </row>
    <row r="1178" spans="2:5" x14ac:dyDescent="0.35">
      <c r="B1178" s="8"/>
      <c r="C1178" s="8"/>
      <c r="D1178" s="28"/>
      <c r="E1178" s="8"/>
    </row>
    <row r="1179" spans="2:5" x14ac:dyDescent="0.35">
      <c r="B1179" s="8"/>
      <c r="C1179" s="8"/>
      <c r="D1179" s="28"/>
      <c r="E1179" s="8"/>
    </row>
    <row r="1180" spans="2:5" x14ac:dyDescent="0.35">
      <c r="B1180" s="8"/>
      <c r="C1180" s="8"/>
      <c r="D1180" s="28"/>
      <c r="E1180" s="8"/>
    </row>
    <row r="1181" spans="2:5" x14ac:dyDescent="0.35">
      <c r="B1181" s="8"/>
      <c r="C1181" s="8"/>
      <c r="D1181" s="28"/>
      <c r="E1181" s="8"/>
    </row>
    <row r="1182" spans="2:5" x14ac:dyDescent="0.35">
      <c r="B1182" s="8"/>
      <c r="C1182" s="8"/>
      <c r="D1182" s="28"/>
      <c r="E1182" s="8"/>
    </row>
    <row r="1183" spans="2:5" x14ac:dyDescent="0.35">
      <c r="B1183" s="8"/>
      <c r="C1183" s="8"/>
      <c r="D1183" s="28"/>
      <c r="E1183" s="8"/>
    </row>
    <row r="1184" spans="2:5" x14ac:dyDescent="0.35">
      <c r="B1184" s="8"/>
      <c r="C1184" s="8"/>
      <c r="D1184" s="28"/>
      <c r="E1184" s="8"/>
    </row>
    <row r="1185" spans="2:5" x14ac:dyDescent="0.35">
      <c r="B1185" s="8"/>
      <c r="C1185" s="8"/>
      <c r="D1185" s="28"/>
      <c r="E1185" s="8"/>
    </row>
    <row r="1186" spans="2:5" x14ac:dyDescent="0.35">
      <c r="B1186" s="8"/>
      <c r="C1186" s="8"/>
      <c r="D1186" s="28"/>
      <c r="E1186" s="8"/>
    </row>
    <row r="1187" spans="2:5" x14ac:dyDescent="0.35">
      <c r="B1187" s="8"/>
      <c r="C1187" s="8"/>
      <c r="D1187" s="28"/>
      <c r="E1187" s="8"/>
    </row>
    <row r="1188" spans="2:5" x14ac:dyDescent="0.35">
      <c r="B1188" s="8"/>
      <c r="C1188" s="8"/>
      <c r="D1188" s="28"/>
      <c r="E1188" s="8"/>
    </row>
    <row r="1189" spans="2:5" x14ac:dyDescent="0.35">
      <c r="B1189" s="8"/>
      <c r="C1189" s="8"/>
      <c r="D1189" s="28"/>
      <c r="E1189" s="8"/>
    </row>
    <row r="1190" spans="2:5" x14ac:dyDescent="0.35">
      <c r="B1190" s="8"/>
      <c r="C1190" s="8"/>
      <c r="D1190" s="28"/>
      <c r="E1190" s="8"/>
    </row>
    <row r="1191" spans="2:5" x14ac:dyDescent="0.35">
      <c r="B1191" s="8"/>
      <c r="C1191" s="8"/>
      <c r="D1191" s="28"/>
      <c r="E1191" s="8"/>
    </row>
    <row r="1192" spans="2:5" x14ac:dyDescent="0.35">
      <c r="B1192" s="8"/>
      <c r="C1192" s="8"/>
      <c r="D1192" s="28"/>
      <c r="E1192" s="8"/>
    </row>
    <row r="1193" spans="2:5" x14ac:dyDescent="0.35">
      <c r="B1193" s="8"/>
      <c r="C1193" s="8"/>
      <c r="D1193" s="28"/>
      <c r="E1193" s="8"/>
    </row>
    <row r="1194" spans="2:5" x14ac:dyDescent="0.35">
      <c r="B1194" s="8"/>
      <c r="C1194" s="8"/>
      <c r="D1194" s="28"/>
      <c r="E1194" s="8"/>
    </row>
    <row r="1195" spans="2:5" x14ac:dyDescent="0.35">
      <c r="B1195" s="8"/>
      <c r="C1195" s="8"/>
      <c r="D1195" s="28"/>
      <c r="E1195" s="8"/>
    </row>
    <row r="1196" spans="2:5" x14ac:dyDescent="0.35">
      <c r="B1196" s="8"/>
      <c r="C1196" s="8"/>
      <c r="D1196" s="28"/>
      <c r="E1196" s="8"/>
    </row>
    <row r="1197" spans="2:5" x14ac:dyDescent="0.35">
      <c r="B1197" s="8"/>
      <c r="C1197" s="8"/>
      <c r="D1197" s="28"/>
      <c r="E1197" s="8"/>
    </row>
    <row r="1198" spans="2:5" x14ac:dyDescent="0.35">
      <c r="B1198" s="8"/>
      <c r="C1198" s="8"/>
      <c r="D1198" s="28"/>
      <c r="E1198" s="8"/>
    </row>
    <row r="1199" spans="2:5" x14ac:dyDescent="0.35">
      <c r="B1199" s="8"/>
      <c r="C1199" s="8"/>
      <c r="D1199" s="28"/>
      <c r="E1199" s="8"/>
    </row>
    <row r="1200" spans="2:5" x14ac:dyDescent="0.35">
      <c r="B1200" s="8"/>
      <c r="C1200" s="8"/>
      <c r="D1200" s="28"/>
      <c r="E1200" s="8"/>
    </row>
    <row r="1201" spans="2:5" x14ac:dyDescent="0.35">
      <c r="B1201" s="8"/>
      <c r="C1201" s="8"/>
      <c r="D1201" s="28"/>
      <c r="E1201" s="8"/>
    </row>
    <row r="1202" spans="2:5" x14ac:dyDescent="0.35">
      <c r="B1202" s="8"/>
      <c r="C1202" s="8"/>
      <c r="D1202" s="28"/>
      <c r="E1202" s="8"/>
    </row>
    <row r="1203" spans="2:5" x14ac:dyDescent="0.35">
      <c r="B1203" s="8"/>
      <c r="C1203" s="8"/>
      <c r="D1203" s="28"/>
      <c r="E1203" s="8"/>
    </row>
    <row r="1204" spans="2:5" x14ac:dyDescent="0.35">
      <c r="B1204" s="8"/>
      <c r="C1204" s="8"/>
      <c r="D1204" s="28"/>
      <c r="E1204" s="8"/>
    </row>
    <row r="1205" spans="2:5" x14ac:dyDescent="0.35">
      <c r="B1205" s="8"/>
      <c r="C1205" s="8"/>
      <c r="D1205" s="28"/>
      <c r="E1205" s="8"/>
    </row>
    <row r="1206" spans="2:5" x14ac:dyDescent="0.35">
      <c r="B1206" s="8"/>
      <c r="C1206" s="8"/>
      <c r="D1206" s="28"/>
      <c r="E1206" s="8"/>
    </row>
    <row r="1207" spans="2:5" x14ac:dyDescent="0.35">
      <c r="B1207" s="8"/>
      <c r="C1207" s="8"/>
      <c r="D1207" s="28"/>
      <c r="E1207" s="8"/>
    </row>
    <row r="1208" spans="2:5" x14ac:dyDescent="0.35">
      <c r="B1208" s="8"/>
      <c r="C1208" s="8"/>
      <c r="D1208" s="28"/>
      <c r="E1208" s="8"/>
    </row>
    <row r="1209" spans="2:5" x14ac:dyDescent="0.35">
      <c r="B1209" s="8"/>
      <c r="C1209" s="8"/>
      <c r="D1209" s="28"/>
      <c r="E1209" s="8"/>
    </row>
    <row r="1210" spans="2:5" x14ac:dyDescent="0.35">
      <c r="B1210" s="8"/>
      <c r="C1210" s="8"/>
      <c r="D1210" s="28"/>
      <c r="E1210" s="8"/>
    </row>
    <row r="1211" spans="2:5" x14ac:dyDescent="0.35">
      <c r="B1211" s="8"/>
      <c r="C1211" s="8"/>
      <c r="D1211" s="28"/>
      <c r="E1211" s="8"/>
    </row>
    <row r="1212" spans="2:5" x14ac:dyDescent="0.35">
      <c r="B1212" s="8"/>
      <c r="C1212" s="8"/>
      <c r="D1212" s="28"/>
      <c r="E1212" s="8"/>
    </row>
    <row r="1213" spans="2:5" x14ac:dyDescent="0.35">
      <c r="B1213" s="8"/>
      <c r="C1213" s="8"/>
      <c r="D1213" s="28"/>
      <c r="E1213" s="8"/>
    </row>
    <row r="1214" spans="2:5" x14ac:dyDescent="0.35">
      <c r="B1214" s="8"/>
      <c r="C1214" s="8"/>
      <c r="D1214" s="28"/>
      <c r="E1214" s="8"/>
    </row>
    <row r="1215" spans="2:5" x14ac:dyDescent="0.35">
      <c r="B1215" s="8"/>
      <c r="C1215" s="8"/>
      <c r="D1215" s="28"/>
      <c r="E1215" s="8"/>
    </row>
    <row r="1216" spans="2:5" x14ac:dyDescent="0.35">
      <c r="B1216" s="8"/>
      <c r="C1216" s="8"/>
      <c r="D1216" s="28"/>
      <c r="E1216" s="8"/>
    </row>
    <row r="1217" spans="2:5" x14ac:dyDescent="0.35">
      <c r="B1217" s="8"/>
      <c r="C1217" s="8"/>
      <c r="D1217" s="28"/>
      <c r="E1217" s="8"/>
    </row>
    <row r="1218" spans="2:5" x14ac:dyDescent="0.35">
      <c r="B1218" s="8"/>
      <c r="C1218" s="8"/>
      <c r="D1218" s="28"/>
      <c r="E1218" s="8"/>
    </row>
    <row r="1219" spans="2:5" x14ac:dyDescent="0.35">
      <c r="B1219" s="8"/>
      <c r="C1219" s="8"/>
      <c r="D1219" s="28"/>
      <c r="E1219" s="8"/>
    </row>
    <row r="1220" spans="2:5" x14ac:dyDescent="0.35">
      <c r="B1220" s="8"/>
      <c r="C1220" s="8"/>
      <c r="D1220" s="28"/>
      <c r="E1220" s="8"/>
    </row>
    <row r="1221" spans="2:5" x14ac:dyDescent="0.35">
      <c r="B1221" s="8"/>
      <c r="C1221" s="8"/>
      <c r="D1221" s="28"/>
      <c r="E1221" s="8"/>
    </row>
    <row r="1222" spans="2:5" x14ac:dyDescent="0.35">
      <c r="B1222" s="8"/>
      <c r="C1222" s="8"/>
      <c r="D1222" s="28"/>
      <c r="E1222" s="8"/>
    </row>
    <row r="1223" spans="2:5" x14ac:dyDescent="0.35">
      <c r="B1223" s="8"/>
      <c r="C1223" s="8"/>
      <c r="D1223" s="28"/>
      <c r="E1223" s="8"/>
    </row>
    <row r="1224" spans="2:5" x14ac:dyDescent="0.35">
      <c r="B1224" s="8"/>
      <c r="C1224" s="8"/>
      <c r="D1224" s="28"/>
      <c r="E1224" s="8"/>
    </row>
    <row r="1225" spans="2:5" x14ac:dyDescent="0.35">
      <c r="B1225" s="8"/>
      <c r="C1225" s="8"/>
      <c r="D1225" s="28"/>
      <c r="E1225" s="8"/>
    </row>
    <row r="1226" spans="2:5" x14ac:dyDescent="0.35">
      <c r="B1226" s="8"/>
      <c r="C1226" s="8"/>
      <c r="D1226" s="28"/>
      <c r="E1226" s="8"/>
    </row>
    <row r="1227" spans="2:5" x14ac:dyDescent="0.35">
      <c r="B1227" s="8"/>
      <c r="C1227" s="8"/>
      <c r="D1227" s="28"/>
      <c r="E1227" s="8"/>
    </row>
    <row r="1228" spans="2:5" x14ac:dyDescent="0.35">
      <c r="B1228" s="8"/>
      <c r="C1228" s="8"/>
      <c r="D1228" s="28"/>
      <c r="E1228" s="8"/>
    </row>
    <row r="1229" spans="2:5" x14ac:dyDescent="0.35">
      <c r="B1229" s="8"/>
      <c r="C1229" s="8"/>
      <c r="D1229" s="28"/>
      <c r="E1229" s="8"/>
    </row>
    <row r="1230" spans="2:5" x14ac:dyDescent="0.35">
      <c r="B1230" s="8"/>
      <c r="C1230" s="8"/>
      <c r="D1230" s="28"/>
      <c r="E1230" s="8"/>
    </row>
    <row r="1231" spans="2:5" x14ac:dyDescent="0.35">
      <c r="B1231" s="8"/>
      <c r="C1231" s="8"/>
      <c r="D1231" s="28"/>
      <c r="E1231" s="8"/>
    </row>
    <row r="1232" spans="2:5" x14ac:dyDescent="0.35">
      <c r="B1232" s="8"/>
      <c r="C1232" s="8"/>
      <c r="D1232" s="28"/>
      <c r="E1232" s="8"/>
    </row>
    <row r="1233" spans="2:5" x14ac:dyDescent="0.35">
      <c r="B1233" s="8"/>
      <c r="C1233" s="8"/>
      <c r="D1233" s="28"/>
      <c r="E1233" s="8"/>
    </row>
    <row r="1234" spans="2:5" x14ac:dyDescent="0.35">
      <c r="B1234" s="8"/>
      <c r="C1234" s="8"/>
      <c r="D1234" s="28"/>
      <c r="E1234" s="8"/>
    </row>
    <row r="1235" spans="2:5" x14ac:dyDescent="0.35">
      <c r="B1235" s="8"/>
      <c r="C1235" s="8"/>
      <c r="D1235" s="28"/>
      <c r="E1235" s="8"/>
    </row>
    <row r="1236" spans="2:5" x14ac:dyDescent="0.35">
      <c r="B1236" s="8"/>
      <c r="C1236" s="8"/>
      <c r="D1236" s="28"/>
      <c r="E1236" s="8"/>
    </row>
    <row r="1237" spans="2:5" x14ac:dyDescent="0.35">
      <c r="B1237" s="8"/>
      <c r="C1237" s="8"/>
      <c r="D1237" s="28"/>
      <c r="E1237" s="8"/>
    </row>
    <row r="1238" spans="2:5" x14ac:dyDescent="0.35">
      <c r="B1238" s="8"/>
      <c r="C1238" s="8"/>
      <c r="D1238" s="28"/>
      <c r="E1238" s="8"/>
    </row>
    <row r="1239" spans="2:5" x14ac:dyDescent="0.35">
      <c r="B1239" s="8"/>
      <c r="C1239" s="8"/>
      <c r="D1239" s="28"/>
      <c r="E1239" s="8"/>
    </row>
    <row r="1240" spans="2:5" x14ac:dyDescent="0.35">
      <c r="B1240" s="8"/>
      <c r="C1240" s="8"/>
      <c r="D1240" s="28"/>
      <c r="E1240" s="8"/>
    </row>
    <row r="1241" spans="2:5" x14ac:dyDescent="0.35">
      <c r="B1241" s="8"/>
      <c r="C1241" s="8"/>
      <c r="D1241" s="28"/>
      <c r="E1241" s="8"/>
    </row>
    <row r="1242" spans="2:5" x14ac:dyDescent="0.35">
      <c r="B1242" s="8"/>
      <c r="C1242" s="8"/>
      <c r="D1242" s="28"/>
      <c r="E1242" s="8"/>
    </row>
    <row r="1243" spans="2:5" x14ac:dyDescent="0.35">
      <c r="B1243" s="8"/>
      <c r="C1243" s="8"/>
      <c r="D1243" s="28"/>
      <c r="E1243" s="8"/>
    </row>
    <row r="1244" spans="2:5" x14ac:dyDescent="0.35">
      <c r="B1244" s="8"/>
      <c r="C1244" s="8"/>
      <c r="D1244" s="28"/>
      <c r="E1244" s="8"/>
    </row>
    <row r="1245" spans="2:5" x14ac:dyDescent="0.35">
      <c r="B1245" s="8"/>
      <c r="C1245" s="8"/>
      <c r="D1245" s="28"/>
      <c r="E1245" s="8"/>
    </row>
    <row r="1246" spans="2:5" x14ac:dyDescent="0.35">
      <c r="B1246" s="8"/>
      <c r="C1246" s="8"/>
      <c r="D1246" s="28"/>
      <c r="E1246" s="8"/>
    </row>
    <row r="1247" spans="2:5" x14ac:dyDescent="0.35">
      <c r="B1247" s="8"/>
      <c r="C1247" s="8"/>
      <c r="D1247" s="28"/>
      <c r="E1247" s="8"/>
    </row>
    <row r="1248" spans="2:5" x14ac:dyDescent="0.35">
      <c r="B1248" s="8"/>
      <c r="C1248" s="8"/>
      <c r="D1248" s="28"/>
      <c r="E1248" s="8"/>
    </row>
    <row r="1249" spans="2:5" x14ac:dyDescent="0.35">
      <c r="B1249" s="8"/>
      <c r="C1249" s="8"/>
      <c r="D1249" s="28"/>
      <c r="E1249" s="8"/>
    </row>
    <row r="1250" spans="2:5" x14ac:dyDescent="0.35">
      <c r="B1250" s="8"/>
      <c r="C1250" s="8"/>
      <c r="D1250" s="28"/>
      <c r="E1250" s="8"/>
    </row>
    <row r="1251" spans="2:5" x14ac:dyDescent="0.35">
      <c r="B1251" s="8"/>
      <c r="C1251" s="8"/>
      <c r="D1251" s="28"/>
      <c r="E1251" s="8"/>
    </row>
    <row r="1252" spans="2:5" x14ac:dyDescent="0.35">
      <c r="B1252" s="8"/>
      <c r="C1252" s="8"/>
      <c r="D1252" s="28"/>
      <c r="E1252" s="8"/>
    </row>
    <row r="1253" spans="2:5" x14ac:dyDescent="0.35">
      <c r="B1253" s="8"/>
      <c r="C1253" s="8"/>
      <c r="D1253" s="28"/>
      <c r="E1253" s="8"/>
    </row>
    <row r="1254" spans="2:5" x14ac:dyDescent="0.35">
      <c r="B1254" s="8"/>
      <c r="C1254" s="8"/>
      <c r="D1254" s="28"/>
      <c r="E1254" s="8"/>
    </row>
    <row r="1255" spans="2:5" x14ac:dyDescent="0.35">
      <c r="B1255" s="8"/>
      <c r="C1255" s="8"/>
      <c r="D1255" s="28"/>
      <c r="E1255" s="8"/>
    </row>
    <row r="1256" spans="2:5" x14ac:dyDescent="0.35">
      <c r="B1256" s="8"/>
      <c r="C1256" s="8"/>
      <c r="D1256" s="28"/>
      <c r="E1256" s="8"/>
    </row>
    <row r="1257" spans="2:5" x14ac:dyDescent="0.35">
      <c r="B1257" s="8"/>
      <c r="C1257" s="8"/>
      <c r="D1257" s="28"/>
      <c r="E1257" s="8"/>
    </row>
    <row r="1258" spans="2:5" x14ac:dyDescent="0.35">
      <c r="B1258" s="8"/>
      <c r="C1258" s="8"/>
      <c r="D1258" s="28"/>
      <c r="E1258" s="8"/>
    </row>
    <row r="1259" spans="2:5" x14ac:dyDescent="0.35">
      <c r="B1259" s="8"/>
      <c r="C1259" s="8"/>
      <c r="D1259" s="28"/>
      <c r="E1259" s="8"/>
    </row>
    <row r="1260" spans="2:5" x14ac:dyDescent="0.35">
      <c r="B1260" s="8"/>
      <c r="C1260" s="8"/>
      <c r="D1260" s="28"/>
      <c r="E1260" s="8"/>
    </row>
    <row r="1261" spans="2:5" x14ac:dyDescent="0.35">
      <c r="B1261" s="8"/>
      <c r="C1261" s="8"/>
      <c r="D1261" s="28"/>
      <c r="E1261" s="8"/>
    </row>
    <row r="1262" spans="2:5" x14ac:dyDescent="0.35">
      <c r="B1262" s="8"/>
      <c r="C1262" s="8"/>
      <c r="D1262" s="28"/>
      <c r="E1262" s="8"/>
    </row>
    <row r="1263" spans="2:5" x14ac:dyDescent="0.35">
      <c r="B1263" s="8"/>
      <c r="C1263" s="8"/>
      <c r="D1263" s="28"/>
      <c r="E1263" s="8"/>
    </row>
    <row r="1264" spans="2:5" x14ac:dyDescent="0.35">
      <c r="B1264" s="8"/>
      <c r="C1264" s="8"/>
      <c r="D1264" s="28"/>
      <c r="E1264" s="8"/>
    </row>
    <row r="1265" spans="2:5" x14ac:dyDescent="0.35">
      <c r="B1265" s="8"/>
      <c r="C1265" s="8"/>
      <c r="D1265" s="28"/>
      <c r="E1265" s="8"/>
    </row>
    <row r="1266" spans="2:5" x14ac:dyDescent="0.35">
      <c r="B1266" s="8"/>
      <c r="C1266" s="8"/>
      <c r="D1266" s="28"/>
      <c r="E1266" s="8"/>
    </row>
    <row r="1267" spans="2:5" x14ac:dyDescent="0.35">
      <c r="B1267" s="8"/>
      <c r="C1267" s="8"/>
      <c r="D1267" s="28"/>
      <c r="E1267" s="8"/>
    </row>
    <row r="1268" spans="2:5" x14ac:dyDescent="0.35">
      <c r="B1268" s="8"/>
      <c r="C1268" s="8"/>
      <c r="D1268" s="28"/>
      <c r="E1268" s="8"/>
    </row>
    <row r="1269" spans="2:5" x14ac:dyDescent="0.35">
      <c r="B1269" s="8"/>
      <c r="C1269" s="8"/>
      <c r="D1269" s="28"/>
      <c r="E1269" s="8"/>
    </row>
    <row r="1270" spans="2:5" x14ac:dyDescent="0.35">
      <c r="B1270" s="8"/>
      <c r="C1270" s="8"/>
      <c r="D1270" s="28"/>
      <c r="E1270" s="8"/>
    </row>
    <row r="1271" spans="2:5" x14ac:dyDescent="0.35">
      <c r="B1271" s="8"/>
      <c r="C1271" s="8"/>
      <c r="D1271" s="28"/>
      <c r="E1271" s="8"/>
    </row>
    <row r="1272" spans="2:5" x14ac:dyDescent="0.35">
      <c r="B1272" s="8"/>
      <c r="C1272" s="8"/>
      <c r="D1272" s="28"/>
      <c r="E1272" s="8"/>
    </row>
    <row r="1273" spans="2:5" x14ac:dyDescent="0.35">
      <c r="B1273" s="8"/>
      <c r="C1273" s="8"/>
      <c r="D1273" s="28"/>
      <c r="E1273" s="8"/>
    </row>
    <row r="1274" spans="2:5" x14ac:dyDescent="0.35">
      <c r="B1274" s="8"/>
      <c r="C1274" s="8"/>
      <c r="D1274" s="28"/>
      <c r="E1274" s="8"/>
    </row>
    <row r="1275" spans="2:5" x14ac:dyDescent="0.35">
      <c r="B1275" s="8"/>
      <c r="C1275" s="8"/>
      <c r="D1275" s="28"/>
      <c r="E1275" s="8"/>
    </row>
    <row r="1276" spans="2:5" x14ac:dyDescent="0.35">
      <c r="B1276" s="8"/>
      <c r="C1276" s="8"/>
      <c r="D1276" s="28"/>
      <c r="E1276" s="8"/>
    </row>
    <row r="1277" spans="2:5" x14ac:dyDescent="0.35">
      <c r="B1277" s="8"/>
      <c r="C1277" s="8"/>
      <c r="D1277" s="28"/>
      <c r="E1277" s="8"/>
    </row>
    <row r="1278" spans="2:5" x14ac:dyDescent="0.35">
      <c r="B1278" s="8"/>
      <c r="C1278" s="8"/>
      <c r="D1278" s="28"/>
      <c r="E1278" s="8"/>
    </row>
    <row r="1279" spans="2:5" x14ac:dyDescent="0.35">
      <c r="B1279" s="8"/>
      <c r="C1279" s="8"/>
      <c r="D1279" s="28"/>
      <c r="E1279" s="8"/>
    </row>
    <row r="1280" spans="2:5" x14ac:dyDescent="0.35">
      <c r="B1280" s="8"/>
      <c r="C1280" s="8"/>
      <c r="D1280" s="28"/>
      <c r="E1280" s="8"/>
    </row>
    <row r="1281" spans="2:5" x14ac:dyDescent="0.35">
      <c r="B1281" s="8"/>
      <c r="C1281" s="8"/>
      <c r="D1281" s="28"/>
      <c r="E1281" s="8"/>
    </row>
    <row r="1282" spans="2:5" x14ac:dyDescent="0.35">
      <c r="B1282" s="8"/>
      <c r="C1282" s="8"/>
      <c r="D1282" s="28"/>
      <c r="E1282" s="8"/>
    </row>
    <row r="1283" spans="2:5" x14ac:dyDescent="0.35">
      <c r="B1283" s="8"/>
      <c r="C1283" s="8"/>
      <c r="D1283" s="28"/>
      <c r="E1283" s="8"/>
    </row>
    <row r="1284" spans="2:5" x14ac:dyDescent="0.35">
      <c r="B1284" s="8"/>
      <c r="C1284" s="8"/>
      <c r="D1284" s="28"/>
      <c r="E1284" s="8"/>
    </row>
    <row r="1285" spans="2:5" x14ac:dyDescent="0.35">
      <c r="B1285" s="8"/>
      <c r="C1285" s="8"/>
      <c r="D1285" s="28"/>
      <c r="E1285" s="8"/>
    </row>
    <row r="1286" spans="2:5" x14ac:dyDescent="0.35">
      <c r="B1286" s="8"/>
      <c r="C1286" s="8"/>
      <c r="D1286" s="28"/>
      <c r="E1286" s="8"/>
    </row>
    <row r="1287" spans="2:5" x14ac:dyDescent="0.35">
      <c r="B1287" s="8"/>
      <c r="C1287" s="8"/>
      <c r="D1287" s="28"/>
      <c r="E1287" s="8"/>
    </row>
    <row r="1288" spans="2:5" x14ac:dyDescent="0.35">
      <c r="B1288" s="8"/>
      <c r="C1288" s="8"/>
      <c r="D1288" s="28"/>
      <c r="E1288" s="8"/>
    </row>
    <row r="1289" spans="2:5" x14ac:dyDescent="0.35">
      <c r="B1289" s="8"/>
      <c r="C1289" s="8"/>
      <c r="D1289" s="28"/>
      <c r="E1289" s="8"/>
    </row>
    <row r="1290" spans="2:5" x14ac:dyDescent="0.35">
      <c r="B1290" s="8"/>
      <c r="C1290" s="8"/>
      <c r="D1290" s="28"/>
      <c r="E1290" s="8"/>
    </row>
    <row r="1291" spans="2:5" x14ac:dyDescent="0.35">
      <c r="B1291" s="8"/>
      <c r="C1291" s="8"/>
      <c r="D1291" s="28"/>
      <c r="E1291" s="8"/>
    </row>
    <row r="1292" spans="2:5" x14ac:dyDescent="0.35">
      <c r="B1292" s="8"/>
      <c r="C1292" s="8"/>
      <c r="D1292" s="28"/>
      <c r="E1292" s="8"/>
    </row>
    <row r="1293" spans="2:5" x14ac:dyDescent="0.35">
      <c r="B1293" s="8"/>
      <c r="C1293" s="8"/>
      <c r="D1293" s="28"/>
      <c r="E1293" s="8"/>
    </row>
    <row r="1294" spans="2:5" x14ac:dyDescent="0.35">
      <c r="B1294" s="8"/>
      <c r="C1294" s="8"/>
      <c r="D1294" s="28"/>
      <c r="E1294" s="8"/>
    </row>
    <row r="1295" spans="2:5" x14ac:dyDescent="0.35">
      <c r="B1295" s="8"/>
      <c r="C1295" s="8"/>
      <c r="D1295" s="28"/>
      <c r="E1295" s="8"/>
    </row>
    <row r="1296" spans="2:5" x14ac:dyDescent="0.35">
      <c r="B1296" s="8"/>
      <c r="C1296" s="8"/>
      <c r="D1296" s="28"/>
      <c r="E1296" s="8"/>
    </row>
    <row r="1297" spans="2:5" x14ac:dyDescent="0.35">
      <c r="B1297" s="8"/>
      <c r="C1297" s="8"/>
      <c r="D1297" s="28"/>
      <c r="E1297" s="8"/>
    </row>
    <row r="1298" spans="2:5" x14ac:dyDescent="0.35">
      <c r="B1298" s="8"/>
      <c r="C1298" s="8"/>
      <c r="D1298" s="28"/>
      <c r="E1298" s="8"/>
    </row>
    <row r="1299" spans="2:5" x14ac:dyDescent="0.35">
      <c r="B1299" s="8"/>
      <c r="C1299" s="8"/>
      <c r="D1299" s="28"/>
      <c r="E1299" s="8"/>
    </row>
    <row r="1300" spans="2:5" x14ac:dyDescent="0.35">
      <c r="B1300" s="8"/>
      <c r="C1300" s="8"/>
      <c r="D1300" s="28"/>
      <c r="E1300" s="8"/>
    </row>
    <row r="1301" spans="2:5" x14ac:dyDescent="0.35">
      <c r="B1301" s="8"/>
      <c r="C1301" s="8"/>
      <c r="D1301" s="28"/>
      <c r="E1301" s="8"/>
    </row>
    <row r="1302" spans="2:5" x14ac:dyDescent="0.35">
      <c r="B1302" s="8"/>
      <c r="C1302" s="8"/>
      <c r="D1302" s="28"/>
      <c r="E1302" s="8"/>
    </row>
    <row r="1303" spans="2:5" x14ac:dyDescent="0.35">
      <c r="B1303" s="8"/>
      <c r="C1303" s="8"/>
      <c r="D1303" s="28"/>
      <c r="E1303" s="8"/>
    </row>
    <row r="1304" spans="2:5" x14ac:dyDescent="0.35">
      <c r="B1304" s="8"/>
      <c r="C1304" s="8"/>
      <c r="D1304" s="28"/>
      <c r="E1304" s="8"/>
    </row>
    <row r="1305" spans="2:5" x14ac:dyDescent="0.35">
      <c r="B1305" s="8"/>
      <c r="C1305" s="8"/>
      <c r="D1305" s="28"/>
      <c r="E1305" s="8"/>
    </row>
    <row r="1306" spans="2:5" x14ac:dyDescent="0.35">
      <c r="B1306" s="8"/>
      <c r="C1306" s="8"/>
      <c r="D1306" s="28"/>
      <c r="E1306" s="8"/>
    </row>
    <row r="1307" spans="2:5" x14ac:dyDescent="0.35">
      <c r="B1307" s="8"/>
      <c r="C1307" s="8"/>
      <c r="D1307" s="28"/>
      <c r="E1307" s="8"/>
    </row>
    <row r="1308" spans="2:5" x14ac:dyDescent="0.35">
      <c r="B1308" s="8"/>
      <c r="C1308" s="8"/>
      <c r="D1308" s="28"/>
      <c r="E1308" s="8"/>
    </row>
    <row r="1309" spans="2:5" x14ac:dyDescent="0.35">
      <c r="B1309" s="8"/>
      <c r="C1309" s="8"/>
      <c r="D1309" s="28"/>
      <c r="E1309" s="8"/>
    </row>
    <row r="1310" spans="2:5" x14ac:dyDescent="0.35">
      <c r="B1310" s="8"/>
      <c r="C1310" s="8"/>
      <c r="D1310" s="28"/>
      <c r="E1310" s="8"/>
    </row>
    <row r="1311" spans="2:5" x14ac:dyDescent="0.35">
      <c r="B1311" s="8"/>
      <c r="C1311" s="8"/>
      <c r="D1311" s="28"/>
      <c r="E1311" s="8"/>
    </row>
    <row r="1312" spans="2:5" x14ac:dyDescent="0.35">
      <c r="B1312" s="8"/>
      <c r="C1312" s="8"/>
      <c r="D1312" s="28"/>
      <c r="E1312" s="8"/>
    </row>
    <row r="1313" spans="2:5" x14ac:dyDescent="0.35">
      <c r="B1313" s="8"/>
      <c r="C1313" s="8"/>
      <c r="D1313" s="28"/>
      <c r="E1313" s="8"/>
    </row>
    <row r="1314" spans="2:5" x14ac:dyDescent="0.35">
      <c r="B1314" s="8"/>
      <c r="C1314" s="8"/>
      <c r="D1314" s="28"/>
      <c r="E1314" s="8"/>
    </row>
    <row r="1315" spans="2:5" x14ac:dyDescent="0.35">
      <c r="B1315" s="8"/>
      <c r="C1315" s="8"/>
      <c r="D1315" s="28"/>
      <c r="E1315" s="8"/>
    </row>
    <row r="1316" spans="2:5" x14ac:dyDescent="0.35">
      <c r="B1316" s="8"/>
      <c r="C1316" s="8"/>
      <c r="D1316" s="28"/>
      <c r="E1316" s="8"/>
    </row>
    <row r="1317" spans="2:5" x14ac:dyDescent="0.35">
      <c r="B1317" s="8"/>
      <c r="C1317" s="8"/>
      <c r="D1317" s="28"/>
      <c r="E1317" s="8"/>
    </row>
    <row r="1318" spans="2:5" x14ac:dyDescent="0.35">
      <c r="B1318" s="8"/>
      <c r="C1318" s="8"/>
      <c r="D1318" s="28"/>
      <c r="E1318" s="8"/>
    </row>
    <row r="1319" spans="2:5" x14ac:dyDescent="0.35">
      <c r="B1319" s="8"/>
      <c r="C1319" s="8"/>
      <c r="D1319" s="28"/>
      <c r="E1319" s="8"/>
    </row>
    <row r="1320" spans="2:5" x14ac:dyDescent="0.35">
      <c r="B1320" s="8"/>
      <c r="C1320" s="8"/>
      <c r="D1320" s="28"/>
      <c r="E1320" s="8"/>
    </row>
    <row r="1321" spans="2:5" x14ac:dyDescent="0.35">
      <c r="B1321" s="8"/>
      <c r="C1321" s="8"/>
      <c r="D1321" s="28"/>
      <c r="E1321" s="8"/>
    </row>
    <row r="1322" spans="2:5" x14ac:dyDescent="0.35">
      <c r="B1322" s="8"/>
      <c r="C1322" s="8"/>
      <c r="D1322" s="28"/>
      <c r="E1322" s="8"/>
    </row>
    <row r="1323" spans="2:5" x14ac:dyDescent="0.35">
      <c r="B1323" s="8"/>
      <c r="C1323" s="8"/>
      <c r="D1323" s="28"/>
      <c r="E1323" s="8"/>
    </row>
    <row r="1324" spans="2:5" x14ac:dyDescent="0.35">
      <c r="B1324" s="8"/>
      <c r="C1324" s="8"/>
      <c r="D1324" s="28"/>
      <c r="E1324" s="8"/>
    </row>
    <row r="1325" spans="2:5" x14ac:dyDescent="0.35">
      <c r="B1325" s="8"/>
      <c r="C1325" s="8"/>
      <c r="D1325" s="28"/>
      <c r="E1325" s="8"/>
    </row>
    <row r="1326" spans="2:5" x14ac:dyDescent="0.35">
      <c r="B1326" s="8"/>
      <c r="C1326" s="8"/>
      <c r="D1326" s="28"/>
      <c r="E1326" s="8"/>
    </row>
    <row r="1327" spans="2:5" x14ac:dyDescent="0.35">
      <c r="B1327" s="8"/>
      <c r="C1327" s="8"/>
      <c r="D1327" s="28"/>
      <c r="E1327" s="8"/>
    </row>
    <row r="1328" spans="2:5" x14ac:dyDescent="0.35">
      <c r="B1328" s="8"/>
      <c r="C1328" s="8"/>
      <c r="D1328" s="28"/>
      <c r="E1328" s="8"/>
    </row>
    <row r="1329" spans="2:5" x14ac:dyDescent="0.35">
      <c r="B1329" s="8"/>
      <c r="C1329" s="8"/>
      <c r="D1329" s="28"/>
      <c r="E1329" s="8"/>
    </row>
    <row r="1330" spans="2:5" x14ac:dyDescent="0.35">
      <c r="B1330" s="8"/>
      <c r="C1330" s="8"/>
      <c r="D1330" s="28"/>
      <c r="E1330" s="8"/>
    </row>
    <row r="1331" spans="2:5" x14ac:dyDescent="0.35">
      <c r="B1331" s="8"/>
      <c r="C1331" s="8"/>
      <c r="D1331" s="28"/>
      <c r="E1331" s="8"/>
    </row>
    <row r="1332" spans="2:5" x14ac:dyDescent="0.35">
      <c r="B1332" s="8"/>
      <c r="C1332" s="8"/>
      <c r="D1332" s="28"/>
      <c r="E1332" s="8"/>
    </row>
    <row r="1333" spans="2:5" x14ac:dyDescent="0.35">
      <c r="B1333" s="8"/>
      <c r="C1333" s="8"/>
      <c r="D1333" s="28"/>
      <c r="E1333" s="8"/>
    </row>
    <row r="1334" spans="2:5" x14ac:dyDescent="0.35">
      <c r="B1334" s="8"/>
      <c r="C1334" s="8"/>
      <c r="D1334" s="28"/>
      <c r="E1334" s="8"/>
    </row>
    <row r="1335" spans="2:5" x14ac:dyDescent="0.35">
      <c r="B1335" s="8"/>
      <c r="C1335" s="8"/>
      <c r="D1335" s="28"/>
      <c r="E1335" s="8"/>
    </row>
    <row r="1336" spans="2:5" x14ac:dyDescent="0.35">
      <c r="B1336" s="8"/>
      <c r="C1336" s="8"/>
      <c r="D1336" s="28"/>
      <c r="E1336" s="8"/>
    </row>
    <row r="1337" spans="2:5" x14ac:dyDescent="0.35">
      <c r="B1337" s="8"/>
      <c r="C1337" s="8"/>
      <c r="D1337" s="28"/>
      <c r="E1337" s="8"/>
    </row>
    <row r="1338" spans="2:5" x14ac:dyDescent="0.35">
      <c r="B1338" s="8"/>
      <c r="C1338" s="8"/>
      <c r="D1338" s="28"/>
      <c r="E1338" s="8"/>
    </row>
    <row r="1339" spans="2:5" x14ac:dyDescent="0.35">
      <c r="B1339" s="8"/>
      <c r="C1339" s="8"/>
      <c r="D1339" s="28"/>
      <c r="E1339" s="8"/>
    </row>
    <row r="1340" spans="2:5" x14ac:dyDescent="0.35">
      <c r="B1340" s="8"/>
      <c r="C1340" s="8"/>
      <c r="D1340" s="28"/>
      <c r="E1340" s="8"/>
    </row>
    <row r="1341" spans="2:5" x14ac:dyDescent="0.35">
      <c r="B1341" s="8"/>
      <c r="C1341" s="8"/>
      <c r="D1341" s="28"/>
      <c r="E1341" s="8"/>
    </row>
    <row r="1342" spans="2:5" x14ac:dyDescent="0.35">
      <c r="B1342" s="8"/>
      <c r="C1342" s="8"/>
      <c r="D1342" s="28"/>
      <c r="E1342" s="8"/>
    </row>
    <row r="1343" spans="2:5" x14ac:dyDescent="0.35">
      <c r="B1343" s="8"/>
      <c r="C1343" s="8"/>
      <c r="D1343" s="28"/>
      <c r="E1343" s="8"/>
    </row>
    <row r="1344" spans="2:5" x14ac:dyDescent="0.35">
      <c r="B1344" s="8"/>
      <c r="C1344" s="8"/>
      <c r="D1344" s="28"/>
      <c r="E1344" s="8"/>
    </row>
    <row r="1345" spans="2:5" x14ac:dyDescent="0.35">
      <c r="B1345" s="8"/>
      <c r="C1345" s="8"/>
      <c r="D1345" s="28"/>
      <c r="E1345" s="8"/>
    </row>
    <row r="1346" spans="2:5" x14ac:dyDescent="0.35">
      <c r="B1346" s="8"/>
      <c r="C1346" s="8"/>
      <c r="D1346" s="28"/>
      <c r="E1346" s="8"/>
    </row>
    <row r="1347" spans="2:5" x14ac:dyDescent="0.35">
      <c r="B1347" s="8"/>
      <c r="C1347" s="8"/>
      <c r="D1347" s="28"/>
      <c r="E1347" s="8"/>
    </row>
    <row r="1348" spans="2:5" x14ac:dyDescent="0.35">
      <c r="B1348" s="8"/>
      <c r="C1348" s="8"/>
      <c r="D1348" s="28"/>
      <c r="E1348" s="8"/>
    </row>
    <row r="1349" spans="2:5" x14ac:dyDescent="0.35">
      <c r="B1349" s="8"/>
      <c r="C1349" s="8"/>
      <c r="D1349" s="28"/>
      <c r="E1349" s="8"/>
    </row>
    <row r="1350" spans="2:5" x14ac:dyDescent="0.35">
      <c r="B1350" s="8"/>
      <c r="C1350" s="8"/>
      <c r="D1350" s="28"/>
      <c r="E1350" s="8"/>
    </row>
    <row r="1351" spans="2:5" x14ac:dyDescent="0.35">
      <c r="B1351" s="8"/>
      <c r="C1351" s="8"/>
      <c r="D1351" s="28"/>
      <c r="E1351" s="8"/>
    </row>
    <row r="1352" spans="2:5" x14ac:dyDescent="0.35">
      <c r="B1352" s="8"/>
      <c r="C1352" s="8"/>
      <c r="D1352" s="28"/>
      <c r="E1352" s="8"/>
    </row>
    <row r="1353" spans="2:5" x14ac:dyDescent="0.35">
      <c r="B1353" s="8"/>
      <c r="C1353" s="8"/>
      <c r="D1353" s="28"/>
      <c r="E1353" s="8"/>
    </row>
    <row r="1354" spans="2:5" x14ac:dyDescent="0.35">
      <c r="B1354" s="8"/>
      <c r="C1354" s="8"/>
      <c r="D1354" s="28"/>
      <c r="E1354" s="8"/>
    </row>
    <row r="1355" spans="2:5" x14ac:dyDescent="0.35">
      <c r="B1355" s="8"/>
      <c r="C1355" s="8"/>
      <c r="D1355" s="28"/>
      <c r="E1355" s="8"/>
    </row>
    <row r="1356" spans="2:5" x14ac:dyDescent="0.35">
      <c r="B1356" s="8"/>
      <c r="C1356" s="8"/>
      <c r="D1356" s="28"/>
      <c r="E1356" s="8"/>
    </row>
    <row r="1357" spans="2:5" x14ac:dyDescent="0.35">
      <c r="B1357" s="8"/>
      <c r="C1357" s="8"/>
      <c r="D1357" s="28"/>
      <c r="E1357" s="8"/>
    </row>
    <row r="1358" spans="2:5" x14ac:dyDescent="0.35">
      <c r="B1358" s="8"/>
      <c r="C1358" s="8"/>
      <c r="D1358" s="28"/>
      <c r="E1358" s="8"/>
    </row>
    <row r="1359" spans="2:5" x14ac:dyDescent="0.35">
      <c r="B1359" s="8"/>
      <c r="C1359" s="8"/>
      <c r="D1359" s="28"/>
      <c r="E1359" s="8"/>
    </row>
    <row r="1360" spans="2:5" x14ac:dyDescent="0.35">
      <c r="B1360" s="8"/>
      <c r="C1360" s="8"/>
      <c r="D1360" s="28"/>
      <c r="E1360" s="8"/>
    </row>
    <row r="1361" spans="2:5" x14ac:dyDescent="0.35">
      <c r="B1361" s="8"/>
      <c r="C1361" s="8"/>
      <c r="D1361" s="28"/>
      <c r="E1361" s="8"/>
    </row>
    <row r="1362" spans="2:5" x14ac:dyDescent="0.35">
      <c r="B1362" s="8"/>
      <c r="C1362" s="8"/>
      <c r="D1362" s="28"/>
      <c r="E1362" s="8"/>
    </row>
    <row r="1363" spans="2:5" x14ac:dyDescent="0.35">
      <c r="B1363" s="8"/>
      <c r="C1363" s="8"/>
      <c r="D1363" s="28"/>
      <c r="E1363" s="8"/>
    </row>
    <row r="1364" spans="2:5" x14ac:dyDescent="0.35">
      <c r="B1364" s="8"/>
      <c r="C1364" s="8"/>
      <c r="D1364" s="28"/>
      <c r="E1364" s="8"/>
    </row>
    <row r="1365" spans="2:5" x14ac:dyDescent="0.35">
      <c r="B1365" s="8"/>
      <c r="C1365" s="8"/>
      <c r="D1365" s="28"/>
      <c r="E1365" s="8"/>
    </row>
    <row r="1366" spans="2:5" x14ac:dyDescent="0.35">
      <c r="B1366" s="8"/>
      <c r="C1366" s="8"/>
      <c r="D1366" s="28"/>
      <c r="E1366" s="8"/>
    </row>
    <row r="1367" spans="2:5" x14ac:dyDescent="0.35">
      <c r="B1367" s="8"/>
      <c r="C1367" s="8"/>
      <c r="D1367" s="28"/>
      <c r="E1367" s="8"/>
    </row>
    <row r="1368" spans="2:5" x14ac:dyDescent="0.35">
      <c r="B1368" s="8"/>
      <c r="C1368" s="8"/>
      <c r="D1368" s="28"/>
      <c r="E1368" s="8"/>
    </row>
    <row r="1369" spans="2:5" x14ac:dyDescent="0.35">
      <c r="B1369" s="8"/>
      <c r="C1369" s="8"/>
      <c r="D1369" s="28"/>
      <c r="E1369" s="8"/>
    </row>
    <row r="1370" spans="2:5" x14ac:dyDescent="0.35">
      <c r="B1370" s="8"/>
      <c r="C1370" s="8"/>
      <c r="D1370" s="28"/>
      <c r="E1370" s="8"/>
    </row>
    <row r="1371" spans="2:5" x14ac:dyDescent="0.35">
      <c r="B1371" s="8"/>
      <c r="C1371" s="8"/>
      <c r="D1371" s="28"/>
      <c r="E1371" s="8"/>
    </row>
    <row r="1372" spans="2:5" x14ac:dyDescent="0.35">
      <c r="B1372" s="8"/>
      <c r="C1372" s="8"/>
      <c r="D1372" s="28"/>
      <c r="E1372" s="8"/>
    </row>
    <row r="1373" spans="2:5" x14ac:dyDescent="0.35">
      <c r="B1373" s="8"/>
      <c r="C1373" s="8"/>
      <c r="D1373" s="28"/>
      <c r="E1373" s="8"/>
    </row>
    <row r="1374" spans="2:5" x14ac:dyDescent="0.35">
      <c r="B1374" s="8"/>
      <c r="C1374" s="8"/>
      <c r="D1374" s="28"/>
      <c r="E1374" s="8"/>
    </row>
    <row r="1375" spans="2:5" x14ac:dyDescent="0.35">
      <c r="B1375" s="8"/>
      <c r="C1375" s="8"/>
      <c r="D1375" s="28"/>
      <c r="E1375" s="8"/>
    </row>
    <row r="1376" spans="2:5" x14ac:dyDescent="0.35">
      <c r="B1376" s="8"/>
      <c r="C1376" s="8"/>
      <c r="D1376" s="28"/>
      <c r="E1376" s="8"/>
    </row>
    <row r="1377" spans="2:5" x14ac:dyDescent="0.35">
      <c r="B1377" s="8"/>
      <c r="C1377" s="8"/>
      <c r="D1377" s="28"/>
      <c r="E1377" s="8"/>
    </row>
    <row r="1378" spans="2:5" x14ac:dyDescent="0.35">
      <c r="B1378" s="8"/>
      <c r="C1378" s="8"/>
      <c r="D1378" s="28"/>
      <c r="E1378" s="8"/>
    </row>
    <row r="1379" spans="2:5" x14ac:dyDescent="0.35">
      <c r="B1379" s="8"/>
      <c r="C1379" s="8"/>
      <c r="D1379" s="28"/>
      <c r="E1379" s="8"/>
    </row>
    <row r="1380" spans="2:5" x14ac:dyDescent="0.35">
      <c r="B1380" s="8"/>
      <c r="C1380" s="8"/>
      <c r="D1380" s="28"/>
      <c r="E1380" s="8"/>
    </row>
    <row r="1381" spans="2:5" x14ac:dyDescent="0.35">
      <c r="B1381" s="8"/>
      <c r="C1381" s="8"/>
      <c r="D1381" s="28"/>
      <c r="E1381" s="8"/>
    </row>
    <row r="1382" spans="2:5" x14ac:dyDescent="0.35">
      <c r="B1382" s="8"/>
      <c r="C1382" s="8"/>
      <c r="D1382" s="28"/>
      <c r="E1382" s="8"/>
    </row>
    <row r="1383" spans="2:5" x14ac:dyDescent="0.35">
      <c r="B1383" s="8"/>
      <c r="C1383" s="8"/>
      <c r="D1383" s="28"/>
      <c r="E1383" s="8"/>
    </row>
    <row r="1384" spans="2:5" x14ac:dyDescent="0.35">
      <c r="B1384" s="8"/>
      <c r="C1384" s="8"/>
      <c r="D1384" s="28"/>
      <c r="E1384" s="8"/>
    </row>
    <row r="1385" spans="2:5" x14ac:dyDescent="0.35">
      <c r="B1385" s="8"/>
      <c r="C1385" s="8"/>
      <c r="D1385" s="28"/>
      <c r="E1385" s="8"/>
    </row>
    <row r="1386" spans="2:5" x14ac:dyDescent="0.35">
      <c r="B1386" s="8"/>
      <c r="C1386" s="8"/>
      <c r="D1386" s="28"/>
      <c r="E1386" s="8"/>
    </row>
    <row r="1387" spans="2:5" x14ac:dyDescent="0.35">
      <c r="B1387" s="8"/>
      <c r="C1387" s="8"/>
      <c r="D1387" s="28"/>
      <c r="E1387" s="8"/>
    </row>
    <row r="1388" spans="2:5" x14ac:dyDescent="0.35">
      <c r="B1388" s="8"/>
      <c r="C1388" s="8"/>
      <c r="D1388" s="28"/>
      <c r="E1388" s="8"/>
    </row>
    <row r="1389" spans="2:5" x14ac:dyDescent="0.35">
      <c r="B1389" s="8"/>
      <c r="C1389" s="8"/>
      <c r="D1389" s="28"/>
      <c r="E1389" s="8"/>
    </row>
    <row r="1390" spans="2:5" x14ac:dyDescent="0.35">
      <c r="B1390" s="8"/>
      <c r="C1390" s="8"/>
      <c r="D1390" s="28"/>
      <c r="E1390" s="8"/>
    </row>
    <row r="1391" spans="2:5" x14ac:dyDescent="0.35">
      <c r="B1391" s="8"/>
      <c r="C1391" s="8"/>
      <c r="D1391" s="28"/>
      <c r="E1391" s="8"/>
    </row>
    <row r="1392" spans="2:5" x14ac:dyDescent="0.35">
      <c r="B1392" s="8"/>
      <c r="C1392" s="8"/>
      <c r="D1392" s="28"/>
      <c r="E1392" s="8"/>
    </row>
    <row r="1393" spans="2:5" x14ac:dyDescent="0.35">
      <c r="B1393" s="8"/>
      <c r="C1393" s="8"/>
      <c r="D1393" s="28"/>
      <c r="E1393" s="8"/>
    </row>
    <row r="1394" spans="2:5" x14ac:dyDescent="0.35">
      <c r="B1394" s="8"/>
      <c r="C1394" s="8"/>
      <c r="D1394" s="28"/>
      <c r="E1394" s="8"/>
    </row>
    <row r="1395" spans="2:5" x14ac:dyDescent="0.35">
      <c r="B1395" s="8"/>
      <c r="C1395" s="8"/>
      <c r="D1395" s="28"/>
      <c r="E1395" s="8"/>
    </row>
    <row r="1396" spans="2:5" x14ac:dyDescent="0.35">
      <c r="B1396" s="8"/>
      <c r="C1396" s="8"/>
      <c r="D1396" s="28"/>
      <c r="E1396" s="8"/>
    </row>
    <row r="1397" spans="2:5" x14ac:dyDescent="0.35">
      <c r="B1397" s="8"/>
      <c r="C1397" s="8"/>
      <c r="D1397" s="28"/>
      <c r="E1397" s="8"/>
    </row>
    <row r="1398" spans="2:5" x14ac:dyDescent="0.35">
      <c r="B1398" s="8"/>
      <c r="C1398" s="8"/>
      <c r="D1398" s="28"/>
      <c r="E1398" s="8"/>
    </row>
    <row r="1399" spans="2:5" x14ac:dyDescent="0.35">
      <c r="B1399" s="8"/>
      <c r="C1399" s="8"/>
      <c r="D1399" s="28"/>
      <c r="E1399" s="8"/>
    </row>
    <row r="1400" spans="2:5" x14ac:dyDescent="0.35">
      <c r="B1400" s="8"/>
      <c r="C1400" s="8"/>
      <c r="D1400" s="28"/>
      <c r="E1400" s="8"/>
    </row>
    <row r="1401" spans="2:5" x14ac:dyDescent="0.35">
      <c r="B1401" s="8"/>
      <c r="C1401" s="8"/>
      <c r="D1401" s="28"/>
      <c r="E1401" s="8"/>
    </row>
    <row r="1402" spans="2:5" x14ac:dyDescent="0.35">
      <c r="B1402" s="8"/>
      <c r="C1402" s="8"/>
      <c r="D1402" s="28"/>
      <c r="E1402" s="8"/>
    </row>
    <row r="1403" spans="2:5" x14ac:dyDescent="0.35">
      <c r="B1403" s="8"/>
      <c r="C1403" s="8"/>
      <c r="D1403" s="28"/>
      <c r="E1403" s="8"/>
    </row>
    <row r="1404" spans="2:5" x14ac:dyDescent="0.35">
      <c r="B1404" s="8"/>
      <c r="C1404" s="8"/>
      <c r="D1404" s="28"/>
      <c r="E1404" s="8"/>
    </row>
    <row r="1405" spans="2:5" x14ac:dyDescent="0.35">
      <c r="B1405" s="8"/>
      <c r="C1405" s="8"/>
      <c r="D1405" s="28"/>
      <c r="E1405" s="8"/>
    </row>
    <row r="1406" spans="2:5" x14ac:dyDescent="0.35">
      <c r="B1406" s="8"/>
      <c r="C1406" s="8"/>
      <c r="D1406" s="28"/>
      <c r="E1406" s="8"/>
    </row>
    <row r="1407" spans="2:5" x14ac:dyDescent="0.35">
      <c r="B1407" s="8"/>
      <c r="C1407" s="8"/>
      <c r="D1407" s="28"/>
      <c r="E1407" s="8"/>
    </row>
    <row r="1408" spans="2:5" x14ac:dyDescent="0.35">
      <c r="B1408" s="8"/>
      <c r="C1408" s="8"/>
      <c r="D1408" s="28"/>
      <c r="E1408" s="8"/>
    </row>
    <row r="1409" spans="2:5" x14ac:dyDescent="0.35">
      <c r="B1409" s="8"/>
      <c r="C1409" s="8"/>
      <c r="D1409" s="28"/>
      <c r="E1409" s="8"/>
    </row>
    <row r="1410" spans="2:5" x14ac:dyDescent="0.35">
      <c r="B1410" s="8"/>
      <c r="C1410" s="8"/>
      <c r="D1410" s="28"/>
      <c r="E1410" s="8"/>
    </row>
    <row r="1411" spans="2:5" x14ac:dyDescent="0.35">
      <c r="B1411" s="8"/>
      <c r="C1411" s="8"/>
      <c r="D1411" s="28"/>
      <c r="E1411" s="8"/>
    </row>
    <row r="1412" spans="2:5" x14ac:dyDescent="0.35">
      <c r="B1412" s="8"/>
      <c r="C1412" s="8"/>
      <c r="D1412" s="28"/>
      <c r="E1412" s="8"/>
    </row>
    <row r="1413" spans="2:5" x14ac:dyDescent="0.35">
      <c r="B1413" s="8"/>
      <c r="C1413" s="8"/>
      <c r="D1413" s="28"/>
      <c r="E1413" s="8"/>
    </row>
    <row r="1414" spans="2:5" x14ac:dyDescent="0.35">
      <c r="B1414" s="8"/>
      <c r="C1414" s="8"/>
      <c r="D1414" s="28"/>
      <c r="E1414" s="8"/>
    </row>
    <row r="1415" spans="2:5" x14ac:dyDescent="0.35">
      <c r="B1415" s="8"/>
      <c r="C1415" s="8"/>
      <c r="D1415" s="28"/>
      <c r="E1415" s="8"/>
    </row>
    <row r="1416" spans="2:5" x14ac:dyDescent="0.35">
      <c r="B1416" s="8"/>
      <c r="C1416" s="8"/>
      <c r="D1416" s="28"/>
      <c r="E1416" s="8"/>
    </row>
    <row r="1417" spans="2:5" x14ac:dyDescent="0.35">
      <c r="B1417" s="8"/>
      <c r="C1417" s="8"/>
      <c r="D1417" s="28"/>
      <c r="E1417" s="8"/>
    </row>
    <row r="1418" spans="2:5" x14ac:dyDescent="0.35">
      <c r="B1418" s="8"/>
      <c r="C1418" s="8"/>
      <c r="D1418" s="28"/>
      <c r="E1418" s="8"/>
    </row>
    <row r="1419" spans="2:5" x14ac:dyDescent="0.35">
      <c r="B1419" s="8"/>
      <c r="C1419" s="8"/>
      <c r="D1419" s="28"/>
      <c r="E1419" s="8"/>
    </row>
    <row r="1420" spans="2:5" x14ac:dyDescent="0.35">
      <c r="B1420" s="8"/>
      <c r="C1420" s="8"/>
      <c r="D1420" s="28"/>
      <c r="E1420" s="8"/>
    </row>
    <row r="1421" spans="2:5" x14ac:dyDescent="0.35">
      <c r="B1421" s="8"/>
      <c r="C1421" s="8"/>
      <c r="D1421" s="28"/>
      <c r="E1421" s="8"/>
    </row>
    <row r="1422" spans="2:5" x14ac:dyDescent="0.35">
      <c r="B1422" s="8"/>
      <c r="C1422" s="8"/>
      <c r="D1422" s="28"/>
      <c r="E1422" s="8"/>
    </row>
    <row r="1423" spans="2:5" x14ac:dyDescent="0.35">
      <c r="B1423" s="8"/>
      <c r="C1423" s="8"/>
      <c r="D1423" s="28"/>
      <c r="E1423" s="8"/>
    </row>
    <row r="1424" spans="2:5" x14ac:dyDescent="0.35">
      <c r="B1424" s="8"/>
      <c r="C1424" s="8"/>
      <c r="D1424" s="28"/>
      <c r="E1424" s="8"/>
    </row>
    <row r="1425" spans="2:5" x14ac:dyDescent="0.35">
      <c r="B1425" s="8"/>
      <c r="C1425" s="8"/>
      <c r="D1425" s="28"/>
      <c r="E1425" s="8"/>
    </row>
    <row r="1426" spans="2:5" x14ac:dyDescent="0.35">
      <c r="B1426" s="8"/>
      <c r="C1426" s="8"/>
      <c r="D1426" s="28"/>
      <c r="E1426" s="8"/>
    </row>
    <row r="1427" spans="2:5" x14ac:dyDescent="0.35">
      <c r="B1427" s="8"/>
      <c r="C1427" s="8"/>
      <c r="D1427" s="28"/>
      <c r="E1427" s="8"/>
    </row>
    <row r="1428" spans="2:5" x14ac:dyDescent="0.35">
      <c r="B1428" s="8"/>
      <c r="C1428" s="8"/>
      <c r="D1428" s="28"/>
      <c r="E1428" s="8"/>
    </row>
    <row r="1429" spans="2:5" x14ac:dyDescent="0.35">
      <c r="B1429" s="8"/>
      <c r="C1429" s="8"/>
      <c r="D1429" s="28"/>
      <c r="E1429" s="8"/>
    </row>
    <row r="1430" spans="2:5" x14ac:dyDescent="0.35">
      <c r="B1430" s="8"/>
      <c r="C1430" s="8"/>
      <c r="D1430" s="28"/>
      <c r="E1430" s="8"/>
    </row>
    <row r="1431" spans="2:5" x14ac:dyDescent="0.35">
      <c r="B1431" s="8"/>
      <c r="C1431" s="8"/>
      <c r="D1431" s="28"/>
      <c r="E1431" s="8"/>
    </row>
    <row r="1432" spans="2:5" x14ac:dyDescent="0.35">
      <c r="B1432" s="8"/>
      <c r="C1432" s="8"/>
      <c r="D1432" s="28"/>
      <c r="E1432" s="8"/>
    </row>
    <row r="1433" spans="2:5" x14ac:dyDescent="0.35">
      <c r="B1433" s="8"/>
      <c r="C1433" s="8"/>
      <c r="D1433" s="28"/>
      <c r="E1433" s="8"/>
    </row>
    <row r="1434" spans="2:5" x14ac:dyDescent="0.35">
      <c r="B1434" s="8"/>
      <c r="C1434" s="8"/>
      <c r="D1434" s="28"/>
      <c r="E1434" s="8"/>
    </row>
    <row r="1435" spans="2:5" x14ac:dyDescent="0.35">
      <c r="B1435" s="8"/>
      <c r="C1435" s="8"/>
      <c r="D1435" s="28"/>
      <c r="E1435" s="8"/>
    </row>
    <row r="1436" spans="2:5" x14ac:dyDescent="0.35">
      <c r="B1436" s="8"/>
      <c r="C1436" s="8"/>
      <c r="D1436" s="28"/>
      <c r="E1436" s="8"/>
    </row>
    <row r="1437" spans="2:5" x14ac:dyDescent="0.35">
      <c r="B1437" s="8"/>
      <c r="C1437" s="8"/>
      <c r="D1437" s="28"/>
      <c r="E1437" s="8"/>
    </row>
    <row r="1438" spans="2:5" x14ac:dyDescent="0.35">
      <c r="B1438" s="8"/>
      <c r="C1438" s="8"/>
      <c r="D1438" s="28"/>
      <c r="E1438" s="8"/>
    </row>
    <row r="1439" spans="2:5" x14ac:dyDescent="0.35">
      <c r="B1439" s="8"/>
      <c r="C1439" s="8"/>
      <c r="D1439" s="28"/>
      <c r="E1439" s="8"/>
    </row>
    <row r="1440" spans="2:5" x14ac:dyDescent="0.35">
      <c r="B1440" s="8"/>
      <c r="C1440" s="8"/>
      <c r="D1440" s="28"/>
      <c r="E1440" s="8"/>
    </row>
    <row r="1441" spans="2:5" x14ac:dyDescent="0.35">
      <c r="B1441" s="8"/>
      <c r="C1441" s="8"/>
      <c r="D1441" s="28"/>
      <c r="E1441" s="8"/>
    </row>
    <row r="1442" spans="2:5" x14ac:dyDescent="0.35">
      <c r="B1442" s="8"/>
      <c r="C1442" s="8"/>
      <c r="D1442" s="28"/>
      <c r="E1442" s="8"/>
    </row>
    <row r="1443" spans="2:5" x14ac:dyDescent="0.35">
      <c r="B1443" s="8"/>
      <c r="C1443" s="8"/>
      <c r="D1443" s="28"/>
      <c r="E1443" s="8"/>
    </row>
    <row r="1444" spans="2:5" x14ac:dyDescent="0.35">
      <c r="B1444" s="8"/>
      <c r="C1444" s="8"/>
      <c r="D1444" s="28"/>
      <c r="E1444" s="8"/>
    </row>
    <row r="1445" spans="2:5" x14ac:dyDescent="0.35">
      <c r="B1445" s="8"/>
      <c r="C1445" s="8"/>
      <c r="D1445" s="28"/>
      <c r="E1445" s="8"/>
    </row>
    <row r="1446" spans="2:5" x14ac:dyDescent="0.35">
      <c r="B1446" s="8"/>
      <c r="C1446" s="8"/>
      <c r="D1446" s="28"/>
      <c r="E1446" s="8"/>
    </row>
    <row r="1447" spans="2:5" x14ac:dyDescent="0.35">
      <c r="B1447" s="8"/>
      <c r="C1447" s="8"/>
      <c r="D1447" s="28"/>
      <c r="E1447" s="8"/>
    </row>
    <row r="1448" spans="2:5" x14ac:dyDescent="0.35">
      <c r="B1448" s="8"/>
      <c r="C1448" s="8"/>
      <c r="D1448" s="28"/>
      <c r="E1448" s="8"/>
    </row>
    <row r="1449" spans="2:5" x14ac:dyDescent="0.35">
      <c r="B1449" s="8"/>
      <c r="C1449" s="8"/>
      <c r="D1449" s="28"/>
      <c r="E1449" s="8"/>
    </row>
    <row r="1450" spans="2:5" x14ac:dyDescent="0.35">
      <c r="B1450" s="8"/>
      <c r="C1450" s="8"/>
      <c r="D1450" s="28"/>
      <c r="E1450" s="8"/>
    </row>
    <row r="1451" spans="2:5" x14ac:dyDescent="0.35">
      <c r="B1451" s="8"/>
      <c r="C1451" s="8"/>
      <c r="D1451" s="28"/>
      <c r="E1451" s="8"/>
    </row>
    <row r="1452" spans="2:5" x14ac:dyDescent="0.35">
      <c r="B1452" s="8"/>
      <c r="C1452" s="8"/>
      <c r="D1452" s="28"/>
      <c r="E1452" s="8"/>
    </row>
    <row r="1453" spans="2:5" x14ac:dyDescent="0.35">
      <c r="B1453" s="8"/>
      <c r="C1453" s="8"/>
      <c r="D1453" s="28"/>
      <c r="E1453" s="8"/>
    </row>
    <row r="1454" spans="2:5" x14ac:dyDescent="0.35">
      <c r="B1454" s="8"/>
      <c r="C1454" s="8"/>
      <c r="D1454" s="28"/>
      <c r="E1454" s="8"/>
    </row>
    <row r="1455" spans="2:5" x14ac:dyDescent="0.35">
      <c r="B1455" s="8"/>
      <c r="C1455" s="8"/>
      <c r="D1455" s="28"/>
      <c r="E1455" s="8"/>
    </row>
    <row r="1456" spans="2:5" x14ac:dyDescent="0.35">
      <c r="B1456" s="8"/>
      <c r="C1456" s="8"/>
      <c r="D1456" s="28"/>
      <c r="E1456" s="8"/>
    </row>
    <row r="1457" spans="2:5" x14ac:dyDescent="0.35">
      <c r="B1457" s="8"/>
      <c r="C1457" s="8"/>
      <c r="D1457" s="28"/>
      <c r="E1457" s="8"/>
    </row>
    <row r="1458" spans="2:5" x14ac:dyDescent="0.35">
      <c r="B1458" s="8"/>
      <c r="C1458" s="8"/>
      <c r="D1458" s="28"/>
      <c r="E1458" s="8"/>
    </row>
    <row r="1459" spans="2:5" x14ac:dyDescent="0.35">
      <c r="B1459" s="8"/>
      <c r="C1459" s="8"/>
      <c r="D1459" s="28"/>
      <c r="E1459" s="8"/>
    </row>
    <row r="1460" spans="2:5" x14ac:dyDescent="0.35">
      <c r="B1460" s="8"/>
      <c r="C1460" s="8"/>
      <c r="D1460" s="28"/>
      <c r="E1460" s="8"/>
    </row>
    <row r="1461" spans="2:5" x14ac:dyDescent="0.35">
      <c r="B1461" s="8"/>
      <c r="C1461" s="8"/>
      <c r="D1461" s="28"/>
      <c r="E1461" s="8"/>
    </row>
    <row r="1462" spans="2:5" x14ac:dyDescent="0.35">
      <c r="B1462" s="8"/>
      <c r="C1462" s="8"/>
      <c r="D1462" s="28"/>
      <c r="E1462" s="8"/>
    </row>
    <row r="1463" spans="2:5" x14ac:dyDescent="0.35">
      <c r="B1463" s="8"/>
      <c r="C1463" s="8"/>
      <c r="D1463" s="28"/>
      <c r="E1463" s="8"/>
    </row>
    <row r="1464" spans="2:5" x14ac:dyDescent="0.35">
      <c r="B1464" s="8"/>
      <c r="C1464" s="8"/>
      <c r="D1464" s="28"/>
      <c r="E1464" s="8"/>
    </row>
  </sheetData>
  <mergeCells count="2">
    <mergeCell ref="H6:I6"/>
    <mergeCell ref="B4:E4"/>
  </mergeCells>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dimension ref="B2:S50"/>
  <sheetViews>
    <sheetView showGridLines="0" workbookViewId="0">
      <selection activeCell="S36" sqref="S36"/>
    </sheetView>
  </sheetViews>
  <sheetFormatPr baseColWidth="10" defaultRowHeight="14.5" x14ac:dyDescent="0.35"/>
  <cols>
    <col min="1" max="1" width="3.7265625" customWidth="1"/>
    <col min="2" max="2" width="20.7265625" customWidth="1"/>
    <col min="3" max="3" width="25.7265625" customWidth="1"/>
    <col min="4" max="4" width="14.7265625" customWidth="1"/>
    <col min="5" max="5" width="20.26953125" customWidth="1"/>
    <col min="6" max="6" width="21.453125" bestFit="1" customWidth="1"/>
    <col min="7" max="7" width="25.7265625" customWidth="1"/>
    <col min="8" max="8" width="15.26953125" customWidth="1"/>
  </cols>
  <sheetData>
    <row r="2" spans="2:8" ht="52" customHeight="1" x14ac:dyDescent="0.35">
      <c r="B2" s="41"/>
      <c r="C2" s="41"/>
      <c r="D2" s="41"/>
      <c r="E2" s="41"/>
      <c r="F2" s="41"/>
      <c r="G2" s="41"/>
      <c r="H2" s="41"/>
    </row>
    <row r="4" spans="2:8" ht="28.5" x14ac:dyDescent="0.35">
      <c r="B4" s="26" t="s">
        <v>26</v>
      </c>
      <c r="C4" s="26"/>
      <c r="D4" s="26"/>
      <c r="E4" s="26"/>
      <c r="F4" s="26"/>
      <c r="G4" s="26"/>
      <c r="H4" s="26"/>
    </row>
    <row r="5" spans="2:8" ht="26" customHeight="1" x14ac:dyDescent="0.35">
      <c r="B5" s="27" t="s">
        <v>42</v>
      </c>
      <c r="C5" s="1"/>
      <c r="D5" s="1"/>
      <c r="E5" s="1"/>
      <c r="F5" s="1"/>
      <c r="G5" s="1"/>
    </row>
    <row r="6" spans="2:8" ht="18.5" x14ac:dyDescent="0.35">
      <c r="B6" s="15" t="s">
        <v>12</v>
      </c>
      <c r="C6" s="15" t="s">
        <v>3</v>
      </c>
      <c r="D6" s="15" t="s">
        <v>4</v>
      </c>
      <c r="E6" s="15" t="s">
        <v>5</v>
      </c>
      <c r="F6" s="15" t="s">
        <v>6</v>
      </c>
      <c r="G6" s="15" t="s">
        <v>13</v>
      </c>
      <c r="H6" s="15" t="s">
        <v>39</v>
      </c>
    </row>
    <row r="7" spans="2:8" x14ac:dyDescent="0.35">
      <c r="B7" s="16" t="s">
        <v>104</v>
      </c>
      <c r="C7" s="16" t="s">
        <v>27</v>
      </c>
      <c r="D7" s="16" t="s">
        <v>27</v>
      </c>
      <c r="E7" s="16">
        <v>4811111</v>
      </c>
      <c r="F7" s="17" t="s">
        <v>28</v>
      </c>
      <c r="G7" s="18" t="s">
        <v>29</v>
      </c>
      <c r="H7" s="19" t="s">
        <v>40</v>
      </c>
    </row>
    <row r="8" spans="2:8" x14ac:dyDescent="0.35">
      <c r="B8" s="20" t="s">
        <v>38</v>
      </c>
      <c r="C8" s="20" t="s">
        <v>33</v>
      </c>
      <c r="D8" s="20" t="s">
        <v>34</v>
      </c>
      <c r="E8" s="20" t="s">
        <v>35</v>
      </c>
      <c r="F8" s="21" t="s">
        <v>36</v>
      </c>
      <c r="G8" s="20" t="s">
        <v>37</v>
      </c>
      <c r="H8" s="22" t="s">
        <v>41</v>
      </c>
    </row>
    <row r="9" spans="2:8" x14ac:dyDescent="0.35">
      <c r="B9" s="16"/>
      <c r="C9" s="16"/>
      <c r="D9" s="16"/>
      <c r="E9" s="16"/>
      <c r="F9" s="16"/>
      <c r="G9" s="23"/>
      <c r="H9" s="19"/>
    </row>
    <row r="10" spans="2:8" x14ac:dyDescent="0.35">
      <c r="B10" s="20"/>
      <c r="C10" s="20"/>
      <c r="D10" s="20"/>
      <c r="E10" s="20"/>
      <c r="F10" s="20"/>
      <c r="G10" s="20"/>
      <c r="H10" s="22"/>
    </row>
    <row r="11" spans="2:8" x14ac:dyDescent="0.35">
      <c r="B11" s="16"/>
      <c r="C11" s="16"/>
      <c r="D11" s="16"/>
      <c r="E11" s="16"/>
      <c r="F11" s="16"/>
      <c r="G11" s="23"/>
      <c r="H11" s="19"/>
    </row>
    <row r="12" spans="2:8" x14ac:dyDescent="0.35">
      <c r="B12" s="20"/>
      <c r="C12" s="20"/>
      <c r="D12" s="20"/>
      <c r="E12" s="20"/>
      <c r="F12" s="20"/>
      <c r="G12" s="20"/>
      <c r="H12" s="22"/>
    </row>
    <row r="13" spans="2:8" x14ac:dyDescent="0.35">
      <c r="B13" s="16"/>
      <c r="C13" s="16"/>
      <c r="D13" s="16"/>
      <c r="E13" s="16"/>
      <c r="F13" s="16"/>
      <c r="G13" s="23"/>
      <c r="H13" s="19"/>
    </row>
    <row r="14" spans="2:8" x14ac:dyDescent="0.35">
      <c r="B14" s="20"/>
      <c r="C14" s="20"/>
      <c r="D14" s="20"/>
      <c r="E14" s="20"/>
      <c r="F14" s="20"/>
      <c r="G14" s="20"/>
      <c r="H14" s="22"/>
    </row>
    <row r="15" spans="2:8" x14ac:dyDescent="0.35">
      <c r="B15" s="16"/>
      <c r="C15" s="16"/>
      <c r="D15" s="16"/>
      <c r="E15" s="16"/>
      <c r="F15" s="16"/>
      <c r="G15" s="23"/>
      <c r="H15" s="19"/>
    </row>
    <row r="16" spans="2:8" x14ac:dyDescent="0.35">
      <c r="B16" s="20"/>
      <c r="C16" s="20"/>
      <c r="D16" s="20"/>
      <c r="E16" s="20"/>
      <c r="F16" s="20"/>
      <c r="G16" s="20"/>
      <c r="H16" s="22"/>
    </row>
    <row r="17" spans="2:8" x14ac:dyDescent="0.35">
      <c r="B17" s="16"/>
      <c r="C17" s="16"/>
      <c r="D17" s="16"/>
      <c r="E17" s="16"/>
      <c r="F17" s="16"/>
      <c r="G17" s="23"/>
      <c r="H17" s="19"/>
    </row>
    <row r="18" spans="2:8" x14ac:dyDescent="0.35">
      <c r="B18" s="20"/>
      <c r="C18" s="20"/>
      <c r="D18" s="20"/>
      <c r="E18" s="20"/>
      <c r="F18" s="20"/>
      <c r="G18" s="20"/>
      <c r="H18" s="22"/>
    </row>
    <row r="19" spans="2:8" x14ac:dyDescent="0.35">
      <c r="B19" s="16"/>
      <c r="C19" s="16"/>
      <c r="D19" s="16"/>
      <c r="E19" s="16"/>
      <c r="F19" s="16"/>
      <c r="G19" s="23"/>
      <c r="H19" s="19"/>
    </row>
    <row r="20" spans="2:8" x14ac:dyDescent="0.35">
      <c r="B20" s="20"/>
      <c r="C20" s="20"/>
      <c r="D20" s="20"/>
      <c r="E20" s="20"/>
      <c r="F20" s="20"/>
      <c r="G20" s="20"/>
      <c r="H20" s="22"/>
    </row>
    <row r="21" spans="2:8" x14ac:dyDescent="0.35">
      <c r="B21" s="16"/>
      <c r="C21" s="16"/>
      <c r="D21" s="16"/>
      <c r="E21" s="16"/>
      <c r="F21" s="16"/>
      <c r="G21" s="23"/>
      <c r="H21" s="19"/>
    </row>
    <row r="22" spans="2:8" x14ac:dyDescent="0.35">
      <c r="B22" s="20"/>
      <c r="C22" s="20"/>
      <c r="D22" s="20"/>
      <c r="E22" s="20"/>
      <c r="F22" s="20"/>
      <c r="G22" s="20"/>
      <c r="H22" s="22"/>
    </row>
    <row r="23" spans="2:8" x14ac:dyDescent="0.35">
      <c r="B23" s="16"/>
      <c r="C23" s="16"/>
      <c r="D23" s="16"/>
      <c r="E23" s="16"/>
      <c r="F23" s="16"/>
      <c r="G23" s="23"/>
      <c r="H23" s="19"/>
    </row>
    <row r="24" spans="2:8" x14ac:dyDescent="0.35">
      <c r="B24" s="20"/>
      <c r="C24" s="20"/>
      <c r="D24" s="20"/>
      <c r="E24" s="20"/>
      <c r="F24" s="20"/>
      <c r="G24" s="20"/>
      <c r="H24" s="22"/>
    </row>
    <row r="25" spans="2:8" x14ac:dyDescent="0.35">
      <c r="B25" s="16"/>
      <c r="C25" s="16"/>
      <c r="D25" s="16"/>
      <c r="E25" s="16"/>
      <c r="F25" s="16"/>
      <c r="G25" s="23"/>
      <c r="H25" s="19"/>
    </row>
    <row r="26" spans="2:8" x14ac:dyDescent="0.35">
      <c r="B26" s="20"/>
      <c r="C26" s="20"/>
      <c r="D26" s="20"/>
      <c r="E26" s="20"/>
      <c r="F26" s="20"/>
      <c r="G26" s="20"/>
      <c r="H26" s="22"/>
    </row>
    <row r="27" spans="2:8" x14ac:dyDescent="0.35">
      <c r="B27" s="16"/>
      <c r="C27" s="16"/>
      <c r="D27" s="16"/>
      <c r="E27" s="16"/>
      <c r="F27" s="16"/>
      <c r="G27" s="23"/>
      <c r="H27" s="19"/>
    </row>
    <row r="28" spans="2:8" x14ac:dyDescent="0.35">
      <c r="B28" s="20"/>
      <c r="C28" s="20"/>
      <c r="D28" s="20"/>
      <c r="E28" s="20"/>
      <c r="F28" s="20"/>
      <c r="G28" s="20"/>
      <c r="H28" s="22"/>
    </row>
    <row r="29" spans="2:8" x14ac:dyDescent="0.35">
      <c r="B29" s="16"/>
      <c r="C29" s="16"/>
      <c r="D29" s="16"/>
      <c r="E29" s="16"/>
      <c r="F29" s="16"/>
      <c r="G29" s="23"/>
      <c r="H29" s="19"/>
    </row>
    <row r="30" spans="2:8" x14ac:dyDescent="0.35">
      <c r="B30" s="20"/>
      <c r="C30" s="20"/>
      <c r="D30" s="20"/>
      <c r="E30" s="20"/>
      <c r="F30" s="20"/>
      <c r="G30" s="20"/>
      <c r="H30" s="22"/>
    </row>
    <row r="31" spans="2:8" x14ac:dyDescent="0.35">
      <c r="B31" s="16"/>
      <c r="C31" s="16"/>
      <c r="D31" s="16"/>
      <c r="E31" s="16"/>
      <c r="F31" s="16"/>
      <c r="G31" s="23"/>
      <c r="H31" s="19"/>
    </row>
    <row r="32" spans="2:8" x14ac:dyDescent="0.35">
      <c r="B32" s="20"/>
      <c r="C32" s="20"/>
      <c r="D32" s="20"/>
      <c r="E32" s="20"/>
      <c r="F32" s="20"/>
      <c r="G32" s="20"/>
      <c r="H32" s="22"/>
    </row>
    <row r="33" spans="2:19" x14ac:dyDescent="0.35">
      <c r="B33" s="16"/>
      <c r="C33" s="16"/>
      <c r="D33" s="16"/>
      <c r="E33" s="16"/>
      <c r="F33" s="16"/>
      <c r="G33" s="23"/>
      <c r="H33" s="19"/>
    </row>
    <row r="34" spans="2:19" x14ac:dyDescent="0.35">
      <c r="B34" s="20"/>
      <c r="C34" s="20"/>
      <c r="D34" s="20"/>
      <c r="E34" s="20"/>
      <c r="F34" s="20"/>
      <c r="G34" s="20"/>
      <c r="H34" s="22"/>
    </row>
    <row r="35" spans="2:19" x14ac:dyDescent="0.35">
      <c r="B35" s="16"/>
      <c r="C35" s="16"/>
      <c r="D35" s="16"/>
      <c r="E35" s="16"/>
      <c r="F35" s="16"/>
      <c r="G35" s="23"/>
      <c r="H35" s="19"/>
    </row>
    <row r="36" spans="2:19" x14ac:dyDescent="0.35">
      <c r="B36" s="20"/>
      <c r="C36" s="20"/>
      <c r="D36" s="20"/>
      <c r="E36" s="20"/>
      <c r="F36" s="20"/>
      <c r="G36" s="20"/>
      <c r="H36" s="22"/>
      <c r="S36">
        <f>1709/1.5</f>
        <v>1139.3333333333333</v>
      </c>
    </row>
    <row r="37" spans="2:19" x14ac:dyDescent="0.35">
      <c r="B37" s="16"/>
      <c r="C37" s="16"/>
      <c r="D37" s="16"/>
      <c r="E37" s="16"/>
      <c r="F37" s="16"/>
      <c r="G37" s="23"/>
      <c r="H37" s="19"/>
    </row>
    <row r="38" spans="2:19" x14ac:dyDescent="0.35">
      <c r="B38" s="20"/>
      <c r="C38" s="20"/>
      <c r="D38" s="20"/>
      <c r="E38" s="20"/>
      <c r="F38" s="20"/>
      <c r="G38" s="20"/>
      <c r="H38" s="22"/>
    </row>
    <row r="39" spans="2:19" x14ac:dyDescent="0.35">
      <c r="B39" s="16"/>
      <c r="C39" s="16"/>
      <c r="D39" s="16"/>
      <c r="E39" s="16"/>
      <c r="F39" s="16"/>
      <c r="G39" s="23"/>
      <c r="H39" s="19"/>
    </row>
    <row r="40" spans="2:19" x14ac:dyDescent="0.35">
      <c r="B40" s="20"/>
      <c r="C40" s="20"/>
      <c r="D40" s="20"/>
      <c r="E40" s="20"/>
      <c r="F40" s="20"/>
      <c r="G40" s="20"/>
      <c r="H40" s="22"/>
    </row>
    <row r="41" spans="2:19" x14ac:dyDescent="0.35">
      <c r="B41" s="16"/>
      <c r="C41" s="16"/>
      <c r="D41" s="16"/>
      <c r="E41" s="16"/>
      <c r="F41" s="16"/>
      <c r="G41" s="23"/>
      <c r="H41" s="19"/>
    </row>
    <row r="42" spans="2:19" x14ac:dyDescent="0.35">
      <c r="B42" s="20"/>
      <c r="C42" s="20"/>
      <c r="D42" s="20"/>
      <c r="E42" s="20"/>
      <c r="F42" s="20"/>
      <c r="G42" s="20"/>
      <c r="H42" s="22"/>
    </row>
    <row r="43" spans="2:19" x14ac:dyDescent="0.35">
      <c r="B43" s="16"/>
      <c r="C43" s="16"/>
      <c r="D43" s="16"/>
      <c r="E43" s="16"/>
      <c r="F43" s="16"/>
      <c r="G43" s="23"/>
      <c r="H43" s="19"/>
    </row>
    <row r="44" spans="2:19" x14ac:dyDescent="0.35">
      <c r="B44" s="20"/>
      <c r="C44" s="20"/>
      <c r="D44" s="20"/>
      <c r="E44" s="20"/>
      <c r="F44" s="20"/>
      <c r="G44" s="20"/>
      <c r="H44" s="22"/>
    </row>
    <row r="45" spans="2:19" x14ac:dyDescent="0.35">
      <c r="B45" s="16"/>
      <c r="C45" s="16"/>
      <c r="D45" s="16"/>
      <c r="E45" s="16"/>
      <c r="F45" s="16"/>
      <c r="G45" s="23"/>
      <c r="H45" s="19"/>
    </row>
    <row r="46" spans="2:19" x14ac:dyDescent="0.35">
      <c r="B46" s="20"/>
      <c r="C46" s="20"/>
      <c r="D46" s="20"/>
      <c r="E46" s="20"/>
      <c r="F46" s="20"/>
      <c r="G46" s="20"/>
      <c r="H46" s="22"/>
    </row>
    <row r="47" spans="2:19" x14ac:dyDescent="0.35">
      <c r="B47" s="16"/>
      <c r="C47" s="16"/>
      <c r="D47" s="16"/>
      <c r="E47" s="16"/>
      <c r="F47" s="16"/>
      <c r="G47" s="23"/>
      <c r="H47" s="19"/>
    </row>
    <row r="48" spans="2:19" x14ac:dyDescent="0.35">
      <c r="B48" s="20"/>
      <c r="C48" s="20"/>
      <c r="D48" s="20"/>
      <c r="E48" s="20"/>
      <c r="F48" s="20"/>
      <c r="G48" s="20"/>
      <c r="H48" s="22"/>
    </row>
    <row r="49" spans="2:8" x14ac:dyDescent="0.35">
      <c r="B49" s="16"/>
      <c r="C49" s="16"/>
      <c r="D49" s="16"/>
      <c r="E49" s="16"/>
      <c r="F49" s="16"/>
      <c r="G49" s="23"/>
      <c r="H49" s="19"/>
    </row>
    <row r="50" spans="2:8" x14ac:dyDescent="0.35">
      <c r="B50" s="24"/>
      <c r="C50" s="24"/>
      <c r="D50" s="24"/>
      <c r="E50" s="24"/>
      <c r="F50" s="24"/>
      <c r="G50" s="24"/>
      <c r="H50" s="25"/>
    </row>
  </sheetData>
  <hyperlinks>
    <hyperlink ref="F7" r:id="rId1" xr:uid="{00000000-0004-0000-0700-000000000000}"/>
    <hyperlink ref="F8" r:id="rId2" xr:uid="{00000000-0004-0000-0700-000001000000}"/>
  </hyperlinks>
  <pageMargins left="0.7" right="0.7" top="0.75" bottom="0.75" header="0.3" footer="0.3"/>
  <pageSetup paperSize="9" orientation="landscape" r:id="rId3"/>
  <drawing r:id="rId4"/>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theme="4" tint="0.79998168889431442"/>
  </sheetPr>
  <dimension ref="B2:H20"/>
  <sheetViews>
    <sheetView showGridLines="0" workbookViewId="0">
      <selection activeCell="G27" sqref="G27"/>
    </sheetView>
  </sheetViews>
  <sheetFormatPr baseColWidth="10" defaultRowHeight="14.5" x14ac:dyDescent="0.35"/>
  <cols>
    <col min="1" max="1" width="3" customWidth="1"/>
    <col min="2" max="2" width="25.453125" customWidth="1"/>
    <col min="3" max="3" width="20.81640625" customWidth="1"/>
    <col min="4" max="4" width="20.6328125" customWidth="1"/>
    <col min="5" max="5" width="13.7265625" bestFit="1" customWidth="1"/>
  </cols>
  <sheetData>
    <row r="2" spans="2:8" ht="60" customHeight="1" x14ac:dyDescent="0.35">
      <c r="B2" s="41"/>
      <c r="C2" s="41"/>
      <c r="D2" s="41"/>
      <c r="E2" s="41"/>
      <c r="F2" s="41"/>
      <c r="G2" s="41"/>
      <c r="H2" s="41"/>
    </row>
    <row r="6" spans="2:8" x14ac:dyDescent="0.35">
      <c r="B6" s="5" t="s">
        <v>30</v>
      </c>
      <c r="C6" s="5" t="s">
        <v>9</v>
      </c>
      <c r="D6" t="s">
        <v>106</v>
      </c>
    </row>
    <row r="7" spans="2:8" x14ac:dyDescent="0.35">
      <c r="B7" t="s">
        <v>52</v>
      </c>
      <c r="C7" t="s">
        <v>53</v>
      </c>
      <c r="D7" s="148">
        <v>20</v>
      </c>
    </row>
    <row r="8" spans="2:8" x14ac:dyDescent="0.35">
      <c r="B8" t="s">
        <v>107</v>
      </c>
      <c r="D8" s="148">
        <v>20</v>
      </c>
    </row>
    <row r="9" spans="2:8" x14ac:dyDescent="0.35">
      <c r="B9" t="s">
        <v>44</v>
      </c>
      <c r="C9" t="s">
        <v>45</v>
      </c>
      <c r="D9" s="148">
        <v>20</v>
      </c>
    </row>
    <row r="10" spans="2:8" x14ac:dyDescent="0.35">
      <c r="B10" t="s">
        <v>110</v>
      </c>
      <c r="D10" s="148">
        <v>20</v>
      </c>
    </row>
    <row r="11" spans="2:8" x14ac:dyDescent="0.35">
      <c r="B11" t="s">
        <v>46</v>
      </c>
      <c r="C11" t="s">
        <v>47</v>
      </c>
      <c r="D11" s="148">
        <v>30</v>
      </c>
    </row>
    <row r="12" spans="2:8" x14ac:dyDescent="0.35">
      <c r="B12" t="s">
        <v>111</v>
      </c>
      <c r="D12" s="148">
        <v>30</v>
      </c>
    </row>
    <row r="13" spans="2:8" x14ac:dyDescent="0.35">
      <c r="B13" t="s">
        <v>50</v>
      </c>
      <c r="C13" t="s">
        <v>51</v>
      </c>
      <c r="D13" s="148">
        <v>10</v>
      </c>
    </row>
    <row r="14" spans="2:8" x14ac:dyDescent="0.35">
      <c r="B14" t="s">
        <v>112</v>
      </c>
      <c r="D14" s="148">
        <v>10</v>
      </c>
    </row>
    <row r="15" spans="2:8" x14ac:dyDescent="0.35">
      <c r="B15" t="s">
        <v>54</v>
      </c>
      <c r="C15" t="s">
        <v>55</v>
      </c>
      <c r="D15" s="148">
        <v>30</v>
      </c>
    </row>
    <row r="16" spans="2:8" x14ac:dyDescent="0.35">
      <c r="B16" t="s">
        <v>113</v>
      </c>
      <c r="D16" s="148">
        <v>30</v>
      </c>
    </row>
    <row r="17" spans="2:4" x14ac:dyDescent="0.35">
      <c r="B17" t="s">
        <v>58</v>
      </c>
      <c r="C17" t="s">
        <v>59</v>
      </c>
      <c r="D17" s="148">
        <v>122</v>
      </c>
    </row>
    <row r="18" spans="2:4" x14ac:dyDescent="0.35">
      <c r="B18" t="s">
        <v>114</v>
      </c>
      <c r="D18" s="148">
        <v>122</v>
      </c>
    </row>
    <row r="19" spans="2:4" x14ac:dyDescent="0.35">
      <c r="B19" t="s">
        <v>62</v>
      </c>
      <c r="C19" t="s">
        <v>63</v>
      </c>
      <c r="D19" s="148">
        <v>5</v>
      </c>
    </row>
    <row r="20" spans="2:4" x14ac:dyDescent="0.35">
      <c r="B20" t="s">
        <v>115</v>
      </c>
      <c r="D20" s="148">
        <v>5</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dimension ref="B4:C13"/>
  <sheetViews>
    <sheetView showGridLines="0" workbookViewId="0">
      <selection activeCell="B8" sqref="B8"/>
    </sheetView>
  </sheetViews>
  <sheetFormatPr baseColWidth="10" defaultRowHeight="14.5" x14ac:dyDescent="0.35"/>
  <cols>
    <col min="2" max="2" width="17.54296875" bestFit="1" customWidth="1"/>
    <col min="3" max="3" width="5.7265625" bestFit="1" customWidth="1"/>
  </cols>
  <sheetData>
    <row r="4" spans="2:3" x14ac:dyDescent="0.35">
      <c r="B4" s="5" t="s">
        <v>14</v>
      </c>
      <c r="C4" t="s">
        <v>16</v>
      </c>
    </row>
    <row r="5" spans="2:3" x14ac:dyDescent="0.35">
      <c r="B5" s="6" t="s">
        <v>11</v>
      </c>
      <c r="C5">
        <v>5</v>
      </c>
    </row>
    <row r="6" spans="2:3" x14ac:dyDescent="0.35">
      <c r="B6" s="7">
        <v>41195</v>
      </c>
      <c r="C6">
        <v>2</v>
      </c>
    </row>
    <row r="7" spans="2:3" x14ac:dyDescent="0.35">
      <c r="B7" s="7">
        <v>41196</v>
      </c>
      <c r="C7">
        <v>1</v>
      </c>
    </row>
    <row r="8" spans="2:3" x14ac:dyDescent="0.35">
      <c r="B8" s="7">
        <v>41197</v>
      </c>
      <c r="C8">
        <v>1</v>
      </c>
    </row>
    <row r="9" spans="2:3" x14ac:dyDescent="0.35">
      <c r="B9" s="7">
        <v>41198</v>
      </c>
      <c r="C9">
        <v>1</v>
      </c>
    </row>
    <row r="10" spans="2:3" x14ac:dyDescent="0.35">
      <c r="B10" s="6" t="s">
        <v>15</v>
      </c>
      <c r="C10">
        <v>2</v>
      </c>
    </row>
    <row r="11" spans="2:3" x14ac:dyDescent="0.35">
      <c r="B11" s="7">
        <v>41197</v>
      </c>
      <c r="C11">
        <v>1</v>
      </c>
    </row>
    <row r="12" spans="2:3" x14ac:dyDescent="0.35">
      <c r="B12" s="7">
        <v>41198</v>
      </c>
      <c r="C12">
        <v>1</v>
      </c>
    </row>
    <row r="13" spans="2:3" x14ac:dyDescent="0.35">
      <c r="B13" s="6" t="s">
        <v>8</v>
      </c>
      <c r="C13">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vt:i4>
      </vt:variant>
    </vt:vector>
  </HeadingPairs>
  <TitlesOfParts>
    <vt:vector size="13" baseType="lpstr">
      <vt:lpstr>-AYUDA-</vt:lpstr>
      <vt:lpstr>Hoja1</vt:lpstr>
      <vt:lpstr>Factura</vt:lpstr>
      <vt:lpstr>Movimientos</vt:lpstr>
      <vt:lpstr>Cuenta Corriente</vt:lpstr>
      <vt:lpstr>Lista de productos</vt:lpstr>
      <vt:lpstr>Clientes</vt:lpstr>
      <vt:lpstr>Saldo de Stock</vt:lpstr>
      <vt:lpstr>Stock</vt:lpstr>
      <vt:lpstr>Factura!Área_de_impresión</vt:lpstr>
      <vt:lpstr>Articulo</vt:lpstr>
      <vt:lpstr>Cliente</vt:lpstr>
      <vt:lpstr>Producto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Planilla Excel</dc:creator>
  <cp:lastModifiedBy>Cecilia PlanillaExcel</cp:lastModifiedBy>
  <cp:lastPrinted>2024-11-28T13:00:38Z</cp:lastPrinted>
  <dcterms:created xsi:type="dcterms:W3CDTF">2015-01-18T13:51:27Z</dcterms:created>
  <dcterms:modified xsi:type="dcterms:W3CDTF">2024-11-28T13:58:14Z</dcterms:modified>
</cp:coreProperties>
</file>