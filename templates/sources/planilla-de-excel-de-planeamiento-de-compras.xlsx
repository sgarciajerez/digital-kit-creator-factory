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8_{2303D9CF-D981-40AD-ADAC-89F4B256F1C7}" xr6:coauthVersionLast="47" xr6:coauthVersionMax="47" xr10:uidLastSave="{00000000-0000-0000-0000-000000000000}"/>
  <bookViews>
    <workbookView xWindow="19090" yWindow="-5110" windowWidth="38620" windowHeight="21820" xr2:uid="{00000000-000D-0000-FFFF-FFFF00000000}"/>
  </bookViews>
  <sheets>
    <sheet name="Registro" sheetId="1" r:id="rId1"/>
  </sheets>
  <definedNames>
    <definedName name="_xlnm._FilterDatabase" localSheetId="0" hidden="1">Registro!$C$15:$C$27</definedName>
    <definedName name="_xlnm.Print_Area" localSheetId="0">Registro!$B$4:$G$29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18" i="1"/>
  <c r="F17" i="1"/>
  <c r="F16" i="1"/>
  <c r="F15" i="1"/>
  <c r="F28" i="1" l="1"/>
  <c r="E11" i="1" s="1"/>
  <c r="E12" i="1" s="1"/>
</calcChain>
</file>

<file path=xl/sharedStrings.xml><?xml version="1.0" encoding="utf-8"?>
<sst xmlns="http://schemas.openxmlformats.org/spreadsheetml/2006/main" count="14" uniqueCount="14">
  <si>
    <t>EMPRESA</t>
  </si>
  <si>
    <t>CANT</t>
  </si>
  <si>
    <t>DESCRIPCION</t>
  </si>
  <si>
    <t>P. UNIT</t>
  </si>
  <si>
    <t>MONTO</t>
  </si>
  <si>
    <t>PRESUPUESTO</t>
  </si>
  <si>
    <t>SUMA DE LAS COMPRAS</t>
  </si>
  <si>
    <t>DINERO SOBRANTE</t>
  </si>
  <si>
    <t>TOTAL</t>
  </si>
  <si>
    <t>NOMBRE:</t>
  </si>
  <si>
    <t>AREA:</t>
  </si>
  <si>
    <t>PLANIFICACION DE COMPRAS</t>
  </si>
  <si>
    <t>FECHA:</t>
  </si>
  <si>
    <t>Pintura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</si>
</sst>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\ * #,##0.00_ ;_ &quot;$&quot;\ * \-#,##0.00_ ;_ &quot;$&quot;\ * &quot;-&quot;??_ ;_ @_ "/>
    <numFmt numFmtId="165" formatCode="&quot;$&quot;\ #,##0.00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</font>
    <font>
      <b/>
      <sz val="36"/>
      <color rgb="FF14BD89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6" tint="-0.24997711111789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4BD8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4" fillId="2" borderId="0" xfId="2" applyNumberFormat="1" applyFont="1" applyFill="1" applyBorder="1" applyAlignment="1" applyProtection="1">
      <alignment horizontal="left" vertical="center" shrinkToFit="1"/>
      <protection locked="0"/>
    </xf>
    <xf numFmtId="49" fontId="4" fillId="2" borderId="0" xfId="2" applyNumberFormat="1" applyFont="1" applyFill="1" applyBorder="1" applyAlignment="1" applyProtection="1">
      <alignment horizontal="left" vertical="center" shrinkToFit="1"/>
      <protection locked="0"/>
    </xf>
    <xf numFmtId="0" fontId="0" fillId="0" borderId="0" xfId="0" applyBorder="1"/>
    <xf numFmtId="0" fontId="0" fillId="3" borderId="0" xfId="0" applyFill="1"/>
    <xf numFmtId="0" fontId="0" fillId="0" borderId="0" xfId="0" applyFill="1"/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1" fillId="0" borderId="0" xfId="0" applyFont="1" applyBorder="1" applyAlignment="1">
      <alignment horizontal="right" vertical="center"/>
    </xf>
    <xf numFmtId="165" fontId="8" fillId="0" borderId="0" xfId="0" applyNumberFormat="1" applyFont="1" applyBorder="1" applyAlignment="1">
      <alignment horizontal="center"/>
    </xf>
    <xf numFmtId="0" fontId="5" fillId="3" borderId="0" xfId="0" applyFont="1" applyFill="1" applyBorder="1" applyAlignment="1">
      <alignment horizontal="center" vertical="center"/>
    </xf>
    <xf numFmtId="0" fontId="6" fillId="0" borderId="2" xfId="0" applyFont="1" applyBorder="1" applyAlignment="1"/>
    <xf numFmtId="0" fontId="6" fillId="0" borderId="2" xfId="0" applyFont="1" applyBorder="1"/>
    <xf numFmtId="0" fontId="1" fillId="0" borderId="3" xfId="0" applyFont="1" applyBorder="1" applyAlignment="1">
      <alignment vertical="center"/>
    </xf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4" xfId="0" applyFont="1" applyBorder="1"/>
    <xf numFmtId="0" fontId="1" fillId="0" borderId="4" xfId="0" applyFont="1" applyBorder="1"/>
    <xf numFmtId="14" fontId="1" fillId="0" borderId="5" xfId="0" applyNumberFormat="1" applyFont="1" applyBorder="1" applyAlignment="1">
      <alignment horizont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5" fontId="7" fillId="0" borderId="7" xfId="0" applyNumberFormat="1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165" fontId="9" fillId="0" borderId="12" xfId="0" applyNumberFormat="1" applyFont="1" applyBorder="1" applyAlignment="1">
      <alignment horizontal="center"/>
    </xf>
    <xf numFmtId="165" fontId="9" fillId="0" borderId="13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vertical="center"/>
    </xf>
    <xf numFmtId="165" fontId="6" fillId="0" borderId="2" xfId="0" applyNumberFormat="1" applyFont="1" applyBorder="1"/>
    <xf numFmtId="165" fontId="6" fillId="0" borderId="2" xfId="1" applyNumberFormat="1" applyFont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right"/>
    </xf>
    <xf numFmtId="165" fontId="1" fillId="4" borderId="2" xfId="1" applyNumberFormat="1" applyFont="1" applyFill="1" applyBorder="1"/>
    <xf numFmtId="1" fontId="6" fillId="0" borderId="2" xfId="0" applyNumberFormat="1" applyFont="1" applyBorder="1" applyAlignment="1"/>
    <xf numFmtId="165" fontId="6" fillId="0" borderId="2" xfId="0" applyNumberFormat="1" applyFont="1" applyBorder="1" applyAlignment="1"/>
    <xf numFmtId="165" fontId="6" fillId="0" borderId="2" xfId="1" applyNumberFormat="1" applyFont="1" applyBorder="1" applyAlignment="1"/>
  </cellXfs>
  <cellStyles count="3">
    <cellStyle name="Encabezado 1" xfId="2" builtinId="16"/>
    <cellStyle name="Moneda" xfId="1" builtinId="4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279400</xdr:colOff>
      <xdr:row>0</xdr:row>
      <xdr:rowOff>171450</xdr:rowOff>
    </xdr:from>
    <xdr:to>
      <xdr:col>4</xdr:col>
      <xdr:colOff>101600</xdr:colOff>
      <xdr:row>2</xdr:row>
      <xdr:rowOff>12700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DA688FA4-3CFC-4688-81C9-87A697D75275}"/>
            </a:ext>
          </a:extLst>
        </xdr:cNvPr>
        <xdr:cNvSpPr txBox="1"/>
      </xdr:nvSpPr>
      <xdr:spPr>
        <a:xfrm>
          <a:off x="419100" y="171450"/>
          <a:ext cx="42354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Planeamiento de compras</a:t>
          </a:r>
        </a:p>
      </xdr:txBody>
    </xdr:sp>
    <xdr:clientData/>
  </xdr:twoCellAnchor>
  <xdr:twoCellAnchor editAs="absolute">
    <xdr:from>
      <xdr:col>5</xdr:col>
      <xdr:colOff>749300</xdr:colOff>
      <xdr:row>0</xdr:row>
      <xdr:rowOff>101600</xdr:rowOff>
    </xdr:from>
    <xdr:to>
      <xdr:col>7</xdr:col>
      <xdr:colOff>577850</xdr:colOff>
      <xdr:row>2</xdr:row>
      <xdr:rowOff>63500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506DA315-EE8F-40BB-8254-1118684197E9}"/>
            </a:ext>
          </a:extLst>
        </xdr:cNvPr>
        <xdr:cNvSpPr txBox="1"/>
      </xdr:nvSpPr>
      <xdr:spPr>
        <a:xfrm>
          <a:off x="6248400" y="101600"/>
          <a:ext cx="190500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8"/>
  <sheetViews>
    <sheetView showGridLines="0" showZeros="0" tabSelected="1" zoomScaleNormal="100" zoomScaleSheetLayoutView="90" workbookViewId="0">
      <selection activeCell="K10" sqref="K10"/>
    </sheetView>
  </sheetViews>
  <sheetFormatPr baseColWidth="10" defaultRowHeight="14.5" x14ac:dyDescent="0.35"/>
  <cols>
    <col min="1" max="1" width="2" customWidth="1"/>
    <col min="2" max="2" width="6.1796875" customWidth="1"/>
    <col min="3" max="3" width="11.08984375" style="1" customWidth="1"/>
    <col min="4" max="4" width="45.90625" customWidth="1"/>
    <col min="5" max="5" width="13.54296875" customWidth="1"/>
    <col min="6" max="6" width="18.81640625" customWidth="1"/>
  </cols>
  <sheetData>
    <row r="2" spans="2:11" ht="45.5" customHeight="1" x14ac:dyDescent="0.35">
      <c r="B2" s="6"/>
      <c r="C2" s="6"/>
      <c r="D2" s="6"/>
      <c r="E2" s="6"/>
      <c r="F2" s="6"/>
      <c r="G2" s="6"/>
      <c r="H2" s="6"/>
      <c r="I2" s="6"/>
      <c r="J2" s="7"/>
      <c r="K2" s="7"/>
    </row>
    <row r="3" spans="2:11" s="7" customFormat="1" ht="26.5" customHeight="1" x14ac:dyDescent="0.35"/>
    <row r="4" spans="2:11" s="7" customFormat="1" ht="35.5" customHeight="1" x14ac:dyDescent="0.35">
      <c r="C4" s="3" t="s">
        <v>0</v>
      </c>
      <c r="D4" s="3"/>
      <c r="E4" s="3"/>
    </row>
    <row r="5" spans="2:11" ht="23.5" customHeight="1" x14ac:dyDescent="0.35">
      <c r="F5" s="4"/>
    </row>
    <row r="6" spans="2:11" ht="23.5" customHeight="1" x14ac:dyDescent="0.35">
      <c r="C6" s="12" t="s">
        <v>11</v>
      </c>
      <c r="D6" s="12"/>
      <c r="E6" s="12"/>
      <c r="F6" s="12"/>
    </row>
    <row r="7" spans="2:11" ht="23.5" customHeight="1" x14ac:dyDescent="0.45">
      <c r="C7" s="15" t="s">
        <v>9</v>
      </c>
      <c r="D7" s="16"/>
      <c r="E7" s="16"/>
      <c r="F7" s="17"/>
    </row>
    <row r="8" spans="2:11" ht="23.5" customHeight="1" x14ac:dyDescent="0.45">
      <c r="C8" s="15" t="s">
        <v>10</v>
      </c>
      <c r="D8" s="18"/>
      <c r="E8" s="19" t="s">
        <v>12</v>
      </c>
      <c r="F8" s="20">
        <v>46003</v>
      </c>
    </row>
    <row r="9" spans="2:11" s="5" customFormat="1" ht="23.5" customHeight="1" x14ac:dyDescent="0.45">
      <c r="C9" s="8"/>
      <c r="D9" s="9"/>
      <c r="E9" s="9"/>
      <c r="F9" s="9"/>
    </row>
    <row r="10" spans="2:11" ht="23.5" customHeight="1" x14ac:dyDescent="0.45">
      <c r="C10" s="21" t="s">
        <v>5</v>
      </c>
      <c r="D10" s="22"/>
      <c r="E10" s="23">
        <v>10000</v>
      </c>
      <c r="F10" s="24"/>
    </row>
    <row r="11" spans="2:11" ht="23.5" customHeight="1" x14ac:dyDescent="0.45">
      <c r="C11" s="25" t="s">
        <v>6</v>
      </c>
      <c r="D11" s="10"/>
      <c r="E11" s="11">
        <f>F28</f>
        <v>60</v>
      </c>
      <c r="F11" s="26"/>
    </row>
    <row r="12" spans="2:11" ht="23.5" customHeight="1" x14ac:dyDescent="0.45">
      <c r="C12" s="27" t="s">
        <v>7</v>
      </c>
      <c r="D12" s="28"/>
      <c r="E12" s="29">
        <f>E10-E11</f>
        <v>9940</v>
      </c>
      <c r="F12" s="30"/>
    </row>
    <row r="13" spans="2:11" s="5" customFormat="1" ht="23.5" customHeight="1" x14ac:dyDescent="0.45">
      <c r="C13" s="8"/>
      <c r="D13" s="9"/>
      <c r="E13" s="9"/>
      <c r="F13" s="9"/>
    </row>
    <row r="14" spans="2:11" s="2" customFormat="1" ht="23.5" customHeight="1" x14ac:dyDescent="0.35">
      <c r="C14" s="31" t="s">
        <v>1</v>
      </c>
      <c r="D14" s="31" t="s">
        <v>2</v>
      </c>
      <c r="E14" s="31" t="s">
        <v>3</v>
      </c>
      <c r="F14" s="31" t="s">
        <v>4</v>
      </c>
    </row>
    <row r="15" spans="2:11" ht="23.5" customHeight="1" x14ac:dyDescent="0.45">
      <c r="C15" s="38">
        <v>2</v>
      </c>
      <c r="D15" s="13" t="s">
        <v>13</v>
      </c>
      <c r="E15" s="39">
        <v>30</v>
      </c>
      <c r="F15" s="40">
        <f t="shared" ref="F15:F27" si="0">E15*C15</f>
        <v>60</v>
      </c>
    </row>
    <row r="16" spans="2:11" ht="23.5" customHeight="1" x14ac:dyDescent="0.45">
      <c r="C16" s="32"/>
      <c r="D16" s="14"/>
      <c r="E16" s="33"/>
      <c r="F16" s="34">
        <f t="shared" si="0"/>
        <v>0</v>
      </c>
    </row>
    <row r="17" spans="3:6" ht="23.5" customHeight="1" x14ac:dyDescent="0.45">
      <c r="C17" s="32"/>
      <c r="D17" s="14"/>
      <c r="E17" s="33"/>
      <c r="F17" s="34">
        <f t="shared" si="0"/>
        <v>0</v>
      </c>
    </row>
    <row r="18" spans="3:6" ht="23.5" customHeight="1" x14ac:dyDescent="0.45">
      <c r="C18" s="32"/>
      <c r="D18" s="14"/>
      <c r="E18" s="33"/>
      <c r="F18" s="34">
        <f t="shared" si="0"/>
        <v>0</v>
      </c>
    </row>
    <row r="19" spans="3:6" ht="23.5" customHeight="1" x14ac:dyDescent="0.45">
      <c r="C19" s="32"/>
      <c r="D19" s="14"/>
      <c r="E19" s="33"/>
      <c r="F19" s="34"/>
    </row>
    <row r="20" spans="3:6" ht="23.5" customHeight="1" x14ac:dyDescent="0.45">
      <c r="C20" s="32"/>
      <c r="D20" s="14"/>
      <c r="E20" s="33"/>
      <c r="F20" s="34"/>
    </row>
    <row r="21" spans="3:6" ht="23.5" customHeight="1" x14ac:dyDescent="0.45">
      <c r="C21" s="32"/>
      <c r="D21" s="14"/>
      <c r="E21" s="33"/>
      <c r="F21" s="34"/>
    </row>
    <row r="22" spans="3:6" ht="23.5" customHeight="1" x14ac:dyDescent="0.45">
      <c r="C22" s="32"/>
      <c r="D22" s="14"/>
      <c r="E22" s="33"/>
      <c r="F22" s="34"/>
    </row>
    <row r="23" spans="3:6" ht="23.5" customHeight="1" x14ac:dyDescent="0.45">
      <c r="C23" s="32"/>
      <c r="D23" s="14"/>
      <c r="E23" s="33"/>
      <c r="F23" s="34"/>
    </row>
    <row r="24" spans="3:6" ht="23.5" customHeight="1" x14ac:dyDescent="0.45">
      <c r="C24" s="32"/>
      <c r="D24" s="14"/>
      <c r="E24" s="33"/>
      <c r="F24" s="34"/>
    </row>
    <row r="25" spans="3:6" ht="23.5" customHeight="1" x14ac:dyDescent="0.45">
      <c r="C25" s="32"/>
      <c r="D25" s="14"/>
      <c r="E25" s="33"/>
      <c r="F25" s="34">
        <f t="shared" si="0"/>
        <v>0</v>
      </c>
    </row>
    <row r="26" spans="3:6" ht="23.5" customHeight="1" x14ac:dyDescent="0.45">
      <c r="C26" s="32"/>
      <c r="D26" s="14"/>
      <c r="E26" s="33"/>
      <c r="F26" s="34">
        <f t="shared" si="0"/>
        <v>0</v>
      </c>
    </row>
    <row r="27" spans="3:6" ht="23.5" customHeight="1" x14ac:dyDescent="0.45">
      <c r="C27" s="32"/>
      <c r="D27" s="14"/>
      <c r="E27" s="33"/>
      <c r="F27" s="34">
        <f t="shared" si="0"/>
        <v>0</v>
      </c>
    </row>
    <row r="28" spans="3:6" ht="23.5" customHeight="1" x14ac:dyDescent="0.45">
      <c r="C28" s="35" t="s">
        <v>8</v>
      </c>
      <c r="D28" s="36"/>
      <c r="E28" s="36"/>
      <c r="F28" s="37">
        <f>SUM(F15:F27)</f>
        <v>60</v>
      </c>
    </row>
  </sheetData>
  <mergeCells count="11">
    <mergeCell ref="E10:F10"/>
    <mergeCell ref="E11:F11"/>
    <mergeCell ref="C28:E28"/>
    <mergeCell ref="C9:F9"/>
    <mergeCell ref="C13:F13"/>
    <mergeCell ref="C6:F6"/>
    <mergeCell ref="C10:D10"/>
    <mergeCell ref="C11:D11"/>
    <mergeCell ref="C12:D12"/>
    <mergeCell ref="E12:F12"/>
    <mergeCell ref="C4:E4"/>
  </mergeCells>
  <conditionalFormatting sqref="E11:F11">
    <cfRule type="cellIs" dxfId="3" priority="3" operator="greaterThan">
      <formula>$E$10</formula>
    </cfRule>
    <cfRule type="cellIs" dxfId="2" priority="4" operator="greaterThan">
      <formula>$E$10</formula>
    </cfRule>
  </conditionalFormatting>
  <conditionalFormatting sqref="E12:F12">
    <cfRule type="cellIs" dxfId="1" priority="2" operator="lessThan">
      <formula>0</formula>
    </cfRule>
  </conditionalFormatting>
  <conditionalFormatting sqref="F28">
    <cfRule type="cellIs" dxfId="0" priority="1" operator="greaterThan">
      <formula>$E$10</formula>
    </cfRule>
  </conditionalFormatting>
  <dataValidations count="3">
    <dataValidation type="decimal" operator="greaterThan" allowBlank="1" showInputMessage="1" showErrorMessage="1" sqref="F28 E10:F11 E15:F27" xr:uid="{00000000-0002-0000-0000-000001000000}">
      <formula1>0</formula1>
    </dataValidation>
    <dataValidation type="decimal" operator="greaterThanOrEqual" allowBlank="1" showInputMessage="1" showErrorMessage="1" sqref="E12:F12" xr:uid="{00000000-0002-0000-0000-000002000000}">
      <formula1>0</formula1>
    </dataValidation>
    <dataValidation type="whole" operator="greaterThan" allowBlank="1" showInputMessage="1" showErrorMessage="1" sqref="C15:C27" xr:uid="{00000000-0002-0000-0000-000000000000}">
      <formula1>0</formula1>
    </dataValidation>
  </dataValidations>
  <pageMargins left="0.25" right="0.25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</vt:lpstr>
      <vt:lpstr>Registro!Área_de_impresión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 PlanillaExcel</cp:lastModifiedBy>
  <cp:lastPrinted>2024-12-17T15:09:05Z</cp:lastPrinted>
  <dcterms:created xsi:type="dcterms:W3CDTF">2015-10-14T18:20:19Z</dcterms:created>
  <dcterms:modified xsi:type="dcterms:W3CDTF">2024-12-17T15:09:30Z</dcterms:modified>
</cp:coreProperties>
</file>