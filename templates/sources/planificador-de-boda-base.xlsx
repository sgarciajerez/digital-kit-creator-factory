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s\Creador de Excels\templates\model-library\wedding-planner-base\app\"/>
    </mc:Choice>
  </mc:AlternateContent>
  <xr:revisionPtr revIDLastSave="0" documentId="13_ncr:1_{F1B49033-F6AC-499E-8FDE-0F187CFE22C0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Inicio" sheetId="1" r:id="rId1"/>
    <sheet name="Resumen" sheetId="2" r:id="rId2"/>
    <sheet name="Presupuesto" sheetId="3" r:id="rId3"/>
    <sheet name="Pagos reales" sheetId="4" r:id="rId4"/>
    <sheet name="Proveedores" sheetId="5" r:id="rId5"/>
    <sheet name="Flujo de pagos" sheetId="6" r:id="rId6"/>
    <sheet name="Checklist" sheetId="7" r:id="rId7"/>
    <sheet name="Invitados" sheetId="8" r:id="rId8"/>
    <sheet name="Listas" sheetId="9" r:id="rId9"/>
  </sheets>
  <definedNames>
    <definedName name="_xlnm.Print_Area" localSheetId="6">Checklist!$B$2:$J$32</definedName>
    <definedName name="_xlnm.Print_Area" localSheetId="5">'Flujo de pagos'!$B$2:$Q$32</definedName>
    <definedName name="_xlnm.Print_Area" localSheetId="0">Inicio!$B$2:$J$32</definedName>
    <definedName name="_xlnm.Print_Area" localSheetId="7">Invitados!$B$2:$H$32</definedName>
    <definedName name="_xlnm.Print_Area" localSheetId="8">Listas!$B$2:$M$32</definedName>
    <definedName name="_xlnm.Print_Area" localSheetId="3">'Pagos reales'!$B$2:$O$32</definedName>
    <definedName name="_xlnm.Print_Area" localSheetId="2">Presupuesto!$B$2:$O$32</definedName>
    <definedName name="_xlnm.Print_Area" localSheetId="4">Proveedores!$B$2:$M$32</definedName>
    <definedName name="_xlnm.Print_Area" localSheetId="1">Resumen!$B$2:$N$32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2" l="1"/>
  <c r="B18" i="2"/>
  <c r="D18" i="2" s="1"/>
  <c r="F18" i="2" s="1"/>
  <c r="C17" i="2"/>
  <c r="B17" i="2"/>
  <c r="D17" i="2" s="1"/>
  <c r="F17" i="2" s="1"/>
  <c r="C16" i="2"/>
  <c r="B16" i="2"/>
  <c r="D16" i="2" s="1"/>
  <c r="F16" i="2" s="1"/>
  <c r="C15" i="2"/>
  <c r="B15" i="2"/>
  <c r="D15" i="2" s="1"/>
  <c r="C14" i="2"/>
  <c r="B14" i="2"/>
  <c r="D14" i="2" s="1"/>
  <c r="F14" i="2" s="1"/>
  <c r="C13" i="2"/>
  <c r="B13" i="2"/>
  <c r="D13" i="2" s="1"/>
  <c r="C12" i="2"/>
  <c r="B12" i="2"/>
  <c r="D12" i="2" s="1"/>
  <c r="E7" i="2"/>
  <c r="B7" i="2"/>
  <c r="C5" i="2"/>
  <c r="G19" i="6"/>
  <c r="F19" i="6"/>
  <c r="D19" i="6"/>
  <c r="C19" i="6"/>
  <c r="E19" i="6" s="1"/>
  <c r="G18" i="6"/>
  <c r="F18" i="6"/>
  <c r="D18" i="6"/>
  <c r="C18" i="6"/>
  <c r="E18" i="6" s="1"/>
  <c r="G17" i="6"/>
  <c r="F17" i="6"/>
  <c r="D17" i="6"/>
  <c r="C17" i="6"/>
  <c r="E17" i="6" s="1"/>
  <c r="G16" i="6"/>
  <c r="F16" i="6"/>
  <c r="D16" i="6"/>
  <c r="C16" i="6"/>
  <c r="E16" i="6" s="1"/>
  <c r="G15" i="6"/>
  <c r="F15" i="6"/>
  <c r="D15" i="6"/>
  <c r="C15" i="6"/>
  <c r="E15" i="6" s="1"/>
  <c r="G14" i="6"/>
  <c r="F14" i="6"/>
  <c r="D14" i="6"/>
  <c r="C14" i="6"/>
  <c r="E14" i="6" s="1"/>
  <c r="G13" i="6"/>
  <c r="F13" i="6"/>
  <c r="D13" i="6"/>
  <c r="C13" i="6"/>
  <c r="E13" i="6" s="1"/>
  <c r="G12" i="6"/>
  <c r="F12" i="6"/>
  <c r="D12" i="6"/>
  <c r="C12" i="6"/>
  <c r="E12" i="6" s="1"/>
  <c r="G11" i="6"/>
  <c r="F11" i="6"/>
  <c r="D11" i="6"/>
  <c r="C11" i="6"/>
  <c r="E11" i="6" s="1"/>
  <c r="G10" i="6"/>
  <c r="F10" i="6"/>
  <c r="D10" i="6"/>
  <c r="C10" i="6"/>
  <c r="E10" i="6" s="1"/>
  <c r="G9" i="6"/>
  <c r="F9" i="6"/>
  <c r="D9" i="6"/>
  <c r="C9" i="6"/>
  <c r="E9" i="6" s="1"/>
  <c r="G8" i="6"/>
  <c r="F8" i="6"/>
  <c r="D8" i="6"/>
  <c r="C8" i="6"/>
  <c r="E8" i="6" s="1"/>
  <c r="B14" i="4"/>
  <c r="C14" i="4" s="1"/>
  <c r="B13" i="4"/>
  <c r="C13" i="4" s="1"/>
  <c r="B12" i="4"/>
  <c r="C12" i="4" s="1"/>
  <c r="B11" i="4"/>
  <c r="C11" i="4" s="1"/>
  <c r="B10" i="4"/>
  <c r="C10" i="4" s="1"/>
  <c r="B9" i="4"/>
  <c r="C9" i="4" s="1"/>
  <c r="B8" i="4"/>
  <c r="C8" i="4" s="1"/>
  <c r="N15" i="3"/>
  <c r="M15" i="3"/>
  <c r="L15" i="3"/>
  <c r="K15" i="3"/>
  <c r="J15" i="3"/>
  <c r="I15" i="3"/>
  <c r="H15" i="3"/>
  <c r="G15" i="3"/>
  <c r="F15" i="3"/>
  <c r="E15" i="3"/>
  <c r="D15" i="3"/>
  <c r="C15" i="3"/>
  <c r="O14" i="3"/>
  <c r="O13" i="3"/>
  <c r="O12" i="3"/>
  <c r="O11" i="3"/>
  <c r="O10" i="3"/>
  <c r="O9" i="3"/>
  <c r="O8" i="3"/>
  <c r="D11" i="8"/>
  <c r="K7" i="2" s="1"/>
  <c r="C11" i="8"/>
  <c r="J12" i="7"/>
  <c r="H12" i="7"/>
  <c r="J11" i="7"/>
  <c r="H11" i="7"/>
  <c r="J10" i="7"/>
  <c r="H10" i="7"/>
  <c r="H11" i="1"/>
  <c r="H10" i="1"/>
  <c r="H9" i="1"/>
  <c r="H8" i="1"/>
  <c r="H7" i="1"/>
  <c r="F15" i="2" l="1"/>
  <c r="D19" i="2"/>
  <c r="C19" i="2"/>
  <c r="E18" i="2"/>
  <c r="F13" i="2"/>
  <c r="E17" i="2"/>
  <c r="F12" i="2"/>
  <c r="E16" i="2"/>
  <c r="E15" i="2"/>
  <c r="E14" i="2"/>
  <c r="E13" i="2"/>
  <c r="E12" i="2"/>
  <c r="E19" i="2" s="1"/>
  <c r="H7" i="2"/>
  <c r="F20" i="6"/>
  <c r="G20" i="6"/>
  <c r="D20" i="6"/>
  <c r="E20" i="6"/>
  <c r="C20" i="6"/>
  <c r="H19" i="6"/>
  <c r="H18" i="6"/>
  <c r="H17" i="6"/>
  <c r="H16" i="6"/>
  <c r="H15" i="6"/>
  <c r="H14" i="6"/>
  <c r="H13" i="6"/>
  <c r="H12" i="6"/>
  <c r="H11" i="6"/>
  <c r="H10" i="6"/>
  <c r="H9" i="6"/>
  <c r="H8" i="6"/>
  <c r="C15" i="4"/>
  <c r="N14" i="4"/>
  <c r="M14" i="4"/>
  <c r="L14" i="4"/>
  <c r="K14" i="4"/>
  <c r="J14" i="4"/>
  <c r="I14" i="4"/>
  <c r="H14" i="4"/>
  <c r="G14" i="4"/>
  <c r="F14" i="4"/>
  <c r="E14" i="4"/>
  <c r="D14" i="4"/>
  <c r="N13" i="4"/>
  <c r="M13" i="4"/>
  <c r="L13" i="4"/>
  <c r="K13" i="4"/>
  <c r="J13" i="4"/>
  <c r="I13" i="4"/>
  <c r="H13" i="4"/>
  <c r="G13" i="4"/>
  <c r="F13" i="4"/>
  <c r="E13" i="4"/>
  <c r="D13" i="4"/>
  <c r="N12" i="4"/>
  <c r="M12" i="4"/>
  <c r="L12" i="4"/>
  <c r="K12" i="4"/>
  <c r="J12" i="4"/>
  <c r="I12" i="4"/>
  <c r="H12" i="4"/>
  <c r="G12" i="4"/>
  <c r="F12" i="4"/>
  <c r="E12" i="4"/>
  <c r="D12" i="4"/>
  <c r="N11" i="4"/>
  <c r="M11" i="4"/>
  <c r="L11" i="4"/>
  <c r="K11" i="4"/>
  <c r="J11" i="4"/>
  <c r="I11" i="4"/>
  <c r="H11" i="4"/>
  <c r="G11" i="4"/>
  <c r="F11" i="4"/>
  <c r="E11" i="4"/>
  <c r="D11" i="4"/>
  <c r="N10" i="4"/>
  <c r="M10" i="4"/>
  <c r="L10" i="4"/>
  <c r="K10" i="4"/>
  <c r="J10" i="4"/>
  <c r="I10" i="4"/>
  <c r="H10" i="4"/>
  <c r="G10" i="4"/>
  <c r="F10" i="4"/>
  <c r="E10" i="4"/>
  <c r="D10" i="4"/>
  <c r="N9" i="4"/>
  <c r="M9" i="4"/>
  <c r="L9" i="4"/>
  <c r="K9" i="4"/>
  <c r="J9" i="4"/>
  <c r="I9" i="4"/>
  <c r="H9" i="4"/>
  <c r="G9" i="4"/>
  <c r="F9" i="4"/>
  <c r="E9" i="4"/>
  <c r="D9" i="4"/>
  <c r="N8" i="4"/>
  <c r="M8" i="4"/>
  <c r="L8" i="4"/>
  <c r="K8" i="4"/>
  <c r="J8" i="4"/>
  <c r="I8" i="4"/>
  <c r="H8" i="4"/>
  <c r="G8" i="4"/>
  <c r="F8" i="4"/>
  <c r="E8" i="4"/>
  <c r="D8" i="4"/>
  <c r="O15" i="3"/>
  <c r="F19" i="2" l="1"/>
  <c r="H20" i="6"/>
  <c r="J15" i="4"/>
  <c r="N15" i="4"/>
  <c r="M15" i="4"/>
  <c r="L15" i="4"/>
  <c r="K15" i="4"/>
  <c r="E15" i="4"/>
  <c r="H15" i="4"/>
  <c r="I15" i="4"/>
  <c r="G15" i="4"/>
  <c r="F15" i="4"/>
  <c r="D15" i="4"/>
  <c r="O14" i="4"/>
  <c r="O13" i="4"/>
  <c r="O12" i="4"/>
  <c r="O11" i="4"/>
  <c r="O10" i="4"/>
  <c r="O9" i="4"/>
  <c r="O8" i="4"/>
  <c r="O15" i="4" l="1"/>
</calcChain>
</file>

<file path=xl/sharedStrings.xml><?xml version="1.0" encoding="utf-8"?>
<sst xmlns="http://schemas.openxmlformats.org/spreadsheetml/2006/main" count="283" uniqueCount="179">
  <si>
    <t>CÓMO USARLO</t>
  </si>
  <si>
    <t>PARÁMETROS RÁPIDOS</t>
  </si>
  <si>
    <t>MAPA DEL LIBRO</t>
  </si>
  <si>
    <t>Resumen</t>
  </si>
  <si>
    <t>Presupuesto</t>
  </si>
  <si>
    <t>Listas</t>
  </si>
  <si>
    <t>Categoría</t>
  </si>
  <si>
    <t>Plan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</si>
  <si>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</si>
  <si>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</si>
  <si>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</si>
  <si>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</si>
  <si>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</si>
  <si>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</si>
  <si>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</si>
  <si>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</si>
  <si>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</si>
  <si>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</si>
  <si>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</si>
  <si>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</si>
  <si>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</si>
  <si>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REGLAS DEL DIARIO</t>
  </si>
  <si>
    <t>Fecha</t>
  </si>
  <si>
    <t>Mes</t>
  </si>
  <si>
    <t>Tipo</t>
  </si>
  <si>
    <t>Concepto</t>
  </si>
  <si>
    <t>Importe</t>
  </si>
  <si>
    <t>Pagado por</t>
  </si>
  <si>
    <t>Estado</t>
  </si>
  <si>
    <t>Familia</t>
  </si>
  <si>
    <t>Pendiente</t>
  </si>
  <si>
    <t>Ingreso</t>
  </si>
  <si>
    <t>Comentarios</t>
  </si>
  <si>
    <t>TOTAL ANUAL</t>
  </si>
  <si>
    <t>Progreso</t>
  </si>
  <si>
    <t>MESES</t>
  </si>
  <si>
    <t>TIPOS</t>
  </si>
  <si>
    <t>CATEGORÍAS</t>
  </si>
  <si>
    <t>ESTADOS</t>
  </si>
  <si>
    <t>Parámetro</t>
  </si>
  <si>
    <t>Valor</t>
  </si>
  <si>
    <t>Moneda</t>
  </si>
  <si>
    <t>EUR</t>
  </si>
  <si>
    <t>PLANIFICADOR DE BODA · INICIO</t>
  </si>
  <si>
    <t>Organiza tu boda con una visión clara</t>
  </si>
  <si>
    <t>Presupuesto, proveedores, pagos, invitados y tareas en un solo libro.</t>
  </si>
  <si>
    <t>Define la celebración</t>
  </si>
  <si>
    <t>Fecha, presupuesto e invitados en Listas.</t>
  </si>
  <si>
    <t>Planifica el presupuesto</t>
  </si>
  <si>
    <t>Distribuye los importes por categoría y momento.</t>
  </si>
  <si>
    <t>Registra proveedores</t>
  </si>
  <si>
    <t>Anota contratos, pagos pendientes y responsables.</t>
  </si>
  <si>
    <t>Cierra cada decisión</t>
  </si>
  <si>
    <t>Usa Checklist, Invitados y Resumen para avanzar.</t>
  </si>
  <si>
    <t>Fecha de boda</t>
  </si>
  <si>
    <t>Presupuesto objetivo</t>
  </si>
  <si>
    <t>Invitados previstos</t>
  </si>
  <si>
    <t>Pareja A</t>
  </si>
  <si>
    <t>Pareja B</t>
  </si>
  <si>
    <t>Visión general del presupuesto, pagos, pendientes e invitados confirmados.</t>
  </si>
  <si>
    <t>Plan anual por categorías y calendario de desembolsos.</t>
  </si>
  <si>
    <t>Pagos reales</t>
  </si>
  <si>
    <t>Importes pagados y comparativa frente al plan.</t>
  </si>
  <si>
    <t>Proveedores</t>
  </si>
  <si>
    <t>Registro de contratos, pagos, responsables y estados.</t>
  </si>
  <si>
    <t>Flujo de pagos</t>
  </si>
  <si>
    <t>Lectura mensual de presupuesto, pagos y saldo previsto.</t>
  </si>
  <si>
    <t>Checklist</t>
  </si>
  <si>
    <t>Tareas clave con responsables, fechas y progreso.</t>
  </si>
  <si>
    <t>Invitados</t>
  </si>
  <si>
    <t>Conteo por grupo, confirmación, menú y mesa.</t>
  </si>
  <si>
    <t>Parámetros y catálogos editables del libro.</t>
  </si>
  <si>
    <t>Consejo: duplica el archivo para cada boda y cambia primero las celdas de Listas. La estructura, la navegación y las fórmulas ya están preparadas para crecer sin perder el encuadre.</t>
  </si>
  <si>
    <t>PLANIFICADOR DE BODA · LISTAS</t>
  </si>
  <si>
    <t>Parámetros y catálogos de la boda</t>
  </si>
  <si>
    <t>Cambia aquí los valores de entrada; las listas alimentan las validaciones del resto del libro.</t>
  </si>
  <si>
    <t>PARÁMETROS DE LA BODA</t>
  </si>
  <si>
    <t>RESPONSABLES</t>
  </si>
  <si>
    <t>Laura</t>
  </si>
  <si>
    <t>Álvaro</t>
  </si>
  <si>
    <t>Las celdas de entrada definen la boda. Mantén visibles estas listas para adaptar categorías, responsables y estados sin romper las fórmulas.</t>
  </si>
  <si>
    <t>Pago</t>
  </si>
  <si>
    <t>Ajuste</t>
  </si>
  <si>
    <t>Lugar y ceremonia</t>
  </si>
  <si>
    <t>Banquete</t>
  </si>
  <si>
    <t>Fotografía y vídeo</t>
  </si>
  <si>
    <t>Música</t>
  </si>
  <si>
    <t>Decoración y flores</t>
  </si>
  <si>
    <t>Vestuario y belleza</t>
  </si>
  <si>
    <t>Papelería y detalles</t>
  </si>
  <si>
    <t>Pareja</t>
  </si>
  <si>
    <t>Proveedor</t>
  </si>
  <si>
    <t>Pagado</t>
  </si>
  <si>
    <t>Confirmado</t>
  </si>
  <si>
    <t>PLANIFICADOR DE BODA · PRESUPUESTO</t>
  </si>
  <si>
    <t>Presupuesto de boda por categoría</t>
  </si>
  <si>
    <t>Distribuye el coste previsto y conserva la lectura mensual para anticipar los desembolsos.</t>
  </si>
  <si>
    <t>PRESUPUESTO DE BODA · CELDAS DE COLOR = ENTRADA</t>
  </si>
  <si>
    <t>Total</t>
  </si>
  <si>
    <t>TOTAL DE LA BODA</t>
  </si>
  <si>
    <t>La matriz conserva el patrón mensual/anual de la base: categorías en filas, meses en columnas y total calculado a la derecha. Puedes cambiar los importes sin mover el encuadre.</t>
  </si>
  <si>
    <t>PLANIFICADOR DE BODA · PAGOS REALES</t>
  </si>
  <si>
    <t>Pagos reales de proveedores</t>
  </si>
  <si>
    <t>Cada importe se obtiene del registro de proveedores para comparar lo previsto con lo ya pagado.</t>
  </si>
  <si>
    <t>PAGOS REALES · FÓRMULAS DESDE PROVEEDORES</t>
  </si>
  <si>
    <t>TOTAL PAGADO</t>
  </si>
  <si>
    <t>La hoja sigue el patrón de presupuesto frente a real, pero centraliza los pagos en Proveedores para evitar duplicidades y facilitar la revisión de contratos.</t>
  </si>
  <si>
    <t>PLANIFICADOR DE BODA · PROVEEDORES</t>
  </si>
  <si>
    <t>Registro de proveedores y pagos</t>
  </si>
  <si>
    <t>Anota cada contrato o desembolso una sola vez; las hojas de análisis se alimentan de este diario.</t>
  </si>
  <si>
    <t>REGISTRO OPERATIVO · PROVEEDORES Y PAGOS</t>
  </si>
  <si>
    <t>Reserva del espacio</t>
  </si>
  <si>
    <t>Vestido y pruebas</t>
  </si>
  <si>
    <t>Invitaciones</t>
  </si>
  <si>
    <t>Reserva fotógrafo</t>
  </si>
  <si>
    <t>Aportación familiar</t>
  </si>
  <si>
    <t>Fondo de imprevistos</t>
  </si>
  <si>
    <t>Una fila = un contrato, pago o ajuste. Usa Tipo y Estado para que los resúmenes distingan lo comprometido de lo abonado.</t>
  </si>
  <si>
    <t>Las listas desplegables mantienen consistentes categorías, responsables y estados en todo el libro.</t>
  </si>
  <si>
    <t>PLANIFICADOR DE BODA · FLUJO DE PAGOS</t>
  </si>
  <si>
    <t>Flujo mensual de pagos</t>
  </si>
  <si>
    <t>La lectura anual combina presupuesto, ingresos, pagos reales, ajustes y saldo previsto.</t>
  </si>
  <si>
    <t>LECTURA MENSUAL DE LA BODA</t>
  </si>
  <si>
    <t>Presupuesto plan</t>
  </si>
  <si>
    <t>Ingresos</t>
  </si>
  <si>
    <t>Pagos previstos</t>
  </si>
  <si>
    <t>Ajustes</t>
  </si>
  <si>
    <t>Saldo previsto</t>
  </si>
  <si>
    <t>El saldo previsto no sustituye una revisión contractual: sirve para ver cuándo se concentran los desembolsos y qué pagos quedan pendientes.</t>
  </si>
  <si>
    <t>PLANIFICADOR DE BODA · RESUMEN</t>
  </si>
  <si>
    <t>El estado de la boda en una sola pantalla</t>
  </si>
  <si>
    <t>Panel de decisión para presupuesto, pagos, pendientes e invitados confirmados.</t>
  </si>
  <si>
    <t>PRESUPUESTO PLANIFICADO</t>
  </si>
  <si>
    <t>PAGOS REALES</t>
  </si>
  <si>
    <t>PENDIENTE</t>
  </si>
  <si>
    <t>INVITADOS CONFIRMADOS</t>
  </si>
  <si>
    <t>PRESUPUESTO Y PAGOS POR CATEGORÍA</t>
  </si>
  <si>
    <t>% pagado</t>
  </si>
  <si>
    <t>La diferencia es Plan - Pagado: positiva = aún queda presupuesto; negativa = la categoría ha superado lo previsto.</t>
  </si>
  <si>
    <t>PLANIFICADOR DE BODA · CHECKLIST</t>
  </si>
  <si>
    <t>Checklist de la boda</t>
  </si>
  <si>
    <t>Convierte las decisiones importantes en tareas con responsable, fecha y estado.</t>
  </si>
  <si>
    <t>TAREAS Y MOMENTOS CLAVE</t>
  </si>
  <si>
    <t>Tarea</t>
  </si>
  <si>
    <t>Área</t>
  </si>
  <si>
    <t>Responsable</t>
  </si>
  <si>
    <t>Fecha límite</t>
  </si>
  <si>
    <t>Prioridad</t>
  </si>
  <si>
    <t>Días</t>
  </si>
  <si>
    <t>Notas</t>
  </si>
  <si>
    <t>Cerrar contrato del lugar</t>
  </si>
  <si>
    <t>Lugar</t>
  </si>
  <si>
    <t>Alta</t>
  </si>
  <si>
    <t>Revisar horarios y montaje</t>
  </si>
  <si>
    <t>Enviar invitaciones</t>
  </si>
  <si>
    <t>Lista final pendiente</t>
  </si>
  <si>
    <t>Confirmar menú y música</t>
  </si>
  <si>
    <t>Celebración</t>
  </si>
  <si>
    <t>Media</t>
  </si>
  <si>
    <t>Cita con proveedores</t>
  </si>
  <si>
    <t>El checklist comparte la misma retícula de seguimiento de la base, pero cambia metas financieras por decisiones concretas de la boda.</t>
  </si>
  <si>
    <t>PLANIFICADOR DE BODA · INVITADOS</t>
  </si>
  <si>
    <t>Invitados y mesas</t>
  </si>
  <si>
    <t>Controla grupos, confirmaciones, preferencias de menú y distribución de mesas.</t>
  </si>
  <si>
    <t>LISTA DE INVITADOS</t>
  </si>
  <si>
    <t>Grupo</t>
  </si>
  <si>
    <t>Confirmados</t>
  </si>
  <si>
    <t>Menú</t>
  </si>
  <si>
    <t>Mesa</t>
  </si>
  <si>
    <t>Familia pareja A</t>
  </si>
  <si>
    <t>Estándar</t>
  </si>
  <si>
    <t>Pendientes 5 respuestas</t>
  </si>
  <si>
    <t>Familia pareja B</t>
  </si>
  <si>
    <t>Vegetariano</t>
  </si>
  <si>
    <t>Revisar teléfonos</t>
  </si>
  <si>
    <t>Amigos</t>
  </si>
  <si>
    <t>Mixto</t>
  </si>
  <si>
    <t>Confirmar acompañantes</t>
  </si>
  <si>
    <t>Las cifras de confirmados alimentan la tarjeta del Resumen y ayudan a decidir menú, mesas y cantidad de papelería.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</si>
</sst>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.##000"/>
  </numFmts>
  <fonts count="15" x14ac:knownFonts="1">
    <font>
      <sz val="11"/>
      <color theme="1"/>
      <name val="Calibri"/>
      <family val="2"/>
      <scheme val="minor"/>
    </font>
    <font>
      <sz val="10"/>
      <color rgb="FFA85D73"/>
      <name val="Aptos"/>
    </font>
    <font>
      <b/>
      <sz val="23"/>
      <color rgb="FF5A2E46"/>
      <name val="Aptos"/>
    </font>
    <font>
      <sz val="10"/>
      <color rgb="FF7E6871"/>
      <name val="Aptos"/>
    </font>
    <font>
      <b/>
      <sz val="10"/>
      <color rgb="FFFFFFFF"/>
      <name val="Aptos"/>
    </font>
    <font>
      <b/>
      <sz val="12"/>
      <color rgb="FFA85D73"/>
      <name val="Aptos"/>
    </font>
    <font>
      <b/>
      <sz val="10"/>
      <color rgb="FF5A2E46"/>
      <name val="Aptos"/>
    </font>
    <font>
      <sz val="9"/>
      <color rgb="FF7E6871"/>
      <name val="Aptos"/>
    </font>
    <font>
      <b/>
      <sz val="9"/>
      <color rgb="FF7E6871"/>
      <name val="Aptos"/>
    </font>
    <font>
      <b/>
      <sz val="11"/>
      <color rgb="FF5A2E46"/>
      <name val="Aptos"/>
    </font>
    <font>
      <b/>
      <sz val="9"/>
      <color rgb="FF5A2E46"/>
      <name val="Aptos"/>
    </font>
    <font>
      <sz val="9"/>
      <color rgb="FF3B2B32"/>
      <name val="Aptos"/>
    </font>
    <font>
      <b/>
      <sz val="10"/>
      <color rgb="FF3B2B32"/>
      <name val="Aptos"/>
    </font>
    <font>
      <b/>
      <sz val="9"/>
      <color rgb="FFFFFFFF"/>
      <name val="Aptos"/>
    </font>
    <font>
      <sz val="10"/>
      <color rgb="FF3B2B32"/>
      <name val="Aptos"/>
    </font>
  </fonts>
  <fills count="12">
    <fill>
      <patternFill patternType="none"/>
    </fill>
    <fill>
      <patternFill patternType="gray125"/>
    </fill>
    <fill>
      <patternFill patternType="solid">
        <fgColor rgb="FFA85D73"/>
      </patternFill>
    </fill>
    <fill>
      <patternFill patternType="solid">
        <fgColor rgb="FFF5E3E8"/>
      </patternFill>
    </fill>
    <fill>
      <patternFill patternType="solid">
        <fgColor rgb="FFFFFFFF"/>
      </patternFill>
    </fill>
    <fill>
      <patternFill patternType="solid">
        <fgColor rgb="FF9A6178"/>
      </patternFill>
    </fill>
    <fill>
      <patternFill patternType="solid">
        <fgColor rgb="FFFBF7F4"/>
      </patternFill>
    </fill>
    <fill>
      <patternFill patternType="solid">
        <fgColor rgb="FFF3EAF0"/>
      </patternFill>
    </fill>
    <fill>
      <patternFill patternType="solid">
        <fgColor rgb="FF5A2E46"/>
      </patternFill>
    </fill>
    <fill>
      <patternFill patternType="solid">
        <fgColor rgb="FFF6E8DF"/>
      </patternFill>
    </fill>
    <fill>
      <patternFill patternType="solid">
        <fgColor rgb="FFF8EFF2"/>
      </patternFill>
    </fill>
    <fill>
      <patternFill patternType="solid">
        <fgColor rgb="FFB9798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1D2D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5" fillId="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4" fontId="14" fillId="7" borderId="1" xfId="0" applyNumberFormat="1" applyFont="1" applyFill="1" applyBorder="1" applyAlignment="1">
      <alignment horizontal="right" vertical="center" wrapText="1"/>
    </xf>
    <xf numFmtId="164" fontId="14" fillId="7" borderId="1" xfId="0" applyNumberFormat="1" applyFont="1" applyFill="1" applyBorder="1" applyAlignment="1">
      <alignment horizontal="righ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4" fontId="14" fillId="9" borderId="1" xfId="0" applyNumberFormat="1" applyFont="1" applyFill="1" applyBorder="1" applyAlignment="1">
      <alignment horizontal="right" vertical="center" wrapText="1"/>
    </xf>
    <xf numFmtId="14" fontId="14" fillId="9" borderId="1" xfId="0" applyNumberFormat="1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righ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164" fontId="12" fillId="9" borderId="2" xfId="0" applyNumberFormat="1" applyFont="1" applyFill="1" applyBorder="1" applyAlignment="1">
      <alignment horizontal="left" vertical="center"/>
    </xf>
    <xf numFmtId="4" fontId="6" fillId="7" borderId="2" xfId="0" applyNumberFormat="1" applyFont="1" applyFill="1" applyBorder="1" applyAlignment="1">
      <alignment horizontal="left" vertical="center"/>
    </xf>
    <xf numFmtId="14" fontId="14" fillId="9" borderId="1" xfId="0" applyNumberFormat="1" applyFont="1" applyFill="1" applyBorder="1" applyAlignment="1">
      <alignment horizontal="right" vertical="center" wrapText="1"/>
    </xf>
    <xf numFmtId="0" fontId="14" fillId="7" borderId="1" xfId="0" applyFont="1" applyFill="1" applyBorder="1" applyAlignment="1">
      <alignment horizontal="right" vertical="center" wrapText="1"/>
    </xf>
    <xf numFmtId="0" fontId="14" fillId="3" borderId="1" xfId="0" applyFont="1" applyFill="1" applyBorder="1" applyAlignment="1">
      <alignment horizontal="right" vertical="center" wrapText="1"/>
    </xf>
    <xf numFmtId="0" fontId="14" fillId="3" borderId="2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0" fillId="0" borderId="2" xfId="0" applyBorder="1"/>
    <xf numFmtId="1" fontId="14" fillId="9" borderId="1" xfId="0" applyNumberFormat="1" applyFont="1" applyFill="1" applyBorder="1" applyAlignment="1">
      <alignment horizontal="righ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/>
    <xf numFmtId="0" fontId="11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0" fillId="0" borderId="2" xfId="0" applyBorder="1"/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/>
    </xf>
    <xf numFmtId="14" fontId="9" fillId="7" borderId="2" xfId="0" applyNumberFormat="1" applyFont="1" applyFill="1" applyBorder="1" applyAlignment="1">
      <alignment horizontal="left" vertical="center"/>
    </xf>
    <xf numFmtId="165" fontId="9" fillId="7" borderId="1" xfId="0" applyNumberFormat="1" applyFont="1" applyFill="1" applyBorder="1" applyAlignment="1">
      <alignment horizontal="left" vertical="center"/>
    </xf>
    <xf numFmtId="1" fontId="9" fillId="7" borderId="1" xfId="0" applyNumberFormat="1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left" vertical="center"/>
    </xf>
    <xf numFmtId="4" fontId="6" fillId="3" borderId="2" xfId="0" applyNumberFormat="1" applyFont="1" applyFill="1" applyBorder="1" applyAlignment="1">
      <alignment horizontal="left" vertical="center"/>
    </xf>
    <xf numFmtId="4" fontId="0" fillId="7" borderId="1" xfId="0" applyNumberFormat="1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165" fontId="14" fillId="7" borderId="1" xfId="0" applyNumberFormat="1" applyFont="1" applyFill="1" applyBorder="1" applyAlignment="1">
      <alignment horizontal="right" vertical="center" wrapText="1"/>
    </xf>
    <xf numFmtId="165" fontId="0" fillId="7" borderId="1" xfId="0" applyNumberFormat="1" applyFont="1" applyFill="1" applyBorder="1" applyAlignment="1">
      <alignment horizontal="right" vertical="center" wrapText="1"/>
    </xf>
    <xf numFmtId="165" fontId="6" fillId="3" borderId="2" xfId="0" applyNumberFormat="1" applyFont="1" applyFill="1" applyBorder="1" applyAlignment="1">
      <alignment horizontal="left" vertical="center"/>
    </xf>
    <xf numFmtId="14" fontId="6" fillId="9" borderId="1" xfId="0" applyNumberFormat="1" applyFont="1" applyFill="1" applyBorder="1" applyAlignment="1">
      <alignment horizontal="left" vertical="center"/>
    </xf>
    <xf numFmtId="165" fontId="0" fillId="3" borderId="2" xfId="0" applyNumberFormat="1" applyFont="1" applyFill="1" applyBorder="1" applyAlignment="1">
      <alignment horizontal="left" vertical="center"/>
    </xf>
    <xf numFmtId="165" fontId="0" fillId="10" borderId="2" xfId="0" applyNumberFormat="1" applyFont="1" applyFill="1" applyBorder="1" applyAlignment="1">
      <alignment horizontal="left" vertical="center"/>
    </xf>
    <xf numFmtId="165" fontId="0" fillId="0" borderId="2" xfId="0" applyNumberFormat="1" applyBorder="1"/>
    <xf numFmtId="1" fontId="0" fillId="9" borderId="2" xfId="0" applyNumberFormat="1" applyFont="1" applyFill="1" applyBorder="1" applyAlignment="1">
      <alignment horizontal="left" vertical="center"/>
    </xf>
    <xf numFmtId="164" fontId="6" fillId="3" borderId="2" xfId="0" applyNumberFormat="1" applyFont="1" applyFill="1" applyBorder="1" applyAlignment="1">
      <alignment horizontal="left" vertical="center"/>
    </xf>
    <xf numFmtId="14" fontId="14" fillId="7" borderId="1" xfId="0" applyNumberFormat="1" applyFont="1" applyFill="1" applyBorder="1" applyAlignment="1">
      <alignment horizontal="right" vertical="center" wrapText="1"/>
    </xf>
    <xf numFmtId="1" fontId="14" fillId="7" borderId="1" xfId="0" applyNumberFormat="1" applyFont="1" applyFill="1" applyBorder="1" applyAlignment="1">
      <alignment horizontal="right" vertical="center" wrapText="1"/>
    </xf>
    <xf numFmtId="9" fontId="14" fillId="7" borderId="1" xfId="0" applyNumberFormat="1" applyFont="1" applyFill="1" applyBorder="1" applyAlignment="1">
      <alignment horizontal="right" vertical="center" wrapText="1"/>
    </xf>
    <xf numFmtId="1" fontId="6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6">
    <dxf>
      <numFmt numFmtId="165" formatCode="#.##000"/>
    </dxf>
    <dxf>
      <numFmt numFmtId="165" formatCode="#.##000"/>
    </dxf>
    <dxf>
      <numFmt numFmtId="165" formatCode="#.##000"/>
    </dxf>
    <dxf>
      <numFmt numFmtId="165" formatCode="#.##000"/>
    </dxf>
    <dxf>
      <numFmt numFmtId="165" formatCode="#.##000"/>
    </dxf>
    <dxf>
      <numFmt numFmtId="165" formatCode="#.##000"/>
    </dxf>
    <dxf>
      <numFmt numFmtId="1" formatCode="0"/>
    </dxf>
    <dxf>
      <numFmt numFmtId="1" formatCode="0"/>
    </dxf>
    <dxf>
      <numFmt numFmtId="13" formatCode="0%"/>
    </dxf>
    <dxf>
      <numFmt numFmtId="1" formatCode="0"/>
    </dxf>
    <dxf>
      <numFmt numFmtId="19" formatCode="dd/mm/yyyy"/>
    </dxf>
    <dxf>
      <numFmt numFmtId="1" formatCode="0"/>
    </dxf>
    <dxf>
      <numFmt numFmtId="165" formatCode="#.##000"/>
    </dxf>
    <dxf>
      <numFmt numFmtId="19" formatCode="dd/mm/yyyy"/>
    </dxf>
    <dxf>
      <fill>
        <patternFill patternType="solid">
          <fgColor rgb="FFF8EFF2"/>
        </patternFill>
      </fill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ES"/>
              <a:t>Presupuesto frente a pagos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Resumen!$C$11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A85D73"/>
            </a:solidFill>
            <a:ln>
              <a:prstDash val="solid"/>
            </a:ln>
          </c:spPr>
          <c:invertIfNegative val="1"/>
          <c:cat>
            <c:strRef>
              <c:f>Resumen!$B$12:$B$18</c:f>
              <c:strCache>
                <c:ptCount val="7"/>
                <c:pt idx="0">
                  <c:v>Lugar y ceremonia</c:v>
                </c:pt>
                <c:pt idx="1">
                  <c:v>Banquete</c:v>
                </c:pt>
                <c:pt idx="2">
                  <c:v>Fotografía y vídeo</c:v>
                </c:pt>
                <c:pt idx="3">
                  <c:v>Música</c:v>
                </c:pt>
                <c:pt idx="4">
                  <c:v>Decoración y flores</c:v>
                </c:pt>
                <c:pt idx="5">
                  <c:v>Vestuario y belleza</c:v>
                </c:pt>
                <c:pt idx="6">
                  <c:v>Papelería y detalles</c:v>
                </c:pt>
              </c:strCache>
            </c:strRef>
          </c:cat>
          <c:val>
            <c:numRef>
              <c:f>Resumen!$C$12:$C$18</c:f>
              <c:numCache>
                <c:formatCode>#,##0.00</c:formatCode>
                <c:ptCount val="7"/>
                <c:pt idx="0">
                  <c:v>3500</c:v>
                </c:pt>
                <c:pt idx="1">
                  <c:v>5000</c:v>
                </c:pt>
                <c:pt idx="2">
                  <c:v>1800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  <c:pt idx="6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91-4B26-8E34-44F5AE80D3F3}"/>
            </c:ext>
          </c:extLst>
        </c:ser>
        <c:ser>
          <c:idx val="1"/>
          <c:order val="1"/>
          <c:tx>
            <c:strRef>
              <c:f>Resumen!$D$11</c:f>
              <c:strCache>
                <c:ptCount val="1"/>
                <c:pt idx="0">
                  <c:v>Pagado</c:v>
                </c:pt>
              </c:strCache>
            </c:strRef>
          </c:tx>
          <c:spPr>
            <a:solidFill>
              <a:srgbClr val="9A6178"/>
            </a:solidFill>
            <a:ln>
              <a:prstDash val="solid"/>
            </a:ln>
          </c:spPr>
          <c:invertIfNegative val="1"/>
          <c:cat>
            <c:strRef>
              <c:f>Resumen!$B$12:$B$18</c:f>
              <c:strCache>
                <c:ptCount val="7"/>
                <c:pt idx="0">
                  <c:v>Lugar y ceremonia</c:v>
                </c:pt>
                <c:pt idx="1">
                  <c:v>Banquete</c:v>
                </c:pt>
                <c:pt idx="2">
                  <c:v>Fotografía y vídeo</c:v>
                </c:pt>
                <c:pt idx="3">
                  <c:v>Música</c:v>
                </c:pt>
                <c:pt idx="4">
                  <c:v>Decoración y flores</c:v>
                </c:pt>
                <c:pt idx="5">
                  <c:v>Vestuario y belleza</c:v>
                </c:pt>
                <c:pt idx="6">
                  <c:v>Papelería y detalles</c:v>
                </c:pt>
              </c:strCache>
            </c:strRef>
          </c:cat>
          <c:val>
            <c:numRef>
              <c:f>Resumen!$D$12:$D$18</c:f>
              <c:numCache>
                <c:formatCode>#,##0.00</c:formatCode>
                <c:ptCount val="7"/>
                <c:pt idx="0">
                  <c:v>2000</c:v>
                </c:pt>
                <c:pt idx="1">
                  <c:v>0</c:v>
                </c:pt>
                <c:pt idx="2">
                  <c:v>600</c:v>
                </c:pt>
                <c:pt idx="3">
                  <c:v>0</c:v>
                </c:pt>
                <c:pt idx="4">
                  <c:v>0</c:v>
                </c:pt>
                <c:pt idx="5">
                  <c:v>800</c:v>
                </c:pt>
                <c:pt idx="6">
                  <c:v>350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891-4B26-8E34-44F5AE80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Importe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ES"/>
              <a:t>Ingresos y pagos de la boda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'Flujo de pagos'!$C$7</c:f>
              <c:strCache>
                <c:ptCount val="1"/>
                <c:pt idx="0">
                  <c:v>Presupuesto plan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'Flujo de pagos'!$B$8:$B$19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'Flujo de pagos'!$C$8:$C$19</c:f>
              <c:numCache>
                <c:formatCode>#.##000</c:formatCode>
                <c:ptCount val="12"/>
                <c:pt idx="0">
                  <c:v>550</c:v>
                </c:pt>
                <c:pt idx="1">
                  <c:v>1050</c:v>
                </c:pt>
                <c:pt idx="2">
                  <c:v>2650</c:v>
                </c:pt>
                <c:pt idx="3">
                  <c:v>350</c:v>
                </c:pt>
                <c:pt idx="4">
                  <c:v>1900</c:v>
                </c:pt>
                <c:pt idx="5">
                  <c:v>10700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F3-4D37-A62F-785F9BFAAFB8}"/>
            </c:ext>
          </c:extLst>
        </c:ser>
        <c:ser>
          <c:idx val="1"/>
          <c:order val="1"/>
          <c:tx>
            <c:strRef>
              <c:f>'Flujo de pagos'!$D$7</c:f>
              <c:strCache>
                <c:ptCount val="1"/>
                <c:pt idx="0">
                  <c:v>Ingresos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'Flujo de pagos'!$B$8:$B$19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'Flujo de pagos'!$D$8:$D$19</c:f>
              <c:numCache>
                <c:formatCode>#.##000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DF3-4D37-A62F-785F9BFAA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Importe</a:t>
                </a:r>
              </a:p>
            </c:rich>
          </c:tx>
          <c:overlay val="1"/>
        </c:title>
        <c:numFmt formatCode="#.##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Invitados'!A1"/><Relationship Id="rId3" Type="http://schemas.openxmlformats.org/officeDocument/2006/relationships/hyperlink" Target="#'Presupuesto'!A1"/><Relationship Id="rId7" Type="http://schemas.openxmlformats.org/officeDocument/2006/relationships/hyperlink" Target="#'Checklist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pagos'!A1"/><Relationship Id="rId11" Type="http://schemas.openxmlformats.org/officeDocument/2006/relationships/image" Target="../media/image2.svg"/><Relationship Id="rId5" Type="http://schemas.openxmlformats.org/officeDocument/2006/relationships/hyperlink" Target="#'Proveedores'!A1"/><Relationship Id="rId10" Type="http://schemas.openxmlformats.org/officeDocument/2006/relationships/image" Target="../media/image1.png"/><Relationship Id="rId4" Type="http://schemas.openxmlformats.org/officeDocument/2006/relationships/hyperlink" Target="#'Pagos reales'!A1"/><Relationship Id="rId9" Type="http://schemas.openxmlformats.org/officeDocument/2006/relationships/hyperlink" Target="#'Listas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Checklist'!A1"/><Relationship Id="rId3" Type="http://schemas.openxmlformats.org/officeDocument/2006/relationships/hyperlink" Target="#'Resumen'!A1"/><Relationship Id="rId7" Type="http://schemas.openxmlformats.org/officeDocument/2006/relationships/hyperlink" Target="#'Flujo de pagos'!A1"/><Relationship Id="rId12" Type="http://schemas.openxmlformats.org/officeDocument/2006/relationships/image" Target="../media/image2.svg"/><Relationship Id="rId2" Type="http://schemas.openxmlformats.org/officeDocument/2006/relationships/hyperlink" Target="#'Inicio'!A1"/><Relationship Id="rId1" Type="http://schemas.openxmlformats.org/officeDocument/2006/relationships/chart" Target="../charts/chart1.xml"/><Relationship Id="rId6" Type="http://schemas.openxmlformats.org/officeDocument/2006/relationships/hyperlink" Target="#'Proveedores'!A1"/><Relationship Id="rId11" Type="http://schemas.openxmlformats.org/officeDocument/2006/relationships/image" Target="../media/image1.png"/><Relationship Id="rId5" Type="http://schemas.openxmlformats.org/officeDocument/2006/relationships/hyperlink" Target="#'Pagos reales'!A1"/><Relationship Id="rId10" Type="http://schemas.openxmlformats.org/officeDocument/2006/relationships/hyperlink" Target="#'Listas'!A1"/><Relationship Id="rId4" Type="http://schemas.openxmlformats.org/officeDocument/2006/relationships/hyperlink" Target="#'Presupuesto'!A1"/><Relationship Id="rId9" Type="http://schemas.openxmlformats.org/officeDocument/2006/relationships/hyperlink" Target="#'Invitados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Invitados'!A1"/><Relationship Id="rId3" Type="http://schemas.openxmlformats.org/officeDocument/2006/relationships/hyperlink" Target="#'Presupuesto'!A1"/><Relationship Id="rId7" Type="http://schemas.openxmlformats.org/officeDocument/2006/relationships/hyperlink" Target="#'Checklist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pagos'!A1"/><Relationship Id="rId11" Type="http://schemas.openxmlformats.org/officeDocument/2006/relationships/image" Target="../media/image2.svg"/><Relationship Id="rId5" Type="http://schemas.openxmlformats.org/officeDocument/2006/relationships/hyperlink" Target="#'Proveedores'!A1"/><Relationship Id="rId10" Type="http://schemas.openxmlformats.org/officeDocument/2006/relationships/image" Target="../media/image1.png"/><Relationship Id="rId4" Type="http://schemas.openxmlformats.org/officeDocument/2006/relationships/hyperlink" Target="#'Pagos reales'!A1"/><Relationship Id="rId9" Type="http://schemas.openxmlformats.org/officeDocument/2006/relationships/hyperlink" Target="#'Listas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Invitados'!A1"/><Relationship Id="rId3" Type="http://schemas.openxmlformats.org/officeDocument/2006/relationships/hyperlink" Target="#'Presupuesto'!A1"/><Relationship Id="rId7" Type="http://schemas.openxmlformats.org/officeDocument/2006/relationships/hyperlink" Target="#'Checklist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pagos'!A1"/><Relationship Id="rId11" Type="http://schemas.openxmlformats.org/officeDocument/2006/relationships/image" Target="../media/image2.svg"/><Relationship Id="rId5" Type="http://schemas.openxmlformats.org/officeDocument/2006/relationships/hyperlink" Target="#'Proveedores'!A1"/><Relationship Id="rId10" Type="http://schemas.openxmlformats.org/officeDocument/2006/relationships/image" Target="../media/image1.png"/><Relationship Id="rId4" Type="http://schemas.openxmlformats.org/officeDocument/2006/relationships/hyperlink" Target="#'Pagos reales'!A1"/><Relationship Id="rId9" Type="http://schemas.openxmlformats.org/officeDocument/2006/relationships/hyperlink" Target="#'Listas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Invitados'!A1"/><Relationship Id="rId3" Type="http://schemas.openxmlformats.org/officeDocument/2006/relationships/hyperlink" Target="#'Presupuesto'!A1"/><Relationship Id="rId7" Type="http://schemas.openxmlformats.org/officeDocument/2006/relationships/hyperlink" Target="#'Checklist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pagos'!A1"/><Relationship Id="rId11" Type="http://schemas.openxmlformats.org/officeDocument/2006/relationships/image" Target="../media/image2.svg"/><Relationship Id="rId5" Type="http://schemas.openxmlformats.org/officeDocument/2006/relationships/hyperlink" Target="#'Proveedores'!A1"/><Relationship Id="rId10" Type="http://schemas.openxmlformats.org/officeDocument/2006/relationships/image" Target="../media/image1.png"/><Relationship Id="rId4" Type="http://schemas.openxmlformats.org/officeDocument/2006/relationships/hyperlink" Target="#'Pagos reales'!A1"/><Relationship Id="rId9" Type="http://schemas.openxmlformats.org/officeDocument/2006/relationships/hyperlink" Target="#'Listas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Checklist'!A1"/><Relationship Id="rId3" Type="http://schemas.openxmlformats.org/officeDocument/2006/relationships/hyperlink" Target="#'Resumen'!A1"/><Relationship Id="rId7" Type="http://schemas.openxmlformats.org/officeDocument/2006/relationships/hyperlink" Target="#'Flujo de pagos'!A1"/><Relationship Id="rId12" Type="http://schemas.openxmlformats.org/officeDocument/2006/relationships/image" Target="../media/image2.svg"/><Relationship Id="rId2" Type="http://schemas.openxmlformats.org/officeDocument/2006/relationships/hyperlink" Target="#'Inicio'!A1"/><Relationship Id="rId1" Type="http://schemas.openxmlformats.org/officeDocument/2006/relationships/chart" Target="../charts/chart2.xml"/><Relationship Id="rId6" Type="http://schemas.openxmlformats.org/officeDocument/2006/relationships/hyperlink" Target="#'Proveedores'!A1"/><Relationship Id="rId11" Type="http://schemas.openxmlformats.org/officeDocument/2006/relationships/image" Target="../media/image1.png"/><Relationship Id="rId5" Type="http://schemas.openxmlformats.org/officeDocument/2006/relationships/hyperlink" Target="#'Pagos reales'!A1"/><Relationship Id="rId10" Type="http://schemas.openxmlformats.org/officeDocument/2006/relationships/hyperlink" Target="#'Listas'!A1"/><Relationship Id="rId4" Type="http://schemas.openxmlformats.org/officeDocument/2006/relationships/hyperlink" Target="#'Presupuesto'!A1"/><Relationship Id="rId9" Type="http://schemas.openxmlformats.org/officeDocument/2006/relationships/hyperlink" Target="#'Invitados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Invitados'!A1"/><Relationship Id="rId3" Type="http://schemas.openxmlformats.org/officeDocument/2006/relationships/hyperlink" Target="#'Presupuesto'!A1"/><Relationship Id="rId7" Type="http://schemas.openxmlformats.org/officeDocument/2006/relationships/hyperlink" Target="#'Checklist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pagos'!A1"/><Relationship Id="rId11" Type="http://schemas.openxmlformats.org/officeDocument/2006/relationships/image" Target="../media/image2.svg"/><Relationship Id="rId5" Type="http://schemas.openxmlformats.org/officeDocument/2006/relationships/hyperlink" Target="#'Proveedores'!A1"/><Relationship Id="rId10" Type="http://schemas.openxmlformats.org/officeDocument/2006/relationships/image" Target="../media/image1.png"/><Relationship Id="rId4" Type="http://schemas.openxmlformats.org/officeDocument/2006/relationships/hyperlink" Target="#'Pagos reales'!A1"/><Relationship Id="rId9" Type="http://schemas.openxmlformats.org/officeDocument/2006/relationships/hyperlink" Target="#'Listas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Invitados'!A1"/><Relationship Id="rId3" Type="http://schemas.openxmlformats.org/officeDocument/2006/relationships/hyperlink" Target="#'Presupuesto'!A1"/><Relationship Id="rId7" Type="http://schemas.openxmlformats.org/officeDocument/2006/relationships/hyperlink" Target="#'Checklist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pagos'!A1"/><Relationship Id="rId11" Type="http://schemas.openxmlformats.org/officeDocument/2006/relationships/image" Target="../media/image2.svg"/><Relationship Id="rId5" Type="http://schemas.openxmlformats.org/officeDocument/2006/relationships/hyperlink" Target="#'Proveedores'!A1"/><Relationship Id="rId10" Type="http://schemas.openxmlformats.org/officeDocument/2006/relationships/image" Target="../media/image1.png"/><Relationship Id="rId4" Type="http://schemas.openxmlformats.org/officeDocument/2006/relationships/hyperlink" Target="#'Pagos reales'!A1"/><Relationship Id="rId9" Type="http://schemas.openxmlformats.org/officeDocument/2006/relationships/hyperlink" Target="#'Listas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Invitados'!A1"/><Relationship Id="rId3" Type="http://schemas.openxmlformats.org/officeDocument/2006/relationships/hyperlink" Target="#'Presupuesto'!A1"/><Relationship Id="rId7" Type="http://schemas.openxmlformats.org/officeDocument/2006/relationships/hyperlink" Target="#'Checklist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pagos'!A1"/><Relationship Id="rId11" Type="http://schemas.openxmlformats.org/officeDocument/2006/relationships/image" Target="../media/image2.svg"/><Relationship Id="rId5" Type="http://schemas.openxmlformats.org/officeDocument/2006/relationships/hyperlink" Target="#'Proveedores'!A1"/><Relationship Id="rId10" Type="http://schemas.openxmlformats.org/officeDocument/2006/relationships/image" Target="../media/image1.png"/><Relationship Id="rId4" Type="http://schemas.openxmlformats.org/officeDocument/2006/relationships/hyperlink" Target="#'Pagos reales'!A1"/><Relationship Id="rId9" Type="http://schemas.openxmlformats.org/officeDocument/2006/relationships/hyperlink" Target="#'Lista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25400</xdr:rowOff>
    </xdr:from>
    <xdr:to>
      <xdr:col>1</xdr:col>
      <xdr:colOff>863600</xdr:colOff>
      <xdr:row>0</xdr:row>
      <xdr:rowOff>292100</xdr:rowOff>
    </xdr:to>
    <xdr:sp macro="" textlink="">
      <xdr:nvSpPr>
        <xdr:cNvPr id="11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737196-E54A-1D1F-50FA-6196196C2CD1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5A2E4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914400</xdr:colOff>
      <xdr:row>0</xdr:row>
      <xdr:rowOff>25400</xdr:rowOff>
    </xdr:from>
    <xdr:to>
      <xdr:col>2</xdr:col>
      <xdr:colOff>577850</xdr:colOff>
      <xdr:row>0</xdr:row>
      <xdr:rowOff>292100</xdr:rowOff>
    </xdr:to>
    <xdr:sp macro="" textlink="">
      <xdr:nvSpPr>
        <xdr:cNvPr id="1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006440-8560-3F67-1038-417152B426D4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628650</xdr:colOff>
      <xdr:row>0</xdr:row>
      <xdr:rowOff>25400</xdr:rowOff>
    </xdr:from>
    <xdr:to>
      <xdr:col>3</xdr:col>
      <xdr:colOff>158750</xdr:colOff>
      <xdr:row>0</xdr:row>
      <xdr:rowOff>292100</xdr:rowOff>
    </xdr:to>
    <xdr:sp macro="" textlink="">
      <xdr:nvSpPr>
        <xdr:cNvPr id="1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3B9211-8AA8-F6C5-9F81-92A215E8B904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209550</xdr:colOff>
      <xdr:row>0</xdr:row>
      <xdr:rowOff>25400</xdr:rowOff>
    </xdr:from>
    <xdr:to>
      <xdr:col>3</xdr:col>
      <xdr:colOff>1073150</xdr:colOff>
      <xdr:row>0</xdr:row>
      <xdr:rowOff>292100</xdr:rowOff>
    </xdr:to>
    <xdr:sp macro="" textlink="">
      <xdr:nvSpPr>
        <xdr:cNvPr id="15" name="Nav_Pag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CE2FEA4-6907-1A30-C293-A0255E07FEDE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Pagos reales</a:t>
          </a:r>
        </a:p>
      </xdr:txBody>
    </xdr:sp>
    <xdr:clientData/>
  </xdr:twoCellAnchor>
  <xdr:twoCellAnchor>
    <xdr:from>
      <xdr:col>3</xdr:col>
      <xdr:colOff>1123950</xdr:colOff>
      <xdr:row>0</xdr:row>
      <xdr:rowOff>25400</xdr:rowOff>
    </xdr:from>
    <xdr:to>
      <xdr:col>4</xdr:col>
      <xdr:colOff>654050</xdr:colOff>
      <xdr:row>0</xdr:row>
      <xdr:rowOff>292100</xdr:rowOff>
    </xdr:to>
    <xdr:sp macro="" textlink="">
      <xdr:nvSpPr>
        <xdr:cNvPr id="16" name="Nav_Proveedor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1137D7-C012-5312-7EB0-A038D53010CA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Proveedores</a:t>
          </a:r>
        </a:p>
      </xdr:txBody>
    </xdr:sp>
    <xdr:clientData/>
  </xdr:twoCellAnchor>
  <xdr:twoCellAnchor>
    <xdr:from>
      <xdr:col>4</xdr:col>
      <xdr:colOff>704850</xdr:colOff>
      <xdr:row>0</xdr:row>
      <xdr:rowOff>25400</xdr:rowOff>
    </xdr:from>
    <xdr:to>
      <xdr:col>6</xdr:col>
      <xdr:colOff>34925</xdr:colOff>
      <xdr:row>0</xdr:row>
      <xdr:rowOff>292100</xdr:rowOff>
    </xdr:to>
    <xdr:sp macro="" textlink="">
      <xdr:nvSpPr>
        <xdr:cNvPr id="17" name="Nav_Flujo_de_pag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C7BF199-5A2A-30CB-DCED-8FFCEE0B7FD5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Flujo de pa…</a:t>
          </a:r>
        </a:p>
      </xdr:txBody>
    </xdr:sp>
    <xdr:clientData/>
  </xdr:twoCellAnchor>
  <xdr:twoCellAnchor>
    <xdr:from>
      <xdr:col>6</xdr:col>
      <xdr:colOff>85725</xdr:colOff>
      <xdr:row>0</xdr:row>
      <xdr:rowOff>25400</xdr:rowOff>
    </xdr:from>
    <xdr:to>
      <xdr:col>6</xdr:col>
      <xdr:colOff>949325</xdr:colOff>
      <xdr:row>0</xdr:row>
      <xdr:rowOff>292100</xdr:rowOff>
    </xdr:to>
    <xdr:sp macro="" textlink="">
      <xdr:nvSpPr>
        <xdr:cNvPr id="18" name="Nav_Checklis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D278954-D662-0ADC-CD0B-6688CB808DE6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Checklist</a:t>
          </a:r>
        </a:p>
      </xdr:txBody>
    </xdr:sp>
    <xdr:clientData/>
  </xdr:twoCellAnchor>
  <xdr:twoCellAnchor>
    <xdr:from>
      <xdr:col>6</xdr:col>
      <xdr:colOff>1000125</xdr:colOff>
      <xdr:row>0</xdr:row>
      <xdr:rowOff>25400</xdr:rowOff>
    </xdr:from>
    <xdr:to>
      <xdr:col>7</xdr:col>
      <xdr:colOff>463550</xdr:colOff>
      <xdr:row>0</xdr:row>
      <xdr:rowOff>292100</xdr:rowOff>
    </xdr:to>
    <xdr:sp macro="" textlink="">
      <xdr:nvSpPr>
        <xdr:cNvPr id="19" name="Nav_Invitado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A8524AA-4EE7-351E-EC22-7318AE13B05B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Invitados</a:t>
          </a:r>
        </a:p>
      </xdr:txBody>
    </xdr:sp>
    <xdr:clientData/>
  </xdr:twoCellAnchor>
  <xdr:twoCellAnchor>
    <xdr:from>
      <xdr:col>7</xdr:col>
      <xdr:colOff>514350</xdr:colOff>
      <xdr:row>0</xdr:row>
      <xdr:rowOff>25400</xdr:rowOff>
    </xdr:from>
    <xdr:to>
      <xdr:col>8</xdr:col>
      <xdr:colOff>311150</xdr:colOff>
      <xdr:row>0</xdr:row>
      <xdr:rowOff>292100</xdr:rowOff>
    </xdr:to>
    <xdr:sp macro="" textlink="">
      <xdr:nvSpPr>
        <xdr:cNvPr id="2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7092327-0044-4B0A-6785-AC3CDAD4CE52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9</xdr:col>
      <xdr:colOff>711200</xdr:colOff>
      <xdr:row>1</xdr:row>
      <xdr:rowOff>12700</xdr:rowOff>
    </xdr:from>
    <xdr:to>
      <xdr:col>9</xdr:col>
      <xdr:colOff>1041400</xdr:colOff>
      <xdr:row>2</xdr:row>
      <xdr:rowOff>66675</xdr:rowOff>
    </xdr:to>
    <xdr:pic>
      <xdr:nvPicPr>
        <xdr:cNvPr id="22" name="FamilyBudgetIcon">
          <a:extLst>
            <a:ext uri="{FF2B5EF4-FFF2-40B4-BE49-F238E27FC236}">
              <a16:creationId xmlns:a16="http://schemas.microsoft.com/office/drawing/2014/main" id="{FD5A72D3-8680-6A77-7BFD-BD9C843DDB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8456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10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12" name="Nav_Inici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F5A57A-56B6-0249-C94F-5E88FBC62F6D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313657</xdr:colOff>
      <xdr:row>0</xdr:row>
      <xdr:rowOff>292100</xdr:rowOff>
    </xdr:to>
    <xdr:sp macro="" textlink="">
      <xdr:nvSpPr>
        <xdr:cNvPr id="14" name="Nav_Resume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B0AFBB-9702-E8A9-0DA2-1E8D5DE72302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5A2E4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364457</xdr:colOff>
      <xdr:row>0</xdr:row>
      <xdr:rowOff>25400</xdr:rowOff>
    </xdr:from>
    <xdr:to>
      <xdr:col>3</xdr:col>
      <xdr:colOff>165267</xdr:colOff>
      <xdr:row>0</xdr:row>
      <xdr:rowOff>292100</xdr:rowOff>
    </xdr:to>
    <xdr:sp macro="" textlink="">
      <xdr:nvSpPr>
        <xdr:cNvPr id="15" name="Nav_Presupuest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46739F8-2B1F-D1B3-D654-2432E03DADC9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216067</xdr:colOff>
      <xdr:row>0</xdr:row>
      <xdr:rowOff>25400</xdr:rowOff>
    </xdr:from>
    <xdr:to>
      <xdr:col>4</xdr:col>
      <xdr:colOff>16878</xdr:colOff>
      <xdr:row>0</xdr:row>
      <xdr:rowOff>292100</xdr:rowOff>
    </xdr:to>
    <xdr:sp macro="" textlink="">
      <xdr:nvSpPr>
        <xdr:cNvPr id="16" name="Nav_Pagos_real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6025F7D-67D4-71FC-85A1-AF9EA353E0B2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Pagos reales</a:t>
          </a:r>
        </a:p>
      </xdr:txBody>
    </xdr:sp>
    <xdr:clientData/>
  </xdr:twoCellAnchor>
  <xdr:twoCellAnchor>
    <xdr:from>
      <xdr:col>4</xdr:col>
      <xdr:colOff>67678</xdr:colOff>
      <xdr:row>0</xdr:row>
      <xdr:rowOff>25400</xdr:rowOff>
    </xdr:from>
    <xdr:to>
      <xdr:col>4</xdr:col>
      <xdr:colOff>931278</xdr:colOff>
      <xdr:row>0</xdr:row>
      <xdr:rowOff>292100</xdr:rowOff>
    </xdr:to>
    <xdr:sp macro="" textlink="">
      <xdr:nvSpPr>
        <xdr:cNvPr id="17" name="Nav_Proveedore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97E4CB7-7FE6-5056-97A3-48A7256D6C15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Proveedores</a:t>
          </a:r>
        </a:p>
      </xdr:txBody>
    </xdr:sp>
    <xdr:clientData/>
  </xdr:twoCellAnchor>
  <xdr:twoCellAnchor>
    <xdr:from>
      <xdr:col>4</xdr:col>
      <xdr:colOff>982078</xdr:colOff>
      <xdr:row>0</xdr:row>
      <xdr:rowOff>25400</xdr:rowOff>
    </xdr:from>
    <xdr:to>
      <xdr:col>5</xdr:col>
      <xdr:colOff>782888</xdr:colOff>
      <xdr:row>0</xdr:row>
      <xdr:rowOff>292100</xdr:rowOff>
    </xdr:to>
    <xdr:sp macro="" textlink="">
      <xdr:nvSpPr>
        <xdr:cNvPr id="18" name="Nav_Flujo_de_pago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39C04A9-9A11-F793-D537-E266F8053B00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Flujo de pa…</a:t>
          </a:r>
        </a:p>
      </xdr:txBody>
    </xdr:sp>
    <xdr:clientData/>
  </xdr:twoCellAnchor>
  <xdr:twoCellAnchor>
    <xdr:from>
      <xdr:col>5</xdr:col>
      <xdr:colOff>833688</xdr:colOff>
      <xdr:row>0</xdr:row>
      <xdr:rowOff>25400</xdr:rowOff>
    </xdr:from>
    <xdr:to>
      <xdr:col>7</xdr:col>
      <xdr:colOff>564314</xdr:colOff>
      <xdr:row>0</xdr:row>
      <xdr:rowOff>292100</xdr:rowOff>
    </xdr:to>
    <xdr:sp macro="" textlink="">
      <xdr:nvSpPr>
        <xdr:cNvPr id="19" name="Nav_Checklis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45658BB-EE33-214C-6CD4-BF04091E1326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Checklist</a:t>
          </a:r>
        </a:p>
      </xdr:txBody>
    </xdr:sp>
    <xdr:clientData/>
  </xdr:twoCellAnchor>
  <xdr:twoCellAnchor>
    <xdr:from>
      <xdr:col>7</xdr:col>
      <xdr:colOff>615114</xdr:colOff>
      <xdr:row>0</xdr:row>
      <xdr:rowOff>25400</xdr:rowOff>
    </xdr:from>
    <xdr:to>
      <xdr:col>8</xdr:col>
      <xdr:colOff>676609</xdr:colOff>
      <xdr:row>0</xdr:row>
      <xdr:rowOff>292100</xdr:rowOff>
    </xdr:to>
    <xdr:sp macro="" textlink="">
      <xdr:nvSpPr>
        <xdr:cNvPr id="20" name="Nav_Invitado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DD82727-3164-9852-09BA-73D72D6193A0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Invitados</a:t>
          </a:r>
        </a:p>
      </xdr:txBody>
    </xdr:sp>
    <xdr:clientData/>
  </xdr:twoCellAnchor>
  <xdr:twoCellAnchor>
    <xdr:from>
      <xdr:col>8</xdr:col>
      <xdr:colOff>727409</xdr:colOff>
      <xdr:row>0</xdr:row>
      <xdr:rowOff>25400</xdr:rowOff>
    </xdr:from>
    <xdr:to>
      <xdr:col>9</xdr:col>
      <xdr:colOff>788904</xdr:colOff>
      <xdr:row>0</xdr:row>
      <xdr:rowOff>292100</xdr:rowOff>
    </xdr:to>
    <xdr:sp macro="" textlink="">
      <xdr:nvSpPr>
        <xdr:cNvPr id="21" name="Nav_Lista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E560525-4C2F-EFAA-0861-7286F48A6F1B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13</xdr:col>
      <xdr:colOff>447508</xdr:colOff>
      <xdr:row>1</xdr:row>
      <xdr:rowOff>15708</xdr:rowOff>
    </xdr:from>
    <xdr:to>
      <xdr:col>13</xdr:col>
      <xdr:colOff>777708</xdr:colOff>
      <xdr:row>2</xdr:row>
      <xdr:rowOff>65171</xdr:rowOff>
    </xdr:to>
    <xdr:pic>
      <xdr:nvPicPr>
        <xdr:cNvPr id="23" name="FamilyBudgetIcon">
          <a:extLst>
            <a:ext uri="{FF2B5EF4-FFF2-40B4-BE49-F238E27FC236}">
              <a16:creationId xmlns:a16="http://schemas.microsoft.com/office/drawing/2014/main" id="{8151CAE3-EA2E-188B-0D0C-ACB60B2540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1245850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11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042809-3586-5F50-ADC9-8F7C5FE59FFE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243472</xdr:colOff>
      <xdr:row>0</xdr:row>
      <xdr:rowOff>292100</xdr:rowOff>
    </xdr:to>
    <xdr:sp macro="" textlink="">
      <xdr:nvSpPr>
        <xdr:cNvPr id="1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E0F135-3E6C-91F1-2714-A631DFD0100D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294272</xdr:colOff>
      <xdr:row>0</xdr:row>
      <xdr:rowOff>25400</xdr:rowOff>
    </xdr:from>
    <xdr:to>
      <xdr:col>3</xdr:col>
      <xdr:colOff>425951</xdr:colOff>
      <xdr:row>0</xdr:row>
      <xdr:rowOff>292100</xdr:rowOff>
    </xdr:to>
    <xdr:sp macro="" textlink="">
      <xdr:nvSpPr>
        <xdr:cNvPr id="1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E80E48-ECAB-75B5-7440-915F895F7D96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5A2E4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476751</xdr:colOff>
      <xdr:row>0</xdr:row>
      <xdr:rowOff>25400</xdr:rowOff>
    </xdr:from>
    <xdr:to>
      <xdr:col>4</xdr:col>
      <xdr:colOff>608430</xdr:colOff>
      <xdr:row>0</xdr:row>
      <xdr:rowOff>292100</xdr:rowOff>
    </xdr:to>
    <xdr:sp macro="" textlink="">
      <xdr:nvSpPr>
        <xdr:cNvPr id="15" name="Nav_Pag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11AE5F-D39D-E06E-DF5B-B7BD58A0E06C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Pagos reales</a:t>
          </a:r>
        </a:p>
      </xdr:txBody>
    </xdr:sp>
    <xdr:clientData/>
  </xdr:twoCellAnchor>
  <xdr:twoCellAnchor>
    <xdr:from>
      <xdr:col>4</xdr:col>
      <xdr:colOff>659230</xdr:colOff>
      <xdr:row>0</xdr:row>
      <xdr:rowOff>25400</xdr:rowOff>
    </xdr:from>
    <xdr:to>
      <xdr:col>6</xdr:col>
      <xdr:colOff>58988</xdr:colOff>
      <xdr:row>0</xdr:row>
      <xdr:rowOff>292100</xdr:rowOff>
    </xdr:to>
    <xdr:sp macro="" textlink="">
      <xdr:nvSpPr>
        <xdr:cNvPr id="16" name="Nav_Proveedor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9501FB-FEAD-48F4-014A-1ACE0042DA4D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Proveedores</a:t>
          </a:r>
        </a:p>
      </xdr:txBody>
    </xdr:sp>
    <xdr:clientData/>
  </xdr:twoCellAnchor>
  <xdr:twoCellAnchor>
    <xdr:from>
      <xdr:col>6</xdr:col>
      <xdr:colOff>109788</xdr:colOff>
      <xdr:row>0</xdr:row>
      <xdr:rowOff>25400</xdr:rowOff>
    </xdr:from>
    <xdr:to>
      <xdr:col>7</xdr:col>
      <xdr:colOff>241467</xdr:colOff>
      <xdr:row>0</xdr:row>
      <xdr:rowOff>292100</xdr:rowOff>
    </xdr:to>
    <xdr:sp macro="" textlink="">
      <xdr:nvSpPr>
        <xdr:cNvPr id="17" name="Nav_Flujo_de_pag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F1A716B-526F-BF64-18E2-9E225637B016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Flujo de pa…</a:t>
          </a:r>
        </a:p>
      </xdr:txBody>
    </xdr:sp>
    <xdr:clientData/>
  </xdr:twoCellAnchor>
  <xdr:twoCellAnchor>
    <xdr:from>
      <xdr:col>7</xdr:col>
      <xdr:colOff>292267</xdr:colOff>
      <xdr:row>0</xdr:row>
      <xdr:rowOff>25400</xdr:rowOff>
    </xdr:from>
    <xdr:to>
      <xdr:col>8</xdr:col>
      <xdr:colOff>423946</xdr:colOff>
      <xdr:row>0</xdr:row>
      <xdr:rowOff>292100</xdr:rowOff>
    </xdr:to>
    <xdr:sp macro="" textlink="">
      <xdr:nvSpPr>
        <xdr:cNvPr id="18" name="Nav_Checklis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3FDEC23-A416-9154-B887-C11EB73FDA01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Checklist</a:t>
          </a:r>
        </a:p>
      </xdr:txBody>
    </xdr:sp>
    <xdr:clientData/>
  </xdr:twoCellAnchor>
  <xdr:twoCellAnchor>
    <xdr:from>
      <xdr:col>8</xdr:col>
      <xdr:colOff>474746</xdr:colOff>
      <xdr:row>0</xdr:row>
      <xdr:rowOff>25400</xdr:rowOff>
    </xdr:from>
    <xdr:to>
      <xdr:col>9</xdr:col>
      <xdr:colOff>606425</xdr:colOff>
      <xdr:row>0</xdr:row>
      <xdr:rowOff>292100</xdr:rowOff>
    </xdr:to>
    <xdr:sp macro="" textlink="">
      <xdr:nvSpPr>
        <xdr:cNvPr id="19" name="Nav_Invitado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4B24A18-C8AC-B6F0-F331-17DE454475FA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Invitados</a:t>
          </a:r>
        </a:p>
      </xdr:txBody>
    </xdr:sp>
    <xdr:clientData/>
  </xdr:twoCellAnchor>
  <xdr:twoCellAnchor>
    <xdr:from>
      <xdr:col>9</xdr:col>
      <xdr:colOff>657225</xdr:colOff>
      <xdr:row>0</xdr:row>
      <xdr:rowOff>25400</xdr:rowOff>
    </xdr:from>
    <xdr:to>
      <xdr:col>11</xdr:col>
      <xdr:colOff>56983</xdr:colOff>
      <xdr:row>0</xdr:row>
      <xdr:rowOff>292100</xdr:rowOff>
    </xdr:to>
    <xdr:sp macro="" textlink="">
      <xdr:nvSpPr>
        <xdr:cNvPr id="2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E6132B5-4A12-DA8B-F8F6-9332AECC53BD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14</xdr:col>
      <xdr:colOff>661570</xdr:colOff>
      <xdr:row>1</xdr:row>
      <xdr:rowOff>15708</xdr:rowOff>
    </xdr:from>
    <xdr:to>
      <xdr:col>14</xdr:col>
      <xdr:colOff>991770</xdr:colOff>
      <xdr:row>2</xdr:row>
      <xdr:rowOff>65171</xdr:rowOff>
    </xdr:to>
    <xdr:pic>
      <xdr:nvPicPr>
        <xdr:cNvPr id="22" name="FamilyBudgetIcon">
          <a:extLst>
            <a:ext uri="{FF2B5EF4-FFF2-40B4-BE49-F238E27FC236}">
              <a16:creationId xmlns:a16="http://schemas.microsoft.com/office/drawing/2014/main" id="{0205587E-A5C2-4A44-392A-6D4841AD90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1791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11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5A6EE2-F24D-E7CD-AFD9-11F5F101E766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243472</xdr:colOff>
      <xdr:row>0</xdr:row>
      <xdr:rowOff>292100</xdr:rowOff>
    </xdr:to>
    <xdr:sp macro="" textlink="">
      <xdr:nvSpPr>
        <xdr:cNvPr id="1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AF3EC0-037B-18C0-B4F6-E1F330196797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294272</xdr:colOff>
      <xdr:row>0</xdr:row>
      <xdr:rowOff>25400</xdr:rowOff>
    </xdr:from>
    <xdr:to>
      <xdr:col>3</xdr:col>
      <xdr:colOff>425951</xdr:colOff>
      <xdr:row>0</xdr:row>
      <xdr:rowOff>292100</xdr:rowOff>
    </xdr:to>
    <xdr:sp macro="" textlink="">
      <xdr:nvSpPr>
        <xdr:cNvPr id="1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0D7139-68FB-34F6-7C7E-FD04C21B4159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476751</xdr:colOff>
      <xdr:row>0</xdr:row>
      <xdr:rowOff>25400</xdr:rowOff>
    </xdr:from>
    <xdr:to>
      <xdr:col>4</xdr:col>
      <xdr:colOff>608430</xdr:colOff>
      <xdr:row>0</xdr:row>
      <xdr:rowOff>292100</xdr:rowOff>
    </xdr:to>
    <xdr:sp macro="" textlink="">
      <xdr:nvSpPr>
        <xdr:cNvPr id="15" name="Nav_Pag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3AFE706-BBA7-FF60-5D0B-1DC14B8DA9A1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5A2E4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Pagos reales</a:t>
          </a:r>
        </a:p>
      </xdr:txBody>
    </xdr:sp>
    <xdr:clientData/>
  </xdr:twoCellAnchor>
  <xdr:twoCellAnchor>
    <xdr:from>
      <xdr:col>4</xdr:col>
      <xdr:colOff>659230</xdr:colOff>
      <xdr:row>0</xdr:row>
      <xdr:rowOff>25400</xdr:rowOff>
    </xdr:from>
    <xdr:to>
      <xdr:col>6</xdr:col>
      <xdr:colOff>58988</xdr:colOff>
      <xdr:row>0</xdr:row>
      <xdr:rowOff>292100</xdr:rowOff>
    </xdr:to>
    <xdr:sp macro="" textlink="">
      <xdr:nvSpPr>
        <xdr:cNvPr id="16" name="Nav_Proveedor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3834C34-9772-5571-A912-41A80DF16E89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Proveedores</a:t>
          </a:r>
        </a:p>
      </xdr:txBody>
    </xdr:sp>
    <xdr:clientData/>
  </xdr:twoCellAnchor>
  <xdr:twoCellAnchor>
    <xdr:from>
      <xdr:col>6</xdr:col>
      <xdr:colOff>109788</xdr:colOff>
      <xdr:row>0</xdr:row>
      <xdr:rowOff>25400</xdr:rowOff>
    </xdr:from>
    <xdr:to>
      <xdr:col>7</xdr:col>
      <xdr:colOff>241467</xdr:colOff>
      <xdr:row>0</xdr:row>
      <xdr:rowOff>292100</xdr:rowOff>
    </xdr:to>
    <xdr:sp macro="" textlink="">
      <xdr:nvSpPr>
        <xdr:cNvPr id="17" name="Nav_Flujo_de_pag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4733BC6-940C-1692-26C5-2055FE2EA039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Flujo de pa…</a:t>
          </a:r>
        </a:p>
      </xdr:txBody>
    </xdr:sp>
    <xdr:clientData/>
  </xdr:twoCellAnchor>
  <xdr:twoCellAnchor>
    <xdr:from>
      <xdr:col>7</xdr:col>
      <xdr:colOff>292267</xdr:colOff>
      <xdr:row>0</xdr:row>
      <xdr:rowOff>25400</xdr:rowOff>
    </xdr:from>
    <xdr:to>
      <xdr:col>8</xdr:col>
      <xdr:colOff>423946</xdr:colOff>
      <xdr:row>0</xdr:row>
      <xdr:rowOff>292100</xdr:rowOff>
    </xdr:to>
    <xdr:sp macro="" textlink="">
      <xdr:nvSpPr>
        <xdr:cNvPr id="18" name="Nav_Checklis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A4EF5E4-7744-CDD1-5DF6-9516F539C548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Checklist</a:t>
          </a:r>
        </a:p>
      </xdr:txBody>
    </xdr:sp>
    <xdr:clientData/>
  </xdr:twoCellAnchor>
  <xdr:twoCellAnchor>
    <xdr:from>
      <xdr:col>8</xdr:col>
      <xdr:colOff>474746</xdr:colOff>
      <xdr:row>0</xdr:row>
      <xdr:rowOff>25400</xdr:rowOff>
    </xdr:from>
    <xdr:to>
      <xdr:col>9</xdr:col>
      <xdr:colOff>606425</xdr:colOff>
      <xdr:row>0</xdr:row>
      <xdr:rowOff>292100</xdr:rowOff>
    </xdr:to>
    <xdr:sp macro="" textlink="">
      <xdr:nvSpPr>
        <xdr:cNvPr id="19" name="Nav_Invitado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9C763B1-D010-C5C9-B956-31AD5BDF6F94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Invitados</a:t>
          </a:r>
        </a:p>
      </xdr:txBody>
    </xdr:sp>
    <xdr:clientData/>
  </xdr:twoCellAnchor>
  <xdr:twoCellAnchor>
    <xdr:from>
      <xdr:col>9</xdr:col>
      <xdr:colOff>657225</xdr:colOff>
      <xdr:row>0</xdr:row>
      <xdr:rowOff>25400</xdr:rowOff>
    </xdr:from>
    <xdr:to>
      <xdr:col>11</xdr:col>
      <xdr:colOff>56983</xdr:colOff>
      <xdr:row>0</xdr:row>
      <xdr:rowOff>292100</xdr:rowOff>
    </xdr:to>
    <xdr:sp macro="" textlink="">
      <xdr:nvSpPr>
        <xdr:cNvPr id="2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4CE8FFC-5055-B037-F55F-75EAC6A38F75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14</xdr:col>
      <xdr:colOff>661570</xdr:colOff>
      <xdr:row>1</xdr:row>
      <xdr:rowOff>15708</xdr:rowOff>
    </xdr:from>
    <xdr:to>
      <xdr:col>14</xdr:col>
      <xdr:colOff>991770</xdr:colOff>
      <xdr:row>2</xdr:row>
      <xdr:rowOff>65171</xdr:rowOff>
    </xdr:to>
    <xdr:pic>
      <xdr:nvPicPr>
        <xdr:cNvPr id="22" name="FamilyBudgetIcon">
          <a:extLst>
            <a:ext uri="{FF2B5EF4-FFF2-40B4-BE49-F238E27FC236}">
              <a16:creationId xmlns:a16="http://schemas.microsoft.com/office/drawing/2014/main" id="{B024E575-2B37-A124-F7E9-688CE7173E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1791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11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523852-415C-74AB-3FD0-25EE9122823A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845051</xdr:colOff>
      <xdr:row>0</xdr:row>
      <xdr:rowOff>292100</xdr:rowOff>
    </xdr:to>
    <xdr:sp macro="" textlink="">
      <xdr:nvSpPr>
        <xdr:cNvPr id="1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E7D8A6-42E5-3960-82E4-B3A38552056B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895851</xdr:colOff>
      <xdr:row>0</xdr:row>
      <xdr:rowOff>25400</xdr:rowOff>
    </xdr:from>
    <xdr:to>
      <xdr:col>4</xdr:col>
      <xdr:colOff>24899</xdr:colOff>
      <xdr:row>0</xdr:row>
      <xdr:rowOff>292100</xdr:rowOff>
    </xdr:to>
    <xdr:sp macro="" textlink="">
      <xdr:nvSpPr>
        <xdr:cNvPr id="1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8A0E7C-6F00-70F3-9702-250CCDBEC0E4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4</xdr:col>
      <xdr:colOff>75699</xdr:colOff>
      <xdr:row>0</xdr:row>
      <xdr:rowOff>25400</xdr:rowOff>
    </xdr:from>
    <xdr:to>
      <xdr:col>4</xdr:col>
      <xdr:colOff>939299</xdr:colOff>
      <xdr:row>0</xdr:row>
      <xdr:rowOff>292100</xdr:rowOff>
    </xdr:to>
    <xdr:sp macro="" textlink="">
      <xdr:nvSpPr>
        <xdr:cNvPr id="15" name="Nav_Pag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84F0AF-4628-F35D-1855-AE7F8F68FD27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Pagos reales</a:t>
          </a:r>
        </a:p>
      </xdr:txBody>
    </xdr:sp>
    <xdr:clientData/>
  </xdr:twoCellAnchor>
  <xdr:twoCellAnchor>
    <xdr:from>
      <xdr:col>4</xdr:col>
      <xdr:colOff>990099</xdr:colOff>
      <xdr:row>0</xdr:row>
      <xdr:rowOff>25400</xdr:rowOff>
    </xdr:from>
    <xdr:to>
      <xdr:col>5</xdr:col>
      <xdr:colOff>450014</xdr:colOff>
      <xdr:row>0</xdr:row>
      <xdr:rowOff>292100</xdr:rowOff>
    </xdr:to>
    <xdr:sp macro="" textlink="">
      <xdr:nvSpPr>
        <xdr:cNvPr id="16" name="Nav_Proveedor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C957B39-94E3-C9F8-B96F-23259CEEBB2A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5A2E4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Proveedores</a:t>
          </a:r>
        </a:p>
      </xdr:txBody>
    </xdr:sp>
    <xdr:clientData/>
  </xdr:twoCellAnchor>
  <xdr:twoCellAnchor>
    <xdr:from>
      <xdr:col>5</xdr:col>
      <xdr:colOff>500814</xdr:colOff>
      <xdr:row>0</xdr:row>
      <xdr:rowOff>25400</xdr:rowOff>
    </xdr:from>
    <xdr:to>
      <xdr:col>5</xdr:col>
      <xdr:colOff>1364414</xdr:colOff>
      <xdr:row>0</xdr:row>
      <xdr:rowOff>292100</xdr:rowOff>
    </xdr:to>
    <xdr:sp macro="" textlink="">
      <xdr:nvSpPr>
        <xdr:cNvPr id="17" name="Nav_Flujo_de_pag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23763CB-5D11-B9A6-0483-A6E4FDB959C3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Flujo de pa…</a:t>
          </a:r>
        </a:p>
      </xdr:txBody>
    </xdr:sp>
    <xdr:clientData/>
  </xdr:twoCellAnchor>
  <xdr:twoCellAnchor>
    <xdr:from>
      <xdr:col>5</xdr:col>
      <xdr:colOff>1415214</xdr:colOff>
      <xdr:row>0</xdr:row>
      <xdr:rowOff>25400</xdr:rowOff>
    </xdr:from>
    <xdr:to>
      <xdr:col>6</xdr:col>
      <xdr:colOff>674604</xdr:colOff>
      <xdr:row>0</xdr:row>
      <xdr:rowOff>292100</xdr:rowOff>
    </xdr:to>
    <xdr:sp macro="" textlink="">
      <xdr:nvSpPr>
        <xdr:cNvPr id="18" name="Nav_Checklis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C929AD-E699-0B03-021D-CC5C86FD79F1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Checklist</a:t>
          </a:r>
        </a:p>
      </xdr:txBody>
    </xdr:sp>
    <xdr:clientData/>
  </xdr:twoCellAnchor>
  <xdr:twoCellAnchor>
    <xdr:from>
      <xdr:col>6</xdr:col>
      <xdr:colOff>725404</xdr:colOff>
      <xdr:row>0</xdr:row>
      <xdr:rowOff>25400</xdr:rowOff>
    </xdr:from>
    <xdr:to>
      <xdr:col>7</xdr:col>
      <xdr:colOff>656557</xdr:colOff>
      <xdr:row>0</xdr:row>
      <xdr:rowOff>292100</xdr:rowOff>
    </xdr:to>
    <xdr:sp macro="" textlink="">
      <xdr:nvSpPr>
        <xdr:cNvPr id="19" name="Nav_Invitado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EB9D3DD-D135-22BA-86D8-8ED17F937A47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Invitados</a:t>
          </a:r>
        </a:p>
      </xdr:txBody>
    </xdr:sp>
    <xdr:clientData/>
  </xdr:twoCellAnchor>
  <xdr:twoCellAnchor>
    <xdr:from>
      <xdr:col>7</xdr:col>
      <xdr:colOff>707357</xdr:colOff>
      <xdr:row>0</xdr:row>
      <xdr:rowOff>25400</xdr:rowOff>
    </xdr:from>
    <xdr:to>
      <xdr:col>8</xdr:col>
      <xdr:colOff>568325</xdr:colOff>
      <xdr:row>0</xdr:row>
      <xdr:rowOff>292100</xdr:rowOff>
    </xdr:to>
    <xdr:sp macro="" textlink="">
      <xdr:nvSpPr>
        <xdr:cNvPr id="2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38BB9BC-71E6-4776-2BED-2D1FC173B7B4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12</xdr:col>
      <xdr:colOff>826001</xdr:colOff>
      <xdr:row>1</xdr:row>
      <xdr:rowOff>15708</xdr:rowOff>
    </xdr:from>
    <xdr:to>
      <xdr:col>12</xdr:col>
      <xdr:colOff>1156201</xdr:colOff>
      <xdr:row>2</xdr:row>
      <xdr:rowOff>65171</xdr:rowOff>
    </xdr:to>
    <xdr:pic>
      <xdr:nvPicPr>
        <xdr:cNvPr id="22" name="FamilyBudgetIcon">
          <a:extLst>
            <a:ext uri="{FF2B5EF4-FFF2-40B4-BE49-F238E27FC236}">
              <a16:creationId xmlns:a16="http://schemas.microsoft.com/office/drawing/2014/main" id="{5AA59493-46CD-49A8-003B-08CD2A2233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22459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6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12" name="Nav_Inici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089394-ADBF-A931-E937-FB740C94483A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845051</xdr:colOff>
      <xdr:row>0</xdr:row>
      <xdr:rowOff>292100</xdr:rowOff>
    </xdr:to>
    <xdr:sp macro="" textlink="">
      <xdr:nvSpPr>
        <xdr:cNvPr id="14" name="Nav_Resume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A2A92F-53E6-43DA-BCFF-04A529DB3CFC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895851</xdr:colOff>
      <xdr:row>0</xdr:row>
      <xdr:rowOff>25400</xdr:rowOff>
    </xdr:from>
    <xdr:to>
      <xdr:col>3</xdr:col>
      <xdr:colOff>756820</xdr:colOff>
      <xdr:row>0</xdr:row>
      <xdr:rowOff>292100</xdr:rowOff>
    </xdr:to>
    <xdr:sp macro="" textlink="">
      <xdr:nvSpPr>
        <xdr:cNvPr id="15" name="Nav_Presupuest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EBD4BB-0803-570E-FDBD-265442AC6CA9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807620</xdr:colOff>
      <xdr:row>0</xdr:row>
      <xdr:rowOff>25400</xdr:rowOff>
    </xdr:from>
    <xdr:to>
      <xdr:col>4</xdr:col>
      <xdr:colOff>668588</xdr:colOff>
      <xdr:row>0</xdr:row>
      <xdr:rowOff>292100</xdr:rowOff>
    </xdr:to>
    <xdr:sp macro="" textlink="">
      <xdr:nvSpPr>
        <xdr:cNvPr id="16" name="Nav_Pagos_real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9094036-FA68-477A-260E-69BF05816833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Pagos reales</a:t>
          </a:r>
        </a:p>
      </xdr:txBody>
    </xdr:sp>
    <xdr:clientData/>
  </xdr:twoCellAnchor>
  <xdr:twoCellAnchor>
    <xdr:from>
      <xdr:col>4</xdr:col>
      <xdr:colOff>719388</xdr:colOff>
      <xdr:row>0</xdr:row>
      <xdr:rowOff>25400</xdr:rowOff>
    </xdr:from>
    <xdr:to>
      <xdr:col>5</xdr:col>
      <xdr:colOff>580357</xdr:colOff>
      <xdr:row>0</xdr:row>
      <xdr:rowOff>292100</xdr:rowOff>
    </xdr:to>
    <xdr:sp macro="" textlink="">
      <xdr:nvSpPr>
        <xdr:cNvPr id="17" name="Nav_Proveedore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881F73A-5561-5639-CB05-BDFA443C6525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Proveedores</a:t>
          </a:r>
        </a:p>
      </xdr:txBody>
    </xdr:sp>
    <xdr:clientData/>
  </xdr:twoCellAnchor>
  <xdr:twoCellAnchor>
    <xdr:from>
      <xdr:col>5</xdr:col>
      <xdr:colOff>631157</xdr:colOff>
      <xdr:row>0</xdr:row>
      <xdr:rowOff>25400</xdr:rowOff>
    </xdr:from>
    <xdr:to>
      <xdr:col>6</xdr:col>
      <xdr:colOff>492125</xdr:colOff>
      <xdr:row>0</xdr:row>
      <xdr:rowOff>292100</xdr:rowOff>
    </xdr:to>
    <xdr:sp macro="" textlink="">
      <xdr:nvSpPr>
        <xdr:cNvPr id="18" name="Nav_Flujo_de_pago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2696075-32A2-9939-3524-B4DFF17B41D0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5A2E4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Flujo de pa…</a:t>
          </a:r>
        </a:p>
      </xdr:txBody>
    </xdr:sp>
    <xdr:clientData/>
  </xdr:twoCellAnchor>
  <xdr:twoCellAnchor>
    <xdr:from>
      <xdr:col>6</xdr:col>
      <xdr:colOff>542925</xdr:colOff>
      <xdr:row>0</xdr:row>
      <xdr:rowOff>25400</xdr:rowOff>
    </xdr:from>
    <xdr:to>
      <xdr:col>7</xdr:col>
      <xdr:colOff>403893</xdr:colOff>
      <xdr:row>0</xdr:row>
      <xdr:rowOff>292100</xdr:rowOff>
    </xdr:to>
    <xdr:sp macro="" textlink="">
      <xdr:nvSpPr>
        <xdr:cNvPr id="19" name="Nav_Checklis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B8D62B3-41F3-FB74-FF07-2932D5701BC2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Checklist</a:t>
          </a:r>
        </a:p>
      </xdr:txBody>
    </xdr:sp>
    <xdr:clientData/>
  </xdr:twoCellAnchor>
  <xdr:twoCellAnchor>
    <xdr:from>
      <xdr:col>7</xdr:col>
      <xdr:colOff>454693</xdr:colOff>
      <xdr:row>0</xdr:row>
      <xdr:rowOff>25400</xdr:rowOff>
    </xdr:from>
    <xdr:to>
      <xdr:col>8</xdr:col>
      <xdr:colOff>315662</xdr:colOff>
      <xdr:row>0</xdr:row>
      <xdr:rowOff>292100</xdr:rowOff>
    </xdr:to>
    <xdr:sp macro="" textlink="">
      <xdr:nvSpPr>
        <xdr:cNvPr id="20" name="Nav_Invitado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7D2DD3D-9977-5649-DFED-0AC7B732A8F1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Invitados</a:t>
          </a:r>
        </a:p>
      </xdr:txBody>
    </xdr:sp>
    <xdr:clientData/>
  </xdr:twoCellAnchor>
  <xdr:twoCellAnchor>
    <xdr:from>
      <xdr:col>8</xdr:col>
      <xdr:colOff>366462</xdr:colOff>
      <xdr:row>0</xdr:row>
      <xdr:rowOff>25400</xdr:rowOff>
    </xdr:from>
    <xdr:to>
      <xdr:col>9</xdr:col>
      <xdr:colOff>227430</xdr:colOff>
      <xdr:row>0</xdr:row>
      <xdr:rowOff>292100</xdr:rowOff>
    </xdr:to>
    <xdr:sp macro="" textlink="">
      <xdr:nvSpPr>
        <xdr:cNvPr id="21" name="Nav_Lista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EB25ACD-2242-1272-90E3-75E4BBF7E505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16</xdr:col>
      <xdr:colOff>419434</xdr:colOff>
      <xdr:row>1</xdr:row>
      <xdr:rowOff>15708</xdr:rowOff>
    </xdr:from>
    <xdr:to>
      <xdr:col>16</xdr:col>
      <xdr:colOff>749634</xdr:colOff>
      <xdr:row>2</xdr:row>
      <xdr:rowOff>65171</xdr:rowOff>
    </xdr:to>
    <xdr:pic>
      <xdr:nvPicPr>
        <xdr:cNvPr id="23" name="FamilyBudgetIcon">
          <a:extLst>
            <a:ext uri="{FF2B5EF4-FFF2-40B4-BE49-F238E27FC236}">
              <a16:creationId xmlns:a16="http://schemas.microsoft.com/office/drawing/2014/main" id="{AE1A7569-A8FC-EDDE-9BF2-700FE31CC3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446250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11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10283B-550B-1E70-E35B-489DCA713246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243472</xdr:colOff>
      <xdr:row>0</xdr:row>
      <xdr:rowOff>292100</xdr:rowOff>
    </xdr:to>
    <xdr:sp macro="" textlink="">
      <xdr:nvSpPr>
        <xdr:cNvPr id="1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ABC9A7-0E59-2A98-2490-24BCB3705520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294272</xdr:colOff>
      <xdr:row>0</xdr:row>
      <xdr:rowOff>25400</xdr:rowOff>
    </xdr:from>
    <xdr:to>
      <xdr:col>3</xdr:col>
      <xdr:colOff>225425</xdr:colOff>
      <xdr:row>0</xdr:row>
      <xdr:rowOff>292100</xdr:rowOff>
    </xdr:to>
    <xdr:sp macro="" textlink="">
      <xdr:nvSpPr>
        <xdr:cNvPr id="1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1DCDBB-6D0D-B9BA-92F7-1DCFDE85BA93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276225</xdr:colOff>
      <xdr:row>0</xdr:row>
      <xdr:rowOff>25400</xdr:rowOff>
    </xdr:from>
    <xdr:to>
      <xdr:col>4</xdr:col>
      <xdr:colOff>407904</xdr:colOff>
      <xdr:row>0</xdr:row>
      <xdr:rowOff>292100</xdr:rowOff>
    </xdr:to>
    <xdr:sp macro="" textlink="">
      <xdr:nvSpPr>
        <xdr:cNvPr id="15" name="Nav_Pag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26C880-754E-1037-7E08-46842429042F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Pagos reales</a:t>
          </a:r>
        </a:p>
      </xdr:txBody>
    </xdr:sp>
    <xdr:clientData/>
  </xdr:twoCellAnchor>
  <xdr:twoCellAnchor>
    <xdr:from>
      <xdr:col>4</xdr:col>
      <xdr:colOff>458704</xdr:colOff>
      <xdr:row>0</xdr:row>
      <xdr:rowOff>25400</xdr:rowOff>
    </xdr:from>
    <xdr:to>
      <xdr:col>5</xdr:col>
      <xdr:colOff>319672</xdr:colOff>
      <xdr:row>0</xdr:row>
      <xdr:rowOff>292100</xdr:rowOff>
    </xdr:to>
    <xdr:sp macro="" textlink="">
      <xdr:nvSpPr>
        <xdr:cNvPr id="16" name="Nav_Proveedor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4CD792-B5EA-41E1-85B0-8237D34613D4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Proveedores</a:t>
          </a:r>
        </a:p>
      </xdr:txBody>
    </xdr:sp>
    <xdr:clientData/>
  </xdr:twoCellAnchor>
  <xdr:twoCellAnchor>
    <xdr:from>
      <xdr:col>5</xdr:col>
      <xdr:colOff>370472</xdr:colOff>
      <xdr:row>0</xdr:row>
      <xdr:rowOff>25400</xdr:rowOff>
    </xdr:from>
    <xdr:to>
      <xdr:col>6</xdr:col>
      <xdr:colOff>301625</xdr:colOff>
      <xdr:row>0</xdr:row>
      <xdr:rowOff>292100</xdr:rowOff>
    </xdr:to>
    <xdr:sp macro="" textlink="">
      <xdr:nvSpPr>
        <xdr:cNvPr id="17" name="Nav_Flujo_de_pag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A31E252-0FEF-F43C-253F-9A4B199E68B9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Flujo de pa…</a:t>
          </a:r>
        </a:p>
      </xdr:txBody>
    </xdr:sp>
    <xdr:clientData/>
  </xdr:twoCellAnchor>
  <xdr:twoCellAnchor>
    <xdr:from>
      <xdr:col>6</xdr:col>
      <xdr:colOff>352425</xdr:colOff>
      <xdr:row>0</xdr:row>
      <xdr:rowOff>25400</xdr:rowOff>
    </xdr:from>
    <xdr:to>
      <xdr:col>7</xdr:col>
      <xdr:colOff>283578</xdr:colOff>
      <xdr:row>0</xdr:row>
      <xdr:rowOff>292100</xdr:rowOff>
    </xdr:to>
    <xdr:sp macro="" textlink="">
      <xdr:nvSpPr>
        <xdr:cNvPr id="18" name="Nav_Checklis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DE9F640-DF2C-31F5-CC61-5EFFF9FBB270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5A2E4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Checklist</a:t>
          </a:r>
        </a:p>
      </xdr:txBody>
    </xdr:sp>
    <xdr:clientData/>
  </xdr:twoCellAnchor>
  <xdr:twoCellAnchor>
    <xdr:from>
      <xdr:col>7</xdr:col>
      <xdr:colOff>334378</xdr:colOff>
      <xdr:row>0</xdr:row>
      <xdr:rowOff>25400</xdr:rowOff>
    </xdr:from>
    <xdr:to>
      <xdr:col>8</xdr:col>
      <xdr:colOff>395872</xdr:colOff>
      <xdr:row>0</xdr:row>
      <xdr:rowOff>292100</xdr:rowOff>
    </xdr:to>
    <xdr:sp macro="" textlink="">
      <xdr:nvSpPr>
        <xdr:cNvPr id="19" name="Nav_Invitado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060CE1C-1E0C-D363-7A3F-BA74A26EB232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Invitados</a:t>
          </a:r>
        </a:p>
      </xdr:txBody>
    </xdr:sp>
    <xdr:clientData/>
  </xdr:twoCellAnchor>
  <xdr:twoCellAnchor>
    <xdr:from>
      <xdr:col>8</xdr:col>
      <xdr:colOff>446672</xdr:colOff>
      <xdr:row>0</xdr:row>
      <xdr:rowOff>25400</xdr:rowOff>
    </xdr:from>
    <xdr:to>
      <xdr:col>9</xdr:col>
      <xdr:colOff>307641</xdr:colOff>
      <xdr:row>0</xdr:row>
      <xdr:rowOff>292100</xdr:rowOff>
    </xdr:to>
    <xdr:sp macro="" textlink="">
      <xdr:nvSpPr>
        <xdr:cNvPr id="2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230914D-0FD4-CD2A-A0BF-E8D7C14CD1DD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9</xdr:col>
      <xdr:colOff>574341</xdr:colOff>
      <xdr:row>1</xdr:row>
      <xdr:rowOff>15708</xdr:rowOff>
    </xdr:from>
    <xdr:to>
      <xdr:col>9</xdr:col>
      <xdr:colOff>904541</xdr:colOff>
      <xdr:row>2</xdr:row>
      <xdr:rowOff>65171</xdr:rowOff>
    </xdr:to>
    <xdr:pic>
      <xdr:nvPicPr>
        <xdr:cNvPr id="22" name="FamilyBudgetIcon">
          <a:extLst>
            <a:ext uri="{FF2B5EF4-FFF2-40B4-BE49-F238E27FC236}">
              <a16:creationId xmlns:a16="http://schemas.microsoft.com/office/drawing/2014/main" id="{A880E3B4-6A0C-90FD-EA03-674F0CB95B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64552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11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79B951-78DA-98F1-466E-F5FBE7BC5F92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313657</xdr:colOff>
      <xdr:row>0</xdr:row>
      <xdr:rowOff>292100</xdr:rowOff>
    </xdr:to>
    <xdr:sp macro="" textlink="">
      <xdr:nvSpPr>
        <xdr:cNvPr id="1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CA2871-685E-2FE0-C41C-9D19BAD136F1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364457</xdr:colOff>
      <xdr:row>0</xdr:row>
      <xdr:rowOff>25400</xdr:rowOff>
    </xdr:from>
    <xdr:to>
      <xdr:col>3</xdr:col>
      <xdr:colOff>225425</xdr:colOff>
      <xdr:row>0</xdr:row>
      <xdr:rowOff>292100</xdr:rowOff>
    </xdr:to>
    <xdr:sp macro="" textlink="">
      <xdr:nvSpPr>
        <xdr:cNvPr id="1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F193A0-6EEF-F8AD-D169-A9C3490C3DC1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276225</xdr:colOff>
      <xdr:row>0</xdr:row>
      <xdr:rowOff>25400</xdr:rowOff>
    </xdr:from>
    <xdr:to>
      <xdr:col>4</xdr:col>
      <xdr:colOff>207378</xdr:colOff>
      <xdr:row>0</xdr:row>
      <xdr:rowOff>292100</xdr:rowOff>
    </xdr:to>
    <xdr:sp macro="" textlink="">
      <xdr:nvSpPr>
        <xdr:cNvPr id="15" name="Nav_Pag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94BD46-46C8-720F-0EE8-A59F446E2DAD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Pagos reales</a:t>
          </a:r>
        </a:p>
      </xdr:txBody>
    </xdr:sp>
    <xdr:clientData/>
  </xdr:twoCellAnchor>
  <xdr:twoCellAnchor>
    <xdr:from>
      <xdr:col>4</xdr:col>
      <xdr:colOff>258178</xdr:colOff>
      <xdr:row>0</xdr:row>
      <xdr:rowOff>25400</xdr:rowOff>
    </xdr:from>
    <xdr:to>
      <xdr:col>5</xdr:col>
      <xdr:colOff>119146</xdr:colOff>
      <xdr:row>0</xdr:row>
      <xdr:rowOff>292100</xdr:rowOff>
    </xdr:to>
    <xdr:sp macro="" textlink="">
      <xdr:nvSpPr>
        <xdr:cNvPr id="16" name="Nav_Proveedor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CBDAAD3-7714-356A-5606-77D1F92F67A9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Proveedores</a:t>
          </a:r>
        </a:p>
      </xdr:txBody>
    </xdr:sp>
    <xdr:clientData/>
  </xdr:twoCellAnchor>
  <xdr:twoCellAnchor>
    <xdr:from>
      <xdr:col>5</xdr:col>
      <xdr:colOff>169946</xdr:colOff>
      <xdr:row>0</xdr:row>
      <xdr:rowOff>25400</xdr:rowOff>
    </xdr:from>
    <xdr:to>
      <xdr:col>6</xdr:col>
      <xdr:colOff>30914</xdr:colOff>
      <xdr:row>0</xdr:row>
      <xdr:rowOff>292100</xdr:rowOff>
    </xdr:to>
    <xdr:sp macro="" textlink="">
      <xdr:nvSpPr>
        <xdr:cNvPr id="17" name="Nav_Flujo_de_pag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5B39FB3-BFBF-D655-DD2E-6ECFCF430ABC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Flujo de pa…</a:t>
          </a:r>
        </a:p>
      </xdr:txBody>
    </xdr:sp>
    <xdr:clientData/>
  </xdr:twoCellAnchor>
  <xdr:twoCellAnchor>
    <xdr:from>
      <xdr:col>6</xdr:col>
      <xdr:colOff>81714</xdr:colOff>
      <xdr:row>0</xdr:row>
      <xdr:rowOff>25400</xdr:rowOff>
    </xdr:from>
    <xdr:to>
      <xdr:col>6</xdr:col>
      <xdr:colOff>945314</xdr:colOff>
      <xdr:row>0</xdr:row>
      <xdr:rowOff>292100</xdr:rowOff>
    </xdr:to>
    <xdr:sp macro="" textlink="">
      <xdr:nvSpPr>
        <xdr:cNvPr id="18" name="Nav_Checklis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4FC3719-553F-0B82-A9B9-7E1645E12F16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Checklist</a:t>
          </a:r>
        </a:p>
      </xdr:txBody>
    </xdr:sp>
    <xdr:clientData/>
  </xdr:twoCellAnchor>
  <xdr:twoCellAnchor>
    <xdr:from>
      <xdr:col>6</xdr:col>
      <xdr:colOff>996114</xdr:colOff>
      <xdr:row>0</xdr:row>
      <xdr:rowOff>25400</xdr:rowOff>
    </xdr:from>
    <xdr:to>
      <xdr:col>7</xdr:col>
      <xdr:colOff>656557</xdr:colOff>
      <xdr:row>0</xdr:row>
      <xdr:rowOff>292100</xdr:rowOff>
    </xdr:to>
    <xdr:sp macro="" textlink="">
      <xdr:nvSpPr>
        <xdr:cNvPr id="19" name="Nav_Invitado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611086F-5220-2D8E-E731-1C3F49B3747E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5A2E4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Invitados</a:t>
          </a:r>
        </a:p>
      </xdr:txBody>
    </xdr:sp>
    <xdr:clientData/>
  </xdr:twoCellAnchor>
  <xdr:twoCellAnchor>
    <xdr:from>
      <xdr:col>7</xdr:col>
      <xdr:colOff>707357</xdr:colOff>
      <xdr:row>0</xdr:row>
      <xdr:rowOff>25400</xdr:rowOff>
    </xdr:from>
    <xdr:to>
      <xdr:col>8</xdr:col>
      <xdr:colOff>568325</xdr:colOff>
      <xdr:row>0</xdr:row>
      <xdr:rowOff>292100</xdr:rowOff>
    </xdr:to>
    <xdr:sp macro="" textlink="">
      <xdr:nvSpPr>
        <xdr:cNvPr id="2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1D41A08-4127-27B6-AB3F-1F488AA5A51F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7</xdr:col>
      <xdr:colOff>637507</xdr:colOff>
      <xdr:row>1</xdr:row>
      <xdr:rowOff>15708</xdr:rowOff>
    </xdr:from>
    <xdr:to>
      <xdr:col>7</xdr:col>
      <xdr:colOff>967707</xdr:colOff>
      <xdr:row>2</xdr:row>
      <xdr:rowOff>65171</xdr:rowOff>
    </xdr:to>
    <xdr:pic>
      <xdr:nvPicPr>
        <xdr:cNvPr id="22" name="FamilyBudgetIcon">
          <a:extLst>
            <a:ext uri="{FF2B5EF4-FFF2-40B4-BE49-F238E27FC236}">
              <a16:creationId xmlns:a16="http://schemas.microsoft.com/office/drawing/2014/main" id="{BB85B484-C23E-3F7D-DF2C-9FF4A186AB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4453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11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AFAEC3-C3EF-B451-4BAA-A6827921AD07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113130</xdr:colOff>
      <xdr:row>0</xdr:row>
      <xdr:rowOff>292100</xdr:rowOff>
    </xdr:to>
    <xdr:sp macro="" textlink="">
      <xdr:nvSpPr>
        <xdr:cNvPr id="1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30D967-5666-8029-3565-017677A4A1C4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163930</xdr:colOff>
      <xdr:row>0</xdr:row>
      <xdr:rowOff>25400</xdr:rowOff>
    </xdr:from>
    <xdr:to>
      <xdr:col>2</xdr:col>
      <xdr:colOff>1027530</xdr:colOff>
      <xdr:row>0</xdr:row>
      <xdr:rowOff>292100</xdr:rowOff>
    </xdr:to>
    <xdr:sp macro="" textlink="">
      <xdr:nvSpPr>
        <xdr:cNvPr id="1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FAB839-16A6-94C2-982F-25452F2E5D5E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2</xdr:col>
      <xdr:colOff>1078330</xdr:colOff>
      <xdr:row>0</xdr:row>
      <xdr:rowOff>25400</xdr:rowOff>
    </xdr:from>
    <xdr:to>
      <xdr:col>4</xdr:col>
      <xdr:colOff>478088</xdr:colOff>
      <xdr:row>0</xdr:row>
      <xdr:rowOff>292100</xdr:rowOff>
    </xdr:to>
    <xdr:sp macro="" textlink="">
      <xdr:nvSpPr>
        <xdr:cNvPr id="15" name="Nav_Pag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613D4D-74B6-C7D5-7B99-43E6FCDC8B2F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Pagos reales</a:t>
          </a:r>
        </a:p>
      </xdr:txBody>
    </xdr:sp>
    <xdr:clientData/>
  </xdr:twoCellAnchor>
  <xdr:twoCellAnchor>
    <xdr:from>
      <xdr:col>4</xdr:col>
      <xdr:colOff>528888</xdr:colOff>
      <xdr:row>0</xdr:row>
      <xdr:rowOff>25400</xdr:rowOff>
    </xdr:from>
    <xdr:to>
      <xdr:col>6</xdr:col>
      <xdr:colOff>129172</xdr:colOff>
      <xdr:row>0</xdr:row>
      <xdr:rowOff>292100</xdr:rowOff>
    </xdr:to>
    <xdr:sp macro="" textlink="">
      <xdr:nvSpPr>
        <xdr:cNvPr id="16" name="Nav_Proveedor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1D1F947-7086-9B85-EBA2-FAC0DF3ABD2C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Proveedores</a:t>
          </a:r>
        </a:p>
      </xdr:txBody>
    </xdr:sp>
    <xdr:clientData/>
  </xdr:twoCellAnchor>
  <xdr:twoCellAnchor>
    <xdr:from>
      <xdr:col>6</xdr:col>
      <xdr:colOff>179972</xdr:colOff>
      <xdr:row>0</xdr:row>
      <xdr:rowOff>25400</xdr:rowOff>
    </xdr:from>
    <xdr:to>
      <xdr:col>7</xdr:col>
      <xdr:colOff>111125</xdr:colOff>
      <xdr:row>0</xdr:row>
      <xdr:rowOff>292100</xdr:rowOff>
    </xdr:to>
    <xdr:sp macro="" textlink="">
      <xdr:nvSpPr>
        <xdr:cNvPr id="17" name="Nav_Flujo_de_pag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ECAE79B-6883-9A96-7584-B40A01BDA5D9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Flujo de pa…</a:t>
          </a:r>
        </a:p>
      </xdr:txBody>
    </xdr:sp>
    <xdr:clientData/>
  </xdr:twoCellAnchor>
  <xdr:twoCellAnchor>
    <xdr:from>
      <xdr:col>7</xdr:col>
      <xdr:colOff>161925</xdr:colOff>
      <xdr:row>0</xdr:row>
      <xdr:rowOff>25400</xdr:rowOff>
    </xdr:from>
    <xdr:to>
      <xdr:col>8</xdr:col>
      <xdr:colOff>824999</xdr:colOff>
      <xdr:row>0</xdr:row>
      <xdr:rowOff>292100</xdr:rowOff>
    </xdr:to>
    <xdr:sp macro="" textlink="">
      <xdr:nvSpPr>
        <xdr:cNvPr id="18" name="Nav_Checklis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17A6104-7085-E5F0-5252-B823D7DC2D52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Checklist</a:t>
          </a:r>
        </a:p>
      </xdr:txBody>
    </xdr:sp>
    <xdr:clientData/>
  </xdr:twoCellAnchor>
  <xdr:twoCellAnchor>
    <xdr:from>
      <xdr:col>8</xdr:col>
      <xdr:colOff>875799</xdr:colOff>
      <xdr:row>0</xdr:row>
      <xdr:rowOff>25400</xdr:rowOff>
    </xdr:from>
    <xdr:to>
      <xdr:col>10</xdr:col>
      <xdr:colOff>135188</xdr:colOff>
      <xdr:row>0</xdr:row>
      <xdr:rowOff>292100</xdr:rowOff>
    </xdr:to>
    <xdr:sp macro="" textlink="">
      <xdr:nvSpPr>
        <xdr:cNvPr id="19" name="Nav_Invitado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39B3962-EB6F-E93D-52E5-6D500EFFF1D7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F5E3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5A2E46"/>
              </a:solidFill>
              <a:latin typeface="Aptos" panose="020B0004020202020204" pitchFamily="34" charset="0"/>
            </a:rPr>
            <a:t>Invitados</a:t>
          </a:r>
        </a:p>
      </xdr:txBody>
    </xdr:sp>
    <xdr:clientData/>
  </xdr:twoCellAnchor>
  <xdr:twoCellAnchor>
    <xdr:from>
      <xdr:col>10</xdr:col>
      <xdr:colOff>185988</xdr:colOff>
      <xdr:row>0</xdr:row>
      <xdr:rowOff>25400</xdr:rowOff>
    </xdr:from>
    <xdr:to>
      <xdr:col>11</xdr:col>
      <xdr:colOff>117141</xdr:colOff>
      <xdr:row>0</xdr:row>
      <xdr:rowOff>292100</xdr:rowOff>
    </xdr:to>
    <xdr:sp macro="" textlink="">
      <xdr:nvSpPr>
        <xdr:cNvPr id="2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3C41751-BC1B-C627-6481-DEBEA635B038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5A2E4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12</xdr:col>
      <xdr:colOff>650039</xdr:colOff>
      <xdr:row>1</xdr:row>
      <xdr:rowOff>15708</xdr:rowOff>
    </xdr:from>
    <xdr:to>
      <xdr:col>12</xdr:col>
      <xdr:colOff>980239</xdr:colOff>
      <xdr:row>2</xdr:row>
      <xdr:rowOff>65171</xdr:rowOff>
    </xdr:to>
    <xdr:pic>
      <xdr:nvPicPr>
        <xdr:cNvPr id="22" name="FamilyBudgetIcon">
          <a:extLst>
            <a:ext uri="{FF2B5EF4-FFF2-40B4-BE49-F238E27FC236}">
              <a16:creationId xmlns:a16="http://schemas.microsoft.com/office/drawing/2014/main" id="{F65DB024-EA56-15A9-D8E1-140B4DF69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112250" y="336550"/>
          <a:ext cx="330200" cy="330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sumenCategorias" displayName="tblResumenCategorias" ref="B11:F18">
  <autoFilter ref="B11:F18" xr:uid="{00000000-0009-0000-0100-000001000000}"/>
  <tableColumns count="5">
    <tableColumn id="2" xr3:uid="{00000000-0010-0000-0000-000002000000}" name="Categoría"/>
    <tableColumn id="3" xr3:uid="{00000000-0010-0000-0000-000003000000}" name="Plan"/>
    <tableColumn id="4" xr3:uid="{00000000-0010-0000-0000-000004000000}" name="Pagado"/>
    <tableColumn id="5" xr3:uid="{00000000-0010-0000-0000-000005000000}" name="Pendiente"/>
    <tableColumn id="6" xr3:uid="{00000000-0010-0000-0000-000006000000}" name="% pag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esupuesto" displayName="tblPresupuesto" ref="B7:O14">
  <autoFilter ref="B7:O14" xr:uid="{00000000-0009-0000-0100-000002000000}"/>
  <tableColumns count="14">
    <tableColumn id="2" xr3:uid="{00000000-0010-0000-0100-000002000000}" name="Categoría"/>
    <tableColumn id="3" xr3:uid="{00000000-0010-0000-0100-000003000000}" name="Enero"/>
    <tableColumn id="4" xr3:uid="{00000000-0010-0000-0100-000004000000}" name="Febrero"/>
    <tableColumn id="5" xr3:uid="{00000000-0010-0000-0100-000005000000}" name="Marzo"/>
    <tableColumn id="6" xr3:uid="{00000000-0010-0000-0100-000006000000}" name="Abril"/>
    <tableColumn id="7" xr3:uid="{00000000-0010-0000-0100-000007000000}" name="Mayo"/>
    <tableColumn id="8" xr3:uid="{00000000-0010-0000-0100-000008000000}" name="Junio"/>
    <tableColumn id="9" xr3:uid="{00000000-0010-0000-0100-000009000000}" name="Julio"/>
    <tableColumn id="10" xr3:uid="{00000000-0010-0000-0100-00000A000000}" name="Agosto"/>
    <tableColumn id="11" xr3:uid="{00000000-0010-0000-0100-00000B000000}" name="Septiembre"/>
    <tableColumn id="12" xr3:uid="{00000000-0010-0000-0100-00000C000000}" name="Octubre"/>
    <tableColumn id="13" xr3:uid="{00000000-0010-0000-0100-00000D000000}" name="Noviembre"/>
    <tableColumn id="14" xr3:uid="{00000000-0010-0000-0100-00000E000000}" name="Diciembre"/>
    <tableColumn id="15" xr3:uid="{00000000-0010-0000-0100-00000F000000}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agosReales" displayName="tblPagosReales" ref="B7:O14">
  <autoFilter ref="B7:O14" xr:uid="{00000000-0009-0000-0100-000003000000}"/>
  <tableColumns count="14">
    <tableColumn id="2" xr3:uid="{00000000-0010-0000-0200-000002000000}" name="Categoría"/>
    <tableColumn id="3" xr3:uid="{00000000-0010-0000-0200-000003000000}" name="Enero"/>
    <tableColumn id="4" xr3:uid="{00000000-0010-0000-0200-000004000000}" name="Febrero"/>
    <tableColumn id="5" xr3:uid="{00000000-0010-0000-0200-000005000000}" name="Marzo"/>
    <tableColumn id="6" xr3:uid="{00000000-0010-0000-0200-000006000000}" name="Abril"/>
    <tableColumn id="7" xr3:uid="{00000000-0010-0000-0200-000007000000}" name="Mayo"/>
    <tableColumn id="8" xr3:uid="{00000000-0010-0000-0200-000008000000}" name="Junio"/>
    <tableColumn id="9" xr3:uid="{00000000-0010-0000-0200-000009000000}" name="Julio"/>
    <tableColumn id="10" xr3:uid="{00000000-0010-0000-0200-00000A000000}" name="Agosto"/>
    <tableColumn id="11" xr3:uid="{00000000-0010-0000-0200-00000B000000}" name="Septiembre"/>
    <tableColumn id="12" xr3:uid="{00000000-0010-0000-0200-00000C000000}" name="Octubre"/>
    <tableColumn id="13" xr3:uid="{00000000-0010-0000-0200-00000D000000}" name="Noviembre"/>
    <tableColumn id="14" xr3:uid="{00000000-0010-0000-0200-00000E000000}" name="Diciembre"/>
    <tableColumn id="15" xr3:uid="{00000000-0010-0000-0200-00000F000000}" name="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roveedores" displayName="tblProveedores" ref="B7:I27">
  <autoFilter ref="B7:I27" xr:uid="{00000000-0009-0000-0100-000004000000}"/>
  <tableColumns count="8">
    <tableColumn id="2" xr3:uid="{00000000-0010-0000-0300-000002000000}" name="Fecha" dataDxfId="13"/>
    <tableColumn id="3" xr3:uid="{00000000-0010-0000-0300-000003000000}" name="Mes"/>
    <tableColumn id="4" xr3:uid="{00000000-0010-0000-0300-000004000000}" name="Tipo"/>
    <tableColumn id="5" xr3:uid="{00000000-0010-0000-0300-000005000000}" name="Categoría"/>
    <tableColumn id="6" xr3:uid="{00000000-0010-0000-0300-000006000000}" name="Concepto"/>
    <tableColumn id="7" xr3:uid="{00000000-0010-0000-0300-000007000000}" name="Importe" dataDxfId="12"/>
    <tableColumn id="8" xr3:uid="{00000000-0010-0000-0300-000008000000}" name="Pagado por"/>
    <tableColumn id="9" xr3:uid="{00000000-0010-0000-0300-000009000000}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FlujoPagos" displayName="tblFlujoPagos" ref="B7:J19">
  <autoFilter ref="B7:J19" xr:uid="{00000000-0009-0000-0100-000005000000}"/>
  <tableColumns count="9">
    <tableColumn id="2" xr3:uid="{00000000-0010-0000-0400-000002000000}" name="Mes"/>
    <tableColumn id="3" xr3:uid="{00000000-0010-0000-0400-000003000000}" name="Presupuesto plan" dataDxfId="5"/>
    <tableColumn id="4" xr3:uid="{00000000-0010-0000-0400-000004000000}" name="Ingresos" dataDxfId="4"/>
    <tableColumn id="5" xr3:uid="{00000000-0010-0000-0400-000005000000}" name="Pagos previstos" dataDxfId="3"/>
    <tableColumn id="6" xr3:uid="{00000000-0010-0000-0400-000006000000}" name="Pagos reales" dataDxfId="2"/>
    <tableColumn id="7" xr3:uid="{00000000-0010-0000-0400-000007000000}" name="Ajustes" dataDxfId="1"/>
    <tableColumn id="8" xr3:uid="{00000000-0010-0000-0400-000008000000}" name="Saldo previsto" dataDxfId="0"/>
    <tableColumn id="9" xr3:uid="{00000000-0010-0000-0400-000009000000}" name="Comentarios"/>
    <tableColumn id="10" xr3:uid="{00000000-0010-0000-0400-00000A000000}" name="Est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hecklist" displayName="tblChecklist" ref="B9:J12">
  <autoFilter ref="B9:J12" xr:uid="{00000000-0009-0000-0100-000006000000}"/>
  <tableColumns count="9">
    <tableColumn id="2" xr3:uid="{00000000-0010-0000-0500-000002000000}" name="Tarea"/>
    <tableColumn id="3" xr3:uid="{00000000-0010-0000-0500-000003000000}" name="Área"/>
    <tableColumn id="4" xr3:uid="{00000000-0010-0000-0500-000004000000}" name="Responsable" dataDxfId="11"/>
    <tableColumn id="5" xr3:uid="{00000000-0010-0000-0500-000005000000}" name="Fecha límite" dataDxfId="10"/>
    <tableColumn id="6" xr3:uid="{00000000-0010-0000-0500-000006000000}" name="Estado"/>
    <tableColumn id="7" xr3:uid="{00000000-0010-0000-0500-000007000000}" name="Prioridad"/>
    <tableColumn id="8" xr3:uid="{00000000-0010-0000-0500-000008000000}" name="Días" dataDxfId="9"/>
    <tableColumn id="9" xr3:uid="{00000000-0010-0000-0500-000009000000}" name="Notas"/>
    <tableColumn id="10" xr3:uid="{00000000-0010-0000-0500-00000A000000}" name="Progreso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Invitados" displayName="tblInvitados" ref="B7:H10">
  <autoFilter ref="B7:H10" xr:uid="{00000000-0009-0000-0100-000007000000}"/>
  <tableColumns count="7">
    <tableColumn id="2" xr3:uid="{00000000-0010-0000-0600-000002000000}" name="Grupo"/>
    <tableColumn id="3" xr3:uid="{00000000-0010-0000-0600-000003000000}" name="Invitados previstos" dataDxfId="7"/>
    <tableColumn id="4" xr3:uid="{00000000-0010-0000-0600-000004000000}" name="Confirmados" dataDxfId="6"/>
    <tableColumn id="5" xr3:uid="{00000000-0010-0000-0600-000005000000}" name="Menú"/>
    <tableColumn id="6" xr3:uid="{00000000-0010-0000-0600-000006000000}" name="Mesa" dataDxfId="15"/>
    <tableColumn id="7" xr3:uid="{00000000-0010-0000-0600-000007000000}" name="Estado"/>
    <tableColumn id="8" xr3:uid="{00000000-0010-0000-0600-000008000000}" name="Not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arametros" displayName="tblParametros" ref="B7:C13">
  <autoFilter ref="B7:C13" xr:uid="{00000000-0009-0000-0100-000008000000}"/>
  <tableColumns count="2">
    <tableColumn id="2" xr3:uid="{00000000-0010-0000-0700-000002000000}" name="Parámetro"/>
    <tableColumn id="3" xr3:uid="{00000000-0010-0000-0700-00000300000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85D73"/>
    <pageSetUpPr fitToPage="1"/>
  </sheetPr>
  <dimension ref="B1:J39"/>
  <sheetViews>
    <sheetView showGridLines="0" tabSelected="1" zoomScale="95" workbookViewId="0"/>
  </sheetViews>
  <sheetFormatPr baseColWidth="10" defaultColWidth="9.140625" defaultRowHeight="15" x14ac:dyDescent="0.25"/>
  <cols>
    <col min="1" max="1" width="3" customWidth="1"/>
    <col min="2" max="2" width="18" customWidth="1"/>
    <col min="3" max="5" width="20" customWidth="1"/>
    <col min="6" max="6" width="3" customWidth="1"/>
    <col min="7" max="7" width="21" customWidth="1"/>
    <col min="8" max="10" width="16" customWidth="1"/>
  </cols>
  <sheetData>
    <row r="1" spans="2:10" ht="26.1" customHeight="1" x14ac:dyDescent="0.25"/>
    <row r="2" spans="2:10" ht="21.95" customHeight="1" x14ac:dyDescent="0.25">
      <c r="B2" s="38" t="s">
        <v>43</v>
      </c>
      <c r="C2" s="31"/>
      <c r="D2" s="31"/>
      <c r="E2" s="31"/>
      <c r="F2" s="31"/>
      <c r="G2" s="31"/>
      <c r="H2" s="31"/>
      <c r="I2" s="31"/>
      <c r="J2" s="31"/>
    </row>
    <row r="3" spans="2:10" ht="30" customHeight="1" x14ac:dyDescent="0.25">
      <c r="B3" s="39" t="s">
        <v>44</v>
      </c>
      <c r="C3" s="31"/>
      <c r="D3" s="31"/>
      <c r="E3" s="31"/>
      <c r="F3" s="31"/>
      <c r="G3" s="31"/>
      <c r="H3" s="31"/>
      <c r="I3" s="31"/>
      <c r="J3" s="31"/>
    </row>
    <row r="4" spans="2:10" ht="21.95" customHeight="1" x14ac:dyDescent="0.25">
      <c r="B4" s="33" t="s">
        <v>45</v>
      </c>
      <c r="C4" s="31"/>
      <c r="D4" s="31"/>
      <c r="E4" s="31"/>
      <c r="F4" s="31"/>
      <c r="G4" s="31"/>
      <c r="H4" s="31"/>
      <c r="I4" s="31"/>
      <c r="J4" s="31"/>
    </row>
    <row r="5" spans="2:10" ht="21" customHeight="1" x14ac:dyDescent="0.25"/>
    <row r="6" spans="2:10" ht="24" customHeight="1" x14ac:dyDescent="0.25">
      <c r="B6" s="43" t="s">
        <v>0</v>
      </c>
      <c r="C6" s="31"/>
      <c r="D6" s="31"/>
      <c r="E6" s="31"/>
      <c r="G6" s="36" t="s">
        <v>1</v>
      </c>
      <c r="H6" s="31"/>
      <c r="I6" s="31"/>
      <c r="J6" s="31"/>
    </row>
    <row r="7" spans="2:10" s="28" customFormat="1" ht="33.950000000000003" customHeight="1" x14ac:dyDescent="0.25">
      <c r="B7" s="1"/>
      <c r="C7" s="41" t="s">
        <v>46</v>
      </c>
      <c r="D7" s="42"/>
      <c r="E7" s="45" t="s">
        <v>47</v>
      </c>
      <c r="G7" s="2" t="s">
        <v>54</v>
      </c>
      <c r="H7" s="54">
        <f>Listas!$C$8</f>
        <v>46557</v>
      </c>
      <c r="I7" s="42"/>
      <c r="J7" s="42"/>
    </row>
    <row r="8" spans="2:10" ht="33.950000000000003" customHeight="1" x14ac:dyDescent="0.25">
      <c r="B8" s="3"/>
      <c r="C8" s="35" t="s">
        <v>48</v>
      </c>
      <c r="D8" s="31"/>
      <c r="E8" s="34" t="s">
        <v>49</v>
      </c>
      <c r="G8" s="4" t="s">
        <v>55</v>
      </c>
      <c r="H8" s="55">
        <f>Listas!$C$9</f>
        <v>18000</v>
      </c>
      <c r="I8" s="31"/>
      <c r="J8" s="31"/>
    </row>
    <row r="9" spans="2:10" ht="33.950000000000003" customHeight="1" x14ac:dyDescent="0.25">
      <c r="B9" s="3"/>
      <c r="C9" s="35" t="s">
        <v>50</v>
      </c>
      <c r="D9" s="31"/>
      <c r="E9" s="34" t="s">
        <v>51</v>
      </c>
      <c r="G9" s="4" t="s">
        <v>56</v>
      </c>
      <c r="H9" s="56">
        <f>Listas!$C$10</f>
        <v>120</v>
      </c>
      <c r="I9" s="31"/>
      <c r="J9" s="31"/>
    </row>
    <row r="10" spans="2:10" ht="33.950000000000003" customHeight="1" x14ac:dyDescent="0.25">
      <c r="B10" s="3"/>
      <c r="C10" s="35" t="s">
        <v>52</v>
      </c>
      <c r="D10" s="31"/>
      <c r="E10" s="34" t="s">
        <v>53</v>
      </c>
      <c r="G10" s="4" t="s">
        <v>57</v>
      </c>
      <c r="H10" s="40" t="str">
        <f>Listas!$C$11</f>
        <v>Laura</v>
      </c>
      <c r="I10" s="31"/>
      <c r="J10" s="31"/>
    </row>
    <row r="11" spans="2:10" ht="21" customHeight="1" x14ac:dyDescent="0.25">
      <c r="G11" s="4" t="s">
        <v>58</v>
      </c>
      <c r="H11" s="40" t="str">
        <f>Listas!$C$12</f>
        <v>Álvaro</v>
      </c>
      <c r="I11" s="31"/>
      <c r="J11" s="31"/>
    </row>
    <row r="12" spans="2:10" ht="21" customHeight="1" x14ac:dyDescent="0.25"/>
    <row r="13" spans="2:10" ht="21" customHeight="1" x14ac:dyDescent="0.25"/>
    <row r="14" spans="2:10" ht="24" customHeight="1" x14ac:dyDescent="0.25">
      <c r="B14" s="44" t="s">
        <v>2</v>
      </c>
      <c r="C14" s="31"/>
      <c r="D14" s="31"/>
      <c r="E14" s="31"/>
      <c r="F14" s="31"/>
      <c r="G14" s="31"/>
      <c r="H14" s="31"/>
      <c r="I14" s="31"/>
      <c r="J14" s="31"/>
    </row>
    <row r="15" spans="2:10" ht="23.1" customHeight="1" x14ac:dyDescent="0.25">
      <c r="B15" s="5" t="s">
        <v>3</v>
      </c>
      <c r="C15" s="32" t="s">
        <v>59</v>
      </c>
      <c r="D15" s="31"/>
      <c r="E15" s="31"/>
      <c r="F15" s="31"/>
      <c r="G15" s="31"/>
      <c r="H15" s="31"/>
      <c r="I15" s="31"/>
      <c r="J15" s="31"/>
    </row>
    <row r="16" spans="2:10" ht="23.1" customHeight="1" x14ac:dyDescent="0.25">
      <c r="B16" s="6" t="s">
        <v>4</v>
      </c>
      <c r="C16" s="37" t="s">
        <v>60</v>
      </c>
      <c r="D16" s="31"/>
      <c r="E16" s="31"/>
      <c r="F16" s="31"/>
      <c r="G16" s="31"/>
      <c r="H16" s="31"/>
      <c r="I16" s="31"/>
      <c r="J16" s="31"/>
    </row>
    <row r="17" spans="2:10" ht="23.1" customHeight="1" x14ac:dyDescent="0.25">
      <c r="B17" s="5" t="s">
        <v>61</v>
      </c>
      <c r="C17" s="32" t="s">
        <v>62</v>
      </c>
      <c r="D17" s="31"/>
      <c r="E17" s="31"/>
      <c r="F17" s="31"/>
      <c r="G17" s="31"/>
      <c r="H17" s="31"/>
      <c r="I17" s="31"/>
      <c r="J17" s="31"/>
    </row>
    <row r="18" spans="2:10" ht="23.1" customHeight="1" x14ac:dyDescent="0.25">
      <c r="B18" s="6" t="s">
        <v>63</v>
      </c>
      <c r="C18" s="37" t="s">
        <v>64</v>
      </c>
      <c r="D18" s="31"/>
      <c r="E18" s="31"/>
      <c r="F18" s="31"/>
      <c r="G18" s="31"/>
      <c r="H18" s="31"/>
      <c r="I18" s="31"/>
      <c r="J18" s="31"/>
    </row>
    <row r="19" spans="2:10" ht="23.1" customHeight="1" x14ac:dyDescent="0.25">
      <c r="B19" s="5" t="s">
        <v>65</v>
      </c>
      <c r="C19" s="32" t="s">
        <v>66</v>
      </c>
      <c r="D19" s="31"/>
      <c r="E19" s="31"/>
      <c r="F19" s="31"/>
      <c r="G19" s="31"/>
      <c r="H19" s="31"/>
      <c r="I19" s="31"/>
      <c r="J19" s="31"/>
    </row>
    <row r="20" spans="2:10" ht="23.1" customHeight="1" x14ac:dyDescent="0.25">
      <c r="B20" s="6" t="s">
        <v>67</v>
      </c>
      <c r="C20" s="37" t="s">
        <v>68</v>
      </c>
      <c r="D20" s="31"/>
      <c r="E20" s="31"/>
      <c r="F20" s="31"/>
      <c r="G20" s="31"/>
      <c r="H20" s="31"/>
      <c r="I20" s="31"/>
      <c r="J20" s="31"/>
    </row>
    <row r="21" spans="2:10" ht="23.1" customHeight="1" x14ac:dyDescent="0.25">
      <c r="B21" s="5" t="s">
        <v>69</v>
      </c>
      <c r="C21" s="32" t="s">
        <v>70</v>
      </c>
      <c r="D21" s="31"/>
      <c r="E21" s="31"/>
      <c r="F21" s="31"/>
      <c r="G21" s="31"/>
      <c r="H21" s="31"/>
      <c r="I21" s="31"/>
      <c r="J21" s="31"/>
    </row>
    <row r="22" spans="2:10" ht="23.1" customHeight="1" x14ac:dyDescent="0.25">
      <c r="B22" s="6" t="s">
        <v>5</v>
      </c>
      <c r="C22" s="37" t="s">
        <v>71</v>
      </c>
      <c r="D22" s="31"/>
      <c r="E22" s="31"/>
      <c r="F22" s="31"/>
      <c r="G22" s="31"/>
      <c r="H22" s="31"/>
      <c r="I22" s="31"/>
      <c r="J22" s="31"/>
    </row>
    <row r="23" spans="2:10" ht="21" customHeight="1" x14ac:dyDescent="0.25"/>
    <row r="24" spans="2:10" ht="21" customHeight="1" x14ac:dyDescent="0.25"/>
    <row r="25" spans="2:10" ht="21" customHeight="1" x14ac:dyDescent="0.25">
      <c r="B25" s="30" t="s">
        <v>72</v>
      </c>
      <c r="C25" s="31"/>
      <c r="D25" s="31"/>
      <c r="E25" s="31"/>
      <c r="F25" s="31"/>
      <c r="G25" s="31"/>
      <c r="H25" s="31"/>
      <c r="I25" s="31"/>
      <c r="J25" s="31"/>
    </row>
    <row r="26" spans="2:10" ht="21" customHeight="1" x14ac:dyDescent="0.25">
      <c r="B26" s="31"/>
      <c r="C26" s="31"/>
      <c r="D26" s="31"/>
      <c r="E26" s="31"/>
      <c r="F26" s="31"/>
      <c r="G26" s="31"/>
      <c r="H26" s="31"/>
      <c r="I26" s="31"/>
      <c r="J26" s="31"/>
    </row>
    <row r="27" spans="2:10" ht="21" customHeight="1" x14ac:dyDescent="0.25">
      <c r="B27" s="31"/>
      <c r="C27" s="31"/>
      <c r="D27" s="31"/>
      <c r="E27" s="31"/>
      <c r="F27" s="31"/>
      <c r="G27" s="31"/>
      <c r="H27" s="31"/>
      <c r="I27" s="31"/>
      <c r="J27" s="31"/>
    </row>
    <row r="28" spans="2:10" ht="21" customHeight="1" x14ac:dyDescent="0.25"/>
    <row r="29" spans="2:10" ht="21" customHeight="1" x14ac:dyDescent="0.25"/>
    <row r="30" spans="2:10" ht="21" customHeight="1" x14ac:dyDescent="0.25"/>
    <row r="31" spans="2:10" ht="21" customHeight="1" x14ac:dyDescent="0.25"/>
    <row r="32" spans="2:10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28">
    <mergeCell ref="B2:J2"/>
    <mergeCell ref="C18:J18"/>
    <mergeCell ref="B3:J3"/>
    <mergeCell ref="H10:J10"/>
    <mergeCell ref="C7:D7"/>
    <mergeCell ref="C15:J15"/>
    <mergeCell ref="B6:E6"/>
    <mergeCell ref="B14:J14"/>
    <mergeCell ref="E7"/>
    <mergeCell ref="H11:J11"/>
    <mergeCell ref="H7:J7"/>
    <mergeCell ref="C10:D10"/>
    <mergeCell ref="B25:J27"/>
    <mergeCell ref="H9:J9"/>
    <mergeCell ref="C19:J19"/>
    <mergeCell ref="B4:J4"/>
    <mergeCell ref="E10"/>
    <mergeCell ref="C8:D8"/>
    <mergeCell ref="E9"/>
    <mergeCell ref="G6:J6"/>
    <mergeCell ref="C20:J20"/>
    <mergeCell ref="C16:J16"/>
    <mergeCell ref="C22:J22"/>
    <mergeCell ref="C9:D9"/>
    <mergeCell ref="E8"/>
    <mergeCell ref="C21:J21"/>
    <mergeCell ref="H8:J8"/>
    <mergeCell ref="C17:J17"/>
  </mergeCells>
  <pageMargins left="0.25" right="0.25" top="0.35" bottom="0.3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85D73"/>
    <pageSetUpPr fitToPage="1"/>
  </sheetPr>
  <dimension ref="B1:N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2" customWidth="1"/>
    <col min="3" max="5" width="16" customWidth="1"/>
    <col min="6" max="6" width="14" customWidth="1"/>
    <col min="7" max="7" width="3" customWidth="1"/>
    <col min="8" max="14" width="12" customWidth="1"/>
  </cols>
  <sheetData>
    <row r="1" spans="2:14" ht="26.1" customHeight="1" x14ac:dyDescent="0.25"/>
    <row r="2" spans="2:14" ht="21.95" customHeight="1" x14ac:dyDescent="0.25">
      <c r="B2" s="38" t="s">
        <v>129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2:14" ht="30" customHeight="1" x14ac:dyDescent="0.25">
      <c r="B3" s="39" t="s">
        <v>130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2:14" ht="21.95" customHeight="1" x14ac:dyDescent="0.25">
      <c r="B4" s="33" t="s">
        <v>131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2:14" ht="21" customHeight="1" x14ac:dyDescent="0.25">
      <c r="B5" s="7" t="s">
        <v>54</v>
      </c>
      <c r="C5" s="67">
        <f>Listas!$C$8</f>
        <v>46557</v>
      </c>
    </row>
    <row r="6" spans="2:14" ht="20.100000000000001" customHeight="1" x14ac:dyDescent="0.25">
      <c r="B6" s="48" t="s">
        <v>132</v>
      </c>
      <c r="C6" s="42"/>
      <c r="D6" s="42"/>
      <c r="E6" s="49" t="s">
        <v>133</v>
      </c>
      <c r="F6" s="42"/>
      <c r="G6" s="42"/>
      <c r="H6" s="48" t="s">
        <v>134</v>
      </c>
      <c r="I6" s="42"/>
      <c r="J6" s="42"/>
      <c r="K6" s="47" t="s">
        <v>135</v>
      </c>
      <c r="L6" s="42"/>
      <c r="M6" s="42"/>
    </row>
    <row r="7" spans="2:14" s="28" customFormat="1" ht="27.95" customHeight="1" x14ac:dyDescent="0.25">
      <c r="B7" s="68">
        <f>SUM(Presupuesto!C8:N14)</f>
        <v>17200</v>
      </c>
      <c r="C7" s="42"/>
      <c r="D7" s="42"/>
      <c r="E7" s="69">
        <f>SUMIFS(Proveedores!$G$8:$G$200,Proveedores!$D$8:$D$200,"Pago")</f>
        <v>3750</v>
      </c>
      <c r="F7" s="70"/>
      <c r="G7" s="70"/>
      <c r="H7" s="68">
        <f>B7-E7</f>
        <v>13450</v>
      </c>
      <c r="I7" s="42"/>
      <c r="J7" s="42"/>
      <c r="K7" s="71">
        <f>Invitados!D11</f>
        <v>98</v>
      </c>
      <c r="L7" s="42"/>
      <c r="M7" s="42"/>
    </row>
    <row r="8" spans="2:14" ht="20.100000000000001" customHeight="1" x14ac:dyDescent="0.25"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2:14" ht="21" customHeight="1" x14ac:dyDescent="0.25"/>
    <row r="10" spans="2:14" ht="24" customHeight="1" x14ac:dyDescent="0.25">
      <c r="B10" s="44" t="s">
        <v>136</v>
      </c>
      <c r="C10" s="31"/>
      <c r="D10" s="31"/>
      <c r="E10" s="31"/>
      <c r="F10" s="31"/>
    </row>
    <row r="11" spans="2:14" ht="32.1" customHeight="1" x14ac:dyDescent="0.25">
      <c r="B11" s="8" t="s">
        <v>6</v>
      </c>
      <c r="C11" s="8" t="s">
        <v>7</v>
      </c>
      <c r="D11" s="8" t="s">
        <v>92</v>
      </c>
      <c r="E11" s="8" t="s">
        <v>30</v>
      </c>
      <c r="F11" s="8" t="s">
        <v>137</v>
      </c>
    </row>
    <row r="12" spans="2:14" ht="21.95" customHeight="1" x14ac:dyDescent="0.25">
      <c r="B12" s="9" t="str">
        <f>Presupuesto!B8</f>
        <v>Lugar y ceremonia</v>
      </c>
      <c r="C12" s="60">
        <f>SUM(Presupuesto!C8:N8)</f>
        <v>3500</v>
      </c>
      <c r="D12" s="60">
        <f>SUMIFS(Proveedores!$G$8:$G$200,Proveedores!$D$8:$D$200,"Pago",Proveedores!$E$8:$E$200,$B12)</f>
        <v>2000</v>
      </c>
      <c r="E12" s="10">
        <f>C12-D12</f>
        <v>1500</v>
      </c>
      <c r="F12" s="11">
        <f>IFERROR(D12/C12,0)</f>
        <v>0.5714285714285714</v>
      </c>
    </row>
    <row r="13" spans="2:14" ht="21.95" customHeight="1" x14ac:dyDescent="0.25">
      <c r="B13" s="9" t="str">
        <f>Presupuesto!B9</f>
        <v>Banquete</v>
      </c>
      <c r="C13" s="60">
        <f>SUM(Presupuesto!C9:N9)</f>
        <v>5000</v>
      </c>
      <c r="D13" s="60">
        <f>SUMIFS(Proveedores!$G$8:$G$200,Proveedores!$D$8:$D$200,"Pago",Proveedores!$E$8:$E$200,$B13)</f>
        <v>0</v>
      </c>
      <c r="E13" s="10">
        <f>C13-D13</f>
        <v>5000</v>
      </c>
      <c r="F13" s="11">
        <f>IFERROR(D13/C13,0)</f>
        <v>0</v>
      </c>
    </row>
    <row r="14" spans="2:14" ht="21.95" customHeight="1" x14ac:dyDescent="0.25">
      <c r="B14" s="9" t="str">
        <f>Presupuesto!B10</f>
        <v>Fotografía y vídeo</v>
      </c>
      <c r="C14" s="60">
        <f>SUM(Presupuesto!C10:N10)</f>
        <v>1800</v>
      </c>
      <c r="D14" s="60">
        <f>SUMIFS(Proveedores!$G$8:$G$200,Proveedores!$D$8:$D$200,"Pago",Proveedores!$E$8:$E$200,$B14)</f>
        <v>600</v>
      </c>
      <c r="E14" s="10">
        <f>C14-D14</f>
        <v>1200</v>
      </c>
      <c r="F14" s="11">
        <f>IFERROR(D14/C14,0)</f>
        <v>0.33333333333333331</v>
      </c>
    </row>
    <row r="15" spans="2:14" ht="21.95" customHeight="1" x14ac:dyDescent="0.25">
      <c r="B15" s="9" t="str">
        <f>Presupuesto!B11</f>
        <v>Música</v>
      </c>
      <c r="C15" s="60">
        <f>SUM(Presupuesto!C11:N11)</f>
        <v>1200</v>
      </c>
      <c r="D15" s="60">
        <f>SUMIFS(Proveedores!$G$8:$G$200,Proveedores!$D$8:$D$200,"Pago",Proveedores!$E$8:$E$200,$B15)</f>
        <v>0</v>
      </c>
      <c r="E15" s="10">
        <f>C15-D15</f>
        <v>1200</v>
      </c>
      <c r="F15" s="11">
        <f>IFERROR(D15/C15,0)</f>
        <v>0</v>
      </c>
    </row>
    <row r="16" spans="2:14" ht="21.95" customHeight="1" x14ac:dyDescent="0.25">
      <c r="B16" s="9" t="str">
        <f>Presupuesto!B12</f>
        <v>Decoración y flores</v>
      </c>
      <c r="C16" s="60">
        <f>SUM(Presupuesto!C12:N12)</f>
        <v>1600</v>
      </c>
      <c r="D16" s="60">
        <f>SUMIFS(Proveedores!$G$8:$G$200,Proveedores!$D$8:$D$200,"Pago",Proveedores!$E$8:$E$200,$B16)</f>
        <v>0</v>
      </c>
      <c r="E16" s="10">
        <f>C16-D16</f>
        <v>1600</v>
      </c>
      <c r="F16" s="11">
        <f>IFERROR(D16/C16,0)</f>
        <v>0</v>
      </c>
    </row>
    <row r="17" spans="2:6" ht="21.95" customHeight="1" x14ac:dyDescent="0.25">
      <c r="B17" s="9" t="str">
        <f>Presupuesto!B13</f>
        <v>Vestuario y belleza</v>
      </c>
      <c r="C17" s="60">
        <f>SUM(Presupuesto!C13:N13)</f>
        <v>2000</v>
      </c>
      <c r="D17" s="60">
        <f>SUMIFS(Proveedores!$G$8:$G$200,Proveedores!$D$8:$D$200,"Pago",Proveedores!$E$8:$E$200,$B17)</f>
        <v>800</v>
      </c>
      <c r="E17" s="10">
        <f>C17-D17</f>
        <v>1200</v>
      </c>
      <c r="F17" s="11">
        <f>IFERROR(D17/C17,0)</f>
        <v>0.4</v>
      </c>
    </row>
    <row r="18" spans="2:6" ht="21.95" customHeight="1" x14ac:dyDescent="0.25">
      <c r="B18" s="9" t="str">
        <f>Presupuesto!B14</f>
        <v>Papelería y detalles</v>
      </c>
      <c r="C18" s="60">
        <f>SUM(Presupuesto!C14:N14)</f>
        <v>2100</v>
      </c>
      <c r="D18" s="60">
        <f>SUMIFS(Proveedores!$G$8:$G$200,Proveedores!$D$8:$D$200,"Pago",Proveedores!$E$8:$E$200,$B18)</f>
        <v>350</v>
      </c>
      <c r="E18" s="10">
        <f>C18-D18</f>
        <v>1750</v>
      </c>
      <c r="F18" s="11">
        <f>IFERROR(D18/C18,0)</f>
        <v>0.16666666666666666</v>
      </c>
    </row>
    <row r="19" spans="2:6" ht="21.95" customHeight="1" x14ac:dyDescent="0.25">
      <c r="B19" s="58" t="s">
        <v>8</v>
      </c>
      <c r="C19" s="59">
        <f>SUM(C12:C18)</f>
        <v>17200</v>
      </c>
      <c r="D19" s="59">
        <f>SUM(D12:D18)</f>
        <v>3750</v>
      </c>
      <c r="E19" s="59">
        <f>SUM(E12:E18)</f>
        <v>13450</v>
      </c>
      <c r="F19" s="72">
        <f>IFERROR(D19/C19,0)</f>
        <v>0.21802325581395349</v>
      </c>
    </row>
    <row r="20" spans="2:6" ht="21" customHeight="1" x14ac:dyDescent="0.25"/>
    <row r="21" spans="2:6" ht="21" customHeight="1" x14ac:dyDescent="0.25"/>
    <row r="22" spans="2:6" ht="21" customHeight="1" x14ac:dyDescent="0.25">
      <c r="B22" s="46" t="s">
        <v>138</v>
      </c>
      <c r="C22" s="31"/>
      <c r="D22" s="31"/>
      <c r="E22" s="31"/>
      <c r="F22" s="31"/>
    </row>
    <row r="23" spans="2:6" ht="21" customHeight="1" x14ac:dyDescent="0.25">
      <c r="B23" s="31"/>
      <c r="C23" s="31"/>
      <c r="D23" s="31"/>
      <c r="E23" s="31"/>
      <c r="F23" s="31"/>
    </row>
    <row r="24" spans="2:6" ht="21" customHeight="1" x14ac:dyDescent="0.25">
      <c r="B24" s="31"/>
      <c r="C24" s="31"/>
      <c r="D24" s="31"/>
      <c r="E24" s="31"/>
      <c r="F24" s="31"/>
    </row>
    <row r="25" spans="2:6" ht="21" customHeight="1" x14ac:dyDescent="0.25"/>
    <row r="26" spans="2:6" ht="21" customHeight="1" x14ac:dyDescent="0.25"/>
    <row r="27" spans="2:6" ht="21" customHeight="1" x14ac:dyDescent="0.25"/>
    <row r="28" spans="2:6" ht="21" customHeight="1" x14ac:dyDescent="0.25"/>
    <row r="29" spans="2:6" ht="21" customHeight="1" x14ac:dyDescent="0.25"/>
    <row r="30" spans="2:6" ht="21" customHeight="1" x14ac:dyDescent="0.25"/>
    <row r="31" spans="2:6" ht="21" customHeight="1" x14ac:dyDescent="0.25"/>
    <row r="32" spans="2:6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13">
    <mergeCell ref="H7:J8"/>
    <mergeCell ref="B22:F24"/>
    <mergeCell ref="B2:N2"/>
    <mergeCell ref="K6:M6"/>
    <mergeCell ref="K7:M8"/>
    <mergeCell ref="B4:N4"/>
    <mergeCell ref="B10:F10"/>
    <mergeCell ref="B3:N3"/>
    <mergeCell ref="B6:D6"/>
    <mergeCell ref="B7:D8"/>
    <mergeCell ref="E6:G6"/>
    <mergeCell ref="E7:G8"/>
    <mergeCell ref="H6:J6"/>
  </mergeCells>
  <conditionalFormatting sqref="E12:E18">
    <cfRule type="cellIs" dxfId="14" priority="1" operator="lessThan">
      <formula>0</formula>
    </cfRule>
  </conditionalFormatting>
  <conditionalFormatting sqref="F12:F18">
    <cfRule type="dataBar" priority="2">
      <dataBar>
        <cfvo type="num" val="0"/>
        <cfvo type="max"/>
        <color rgb="FFA85D73"/>
      </dataBar>
    </cfRule>
  </conditionalFormatting>
  <pageMargins left="0.25" right="0.25" top="0.35" bottom="0.35" header="0.5" footer="0.5"/>
  <pageSetup fitToHeight="0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Selecciona un valor de la lista." promptTitle="Lista" prompt="Elige una opción para mantener los resúmenes consistentes." xr:uid="{00000000-0002-0000-0100-000000000000}">
          <x14:formula1>
            <xm:f>Listas!$E$7:$E$18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A2E46"/>
    <pageSetUpPr fitToPage="1"/>
  </sheetPr>
  <dimension ref="B1:O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3" customWidth="1"/>
    <col min="3" max="14" width="11" customWidth="1"/>
    <col min="15" max="15" width="15" customWidth="1"/>
  </cols>
  <sheetData>
    <row r="1" spans="2:15" ht="26.1" customHeight="1" x14ac:dyDescent="0.25"/>
    <row r="2" spans="2:15" ht="21.95" customHeight="1" x14ac:dyDescent="0.25">
      <c r="B2" s="38" t="s">
        <v>94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2:15" ht="30" customHeight="1" x14ac:dyDescent="0.25">
      <c r="B3" s="39" t="s">
        <v>95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2:15" ht="21.95" customHeight="1" x14ac:dyDescent="0.25">
      <c r="B4" s="33" t="s">
        <v>96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2:15" ht="21" customHeight="1" x14ac:dyDescent="0.25"/>
    <row r="6" spans="2:15" ht="24" customHeight="1" x14ac:dyDescent="0.25">
      <c r="B6" s="44" t="s">
        <v>97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2:15" s="28" customFormat="1" ht="32.1" customHeight="1" x14ac:dyDescent="0.25">
      <c r="B7" s="13" t="s">
        <v>6</v>
      </c>
      <c r="C7" s="13" t="s">
        <v>9</v>
      </c>
      <c r="D7" s="13" t="s">
        <v>10</v>
      </c>
      <c r="E7" s="13" t="s">
        <v>11</v>
      </c>
      <c r="F7" s="13" t="s">
        <v>12</v>
      </c>
      <c r="G7" s="13" t="s">
        <v>13</v>
      </c>
      <c r="H7" s="13" t="s">
        <v>14</v>
      </c>
      <c r="I7" s="13" t="s">
        <v>15</v>
      </c>
      <c r="J7" s="13" t="s">
        <v>16</v>
      </c>
      <c r="K7" s="13" t="s">
        <v>17</v>
      </c>
      <c r="L7" s="13" t="s">
        <v>18</v>
      </c>
      <c r="M7" s="13" t="s">
        <v>19</v>
      </c>
      <c r="N7" s="13" t="s">
        <v>20</v>
      </c>
      <c r="O7" s="13" t="s">
        <v>98</v>
      </c>
    </row>
    <row r="8" spans="2:15" ht="21.95" customHeight="1" x14ac:dyDescent="0.25">
      <c r="B8" s="14" t="s">
        <v>83</v>
      </c>
      <c r="C8" s="15">
        <v>0</v>
      </c>
      <c r="D8" s="15">
        <v>0</v>
      </c>
      <c r="E8" s="15">
        <v>2000</v>
      </c>
      <c r="F8" s="15">
        <v>0</v>
      </c>
      <c r="G8" s="15">
        <v>1500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0">
        <f>SUM(C8:N8)</f>
        <v>3500</v>
      </c>
    </row>
    <row r="9" spans="2:15" ht="21.95" customHeight="1" x14ac:dyDescent="0.25">
      <c r="B9" s="14" t="s">
        <v>84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5000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0">
        <f>SUM(C9:N9)</f>
        <v>5000</v>
      </c>
    </row>
    <row r="10" spans="2:15" ht="21.95" customHeight="1" x14ac:dyDescent="0.25">
      <c r="B10" s="14" t="s">
        <v>85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1800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0">
        <f>SUM(C10:N10)</f>
        <v>1800</v>
      </c>
    </row>
    <row r="11" spans="2:15" ht="21.95" customHeight="1" x14ac:dyDescent="0.25">
      <c r="B11" s="14" t="s">
        <v>86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1200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0">
        <f>SUM(C11:N11)</f>
        <v>1200</v>
      </c>
    </row>
    <row r="12" spans="2:15" ht="21.95" customHeight="1" x14ac:dyDescent="0.25">
      <c r="B12" s="14" t="s">
        <v>87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1600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0">
        <f>SUM(C12:N12)</f>
        <v>1600</v>
      </c>
    </row>
    <row r="13" spans="2:15" ht="21.95" customHeight="1" x14ac:dyDescent="0.25">
      <c r="B13" s="14" t="s">
        <v>88</v>
      </c>
      <c r="C13" s="15">
        <v>300</v>
      </c>
      <c r="D13" s="15">
        <v>800</v>
      </c>
      <c r="E13" s="15">
        <v>300</v>
      </c>
      <c r="F13" s="15">
        <v>0</v>
      </c>
      <c r="G13" s="15">
        <v>0</v>
      </c>
      <c r="H13" s="15">
        <v>600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0">
        <f>SUM(C13:N13)</f>
        <v>2000</v>
      </c>
    </row>
    <row r="14" spans="2:15" ht="21.95" customHeight="1" x14ac:dyDescent="0.25">
      <c r="B14" s="14" t="s">
        <v>89</v>
      </c>
      <c r="C14" s="15">
        <v>250</v>
      </c>
      <c r="D14" s="15">
        <v>250</v>
      </c>
      <c r="E14" s="15">
        <v>350</v>
      </c>
      <c r="F14" s="15">
        <v>350</v>
      </c>
      <c r="G14" s="15">
        <v>400</v>
      </c>
      <c r="H14" s="15">
        <v>500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0">
        <f>SUM(C14:N14)</f>
        <v>2100</v>
      </c>
    </row>
    <row r="15" spans="2:15" ht="21.95" customHeight="1" x14ac:dyDescent="0.25">
      <c r="B15" s="58" t="s">
        <v>99</v>
      </c>
      <c r="C15" s="59">
        <f>SUM(C8:C14)</f>
        <v>550</v>
      </c>
      <c r="D15" s="59">
        <f>SUM(D8:D14)</f>
        <v>1050</v>
      </c>
      <c r="E15" s="59">
        <f>SUM(E8:E14)</f>
        <v>2650</v>
      </c>
      <c r="F15" s="59">
        <f>SUM(F8:F14)</f>
        <v>350</v>
      </c>
      <c r="G15" s="59">
        <f>SUM(G8:G14)</f>
        <v>1900</v>
      </c>
      <c r="H15" s="59">
        <f>SUM(H8:H14)</f>
        <v>10700</v>
      </c>
      <c r="I15" s="59">
        <f>SUM(I8:I14)</f>
        <v>0</v>
      </c>
      <c r="J15" s="59">
        <f>SUM(J8:J14)</f>
        <v>0</v>
      </c>
      <c r="K15" s="59">
        <f>SUM(K8:K14)</f>
        <v>0</v>
      </c>
      <c r="L15" s="59">
        <f>SUM(L8:L14)</f>
        <v>0</v>
      </c>
      <c r="M15" s="59">
        <f>SUM(M8:M14)</f>
        <v>0</v>
      </c>
      <c r="N15" s="59">
        <f>SUM(N8:N14)</f>
        <v>0</v>
      </c>
      <c r="O15" s="59">
        <f>SUM(O8:O14)</f>
        <v>17200</v>
      </c>
    </row>
    <row r="16" spans="2:15" ht="21" customHeight="1" x14ac:dyDescent="0.25"/>
    <row r="17" spans="2:15" ht="21" customHeight="1" x14ac:dyDescent="0.25"/>
    <row r="18" spans="2:15" ht="21" customHeight="1" x14ac:dyDescent="0.25">
      <c r="B18" s="46" t="s">
        <v>100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2:15" ht="21" customHeight="1" x14ac:dyDescent="0.25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2:15" ht="21" customHeight="1" x14ac:dyDescent="0.25"/>
    <row r="21" spans="2:15" ht="21" customHeight="1" x14ac:dyDescent="0.25"/>
    <row r="22" spans="2:15" ht="21" customHeight="1" x14ac:dyDescent="0.25"/>
    <row r="23" spans="2:15" ht="21" customHeight="1" x14ac:dyDescent="0.25"/>
    <row r="24" spans="2:15" ht="21" customHeight="1" x14ac:dyDescent="0.25"/>
    <row r="25" spans="2:15" ht="21" customHeight="1" x14ac:dyDescent="0.25"/>
    <row r="26" spans="2:15" ht="21" customHeight="1" x14ac:dyDescent="0.25"/>
    <row r="27" spans="2:15" ht="21" customHeight="1" x14ac:dyDescent="0.25"/>
    <row r="28" spans="2:15" ht="21" customHeight="1" x14ac:dyDescent="0.25"/>
    <row r="29" spans="2:15" ht="21" customHeight="1" x14ac:dyDescent="0.25"/>
    <row r="30" spans="2:15" ht="21" customHeight="1" x14ac:dyDescent="0.25"/>
    <row r="31" spans="2:15" ht="21" customHeight="1" x14ac:dyDescent="0.25"/>
    <row r="32" spans="2:15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18:O19"/>
    <mergeCell ref="B4:O4"/>
    <mergeCell ref="B6:O6"/>
    <mergeCell ref="B2:O2"/>
    <mergeCell ref="B3:O3"/>
  </mergeCells>
  <pageMargins left="0.25" right="0.25" top="0.35" bottom="0.35" header="0.5" footer="0.5"/>
  <pageSetup fitToHeight="0"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A2E46"/>
    <pageSetUpPr fitToPage="1"/>
  </sheetPr>
  <dimension ref="B1:O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3" customWidth="1"/>
    <col min="3" max="14" width="11" customWidth="1"/>
    <col min="15" max="15" width="15" customWidth="1"/>
  </cols>
  <sheetData>
    <row r="1" spans="2:15" ht="26.1" customHeight="1" x14ac:dyDescent="0.25"/>
    <row r="2" spans="2:15" ht="21.95" customHeight="1" x14ac:dyDescent="0.25">
      <c r="B2" s="38" t="s">
        <v>101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2:15" ht="30" customHeight="1" x14ac:dyDescent="0.25">
      <c r="B3" s="39" t="s">
        <v>102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2:15" ht="21.95" customHeight="1" x14ac:dyDescent="0.25">
      <c r="B4" s="33" t="s">
        <v>103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2:15" ht="21" customHeight="1" x14ac:dyDescent="0.25"/>
    <row r="6" spans="2:15" ht="24" customHeight="1" x14ac:dyDescent="0.25">
      <c r="B6" s="36" t="s">
        <v>104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2:15" s="28" customFormat="1" ht="32.1" customHeight="1" x14ac:dyDescent="0.25">
      <c r="B7" s="13" t="s">
        <v>6</v>
      </c>
      <c r="C7" s="13" t="s">
        <v>9</v>
      </c>
      <c r="D7" s="13" t="s">
        <v>10</v>
      </c>
      <c r="E7" s="13" t="s">
        <v>11</v>
      </c>
      <c r="F7" s="13" t="s">
        <v>12</v>
      </c>
      <c r="G7" s="13" t="s">
        <v>13</v>
      </c>
      <c r="H7" s="13" t="s">
        <v>14</v>
      </c>
      <c r="I7" s="13" t="s">
        <v>15</v>
      </c>
      <c r="J7" s="13" t="s">
        <v>16</v>
      </c>
      <c r="K7" s="13" t="s">
        <v>17</v>
      </c>
      <c r="L7" s="13" t="s">
        <v>18</v>
      </c>
      <c r="M7" s="13" t="s">
        <v>19</v>
      </c>
      <c r="N7" s="13" t="s">
        <v>20</v>
      </c>
      <c r="O7" s="13" t="s">
        <v>98</v>
      </c>
    </row>
    <row r="8" spans="2:15" ht="21.95" customHeight="1" x14ac:dyDescent="0.25">
      <c r="B8" s="9" t="str">
        <f>Presupuesto!B8</f>
        <v>Lugar y ceremonia</v>
      </c>
      <c r="C8" s="10">
        <f>SUMIFS(Proveedores!$G$8:$G$200,Proveedores!$D$8:$D$200,"Pago",Proveedores!$E$8:$E$200,$B8,Proveedores!$C$8:$C$200,C$7)</f>
        <v>2000</v>
      </c>
      <c r="D8" s="10">
        <f>SUMIFS(Proveedores!$G$8:$G$200,Proveedores!$D$8:$D$200,"Pago",Proveedores!$E$8:$E$200,$B8,Proveedores!$C$8:$C$200,D$7)</f>
        <v>0</v>
      </c>
      <c r="E8" s="10">
        <f>SUMIFS(Proveedores!$G$8:$G$200,Proveedores!$D$8:$D$200,"Pago",Proveedores!$E$8:$E$200,$B8,Proveedores!$C$8:$C$200,E$7)</f>
        <v>0</v>
      </c>
      <c r="F8" s="10">
        <f>SUMIFS(Proveedores!$G$8:$G$200,Proveedores!$D$8:$D$200,"Pago",Proveedores!$E$8:$E$200,$B8,Proveedores!$C$8:$C$200,F$7)</f>
        <v>0</v>
      </c>
      <c r="G8" s="10">
        <f>SUMIFS(Proveedores!$G$8:$G$200,Proveedores!$D$8:$D$200,"Pago",Proveedores!$E$8:$E$200,$B8,Proveedores!$C$8:$C$200,G$7)</f>
        <v>0</v>
      </c>
      <c r="H8" s="10">
        <f>SUMIFS(Proveedores!$G$8:$G$200,Proveedores!$D$8:$D$200,"Pago",Proveedores!$E$8:$E$200,$B8,Proveedores!$C$8:$C$200,H$7)</f>
        <v>0</v>
      </c>
      <c r="I8" s="10">
        <f>SUMIFS(Proveedores!$G$8:$G$200,Proveedores!$D$8:$D$200,"Pago",Proveedores!$E$8:$E$200,$B8,Proveedores!$C$8:$C$200,I$7)</f>
        <v>0</v>
      </c>
      <c r="J8" s="10">
        <f>SUMIFS(Proveedores!$G$8:$G$200,Proveedores!$D$8:$D$200,"Pago",Proveedores!$E$8:$E$200,$B8,Proveedores!$C$8:$C$200,J$7)</f>
        <v>0</v>
      </c>
      <c r="K8" s="10">
        <f>SUMIFS(Proveedores!$G$8:$G$200,Proveedores!$D$8:$D$200,"Pago",Proveedores!$E$8:$E$200,$B8,Proveedores!$C$8:$C$200,K$7)</f>
        <v>0</v>
      </c>
      <c r="L8" s="10">
        <f>SUMIFS(Proveedores!$G$8:$G$200,Proveedores!$D$8:$D$200,"Pago",Proveedores!$E$8:$E$200,$B8,Proveedores!$C$8:$C$200,L$7)</f>
        <v>0</v>
      </c>
      <c r="M8" s="10">
        <f>SUMIFS(Proveedores!$G$8:$G$200,Proveedores!$D$8:$D$200,"Pago",Proveedores!$E$8:$E$200,$B8,Proveedores!$C$8:$C$200,M$7)</f>
        <v>0</v>
      </c>
      <c r="N8" s="10">
        <f>SUMIFS(Proveedores!$G$8:$G$200,Proveedores!$D$8:$D$200,"Pago",Proveedores!$E$8:$E$200,$B8,Proveedores!$C$8:$C$200,N$7)</f>
        <v>0</v>
      </c>
      <c r="O8" s="10">
        <f>SUM(C8:N8)</f>
        <v>2000</v>
      </c>
    </row>
    <row r="9" spans="2:15" ht="21.95" customHeight="1" x14ac:dyDescent="0.25">
      <c r="B9" s="9" t="str">
        <f>Presupuesto!B9</f>
        <v>Banquete</v>
      </c>
      <c r="C9" s="10">
        <f>SUMIFS(Proveedores!$G$8:$G$200,Proveedores!$D$8:$D$200,"Pago",Proveedores!$E$8:$E$200,$B9,Proveedores!$C$8:$C$200,C$7)</f>
        <v>0</v>
      </c>
      <c r="D9" s="10">
        <f>SUMIFS(Proveedores!$G$8:$G$200,Proveedores!$D$8:$D$200,"Pago",Proveedores!$E$8:$E$200,$B9,Proveedores!$C$8:$C$200,D$7)</f>
        <v>0</v>
      </c>
      <c r="E9" s="10">
        <f>SUMIFS(Proveedores!$G$8:$G$200,Proveedores!$D$8:$D$200,"Pago",Proveedores!$E$8:$E$200,$B9,Proveedores!$C$8:$C$200,E$7)</f>
        <v>0</v>
      </c>
      <c r="F9" s="10">
        <f>SUMIFS(Proveedores!$G$8:$G$200,Proveedores!$D$8:$D$200,"Pago",Proveedores!$E$8:$E$200,$B9,Proveedores!$C$8:$C$200,F$7)</f>
        <v>0</v>
      </c>
      <c r="G9" s="10">
        <f>SUMIFS(Proveedores!$G$8:$G$200,Proveedores!$D$8:$D$200,"Pago",Proveedores!$E$8:$E$200,$B9,Proveedores!$C$8:$C$200,G$7)</f>
        <v>0</v>
      </c>
      <c r="H9" s="10">
        <f>SUMIFS(Proveedores!$G$8:$G$200,Proveedores!$D$8:$D$200,"Pago",Proveedores!$E$8:$E$200,$B9,Proveedores!$C$8:$C$200,H$7)</f>
        <v>0</v>
      </c>
      <c r="I9" s="10">
        <f>SUMIFS(Proveedores!$G$8:$G$200,Proveedores!$D$8:$D$200,"Pago",Proveedores!$E$8:$E$200,$B9,Proveedores!$C$8:$C$200,I$7)</f>
        <v>0</v>
      </c>
      <c r="J9" s="10">
        <f>SUMIFS(Proveedores!$G$8:$G$200,Proveedores!$D$8:$D$200,"Pago",Proveedores!$E$8:$E$200,$B9,Proveedores!$C$8:$C$200,J$7)</f>
        <v>0</v>
      </c>
      <c r="K9" s="10">
        <f>SUMIFS(Proveedores!$G$8:$G$200,Proveedores!$D$8:$D$200,"Pago",Proveedores!$E$8:$E$200,$B9,Proveedores!$C$8:$C$200,K$7)</f>
        <v>0</v>
      </c>
      <c r="L9" s="10">
        <f>SUMIFS(Proveedores!$G$8:$G$200,Proveedores!$D$8:$D$200,"Pago",Proveedores!$E$8:$E$200,$B9,Proveedores!$C$8:$C$200,L$7)</f>
        <v>0</v>
      </c>
      <c r="M9" s="10">
        <f>SUMIFS(Proveedores!$G$8:$G$200,Proveedores!$D$8:$D$200,"Pago",Proveedores!$E$8:$E$200,$B9,Proveedores!$C$8:$C$200,M$7)</f>
        <v>0</v>
      </c>
      <c r="N9" s="10">
        <f>SUMIFS(Proveedores!$G$8:$G$200,Proveedores!$D$8:$D$200,"Pago",Proveedores!$E$8:$E$200,$B9,Proveedores!$C$8:$C$200,N$7)</f>
        <v>0</v>
      </c>
      <c r="O9" s="10">
        <f>SUM(C9:N9)</f>
        <v>0</v>
      </c>
    </row>
    <row r="10" spans="2:15" ht="21.95" customHeight="1" x14ac:dyDescent="0.25">
      <c r="B10" s="9" t="str">
        <f>Presupuesto!B10</f>
        <v>Fotografía y vídeo</v>
      </c>
      <c r="C10" s="10">
        <f>SUMIFS(Proveedores!$G$8:$G$200,Proveedores!$D$8:$D$200,"Pago",Proveedores!$E$8:$E$200,$B10,Proveedores!$C$8:$C$200,C$7)</f>
        <v>0</v>
      </c>
      <c r="D10" s="10">
        <f>SUMIFS(Proveedores!$G$8:$G$200,Proveedores!$D$8:$D$200,"Pago",Proveedores!$E$8:$E$200,$B10,Proveedores!$C$8:$C$200,D$7)</f>
        <v>0</v>
      </c>
      <c r="E10" s="10">
        <f>SUMIFS(Proveedores!$G$8:$G$200,Proveedores!$D$8:$D$200,"Pago",Proveedores!$E$8:$E$200,$B10,Proveedores!$C$8:$C$200,E$7)</f>
        <v>0</v>
      </c>
      <c r="F10" s="10">
        <f>SUMIFS(Proveedores!$G$8:$G$200,Proveedores!$D$8:$D$200,"Pago",Proveedores!$E$8:$E$200,$B10,Proveedores!$C$8:$C$200,F$7)</f>
        <v>600</v>
      </c>
      <c r="G10" s="10">
        <f>SUMIFS(Proveedores!$G$8:$G$200,Proveedores!$D$8:$D$200,"Pago",Proveedores!$E$8:$E$200,$B10,Proveedores!$C$8:$C$200,G$7)</f>
        <v>0</v>
      </c>
      <c r="H10" s="10">
        <f>SUMIFS(Proveedores!$G$8:$G$200,Proveedores!$D$8:$D$200,"Pago",Proveedores!$E$8:$E$200,$B10,Proveedores!$C$8:$C$200,H$7)</f>
        <v>0</v>
      </c>
      <c r="I10" s="10">
        <f>SUMIFS(Proveedores!$G$8:$G$200,Proveedores!$D$8:$D$200,"Pago",Proveedores!$E$8:$E$200,$B10,Proveedores!$C$8:$C$200,I$7)</f>
        <v>0</v>
      </c>
      <c r="J10" s="10">
        <f>SUMIFS(Proveedores!$G$8:$G$200,Proveedores!$D$8:$D$200,"Pago",Proveedores!$E$8:$E$200,$B10,Proveedores!$C$8:$C$200,J$7)</f>
        <v>0</v>
      </c>
      <c r="K10" s="10">
        <f>SUMIFS(Proveedores!$G$8:$G$200,Proveedores!$D$8:$D$200,"Pago",Proveedores!$E$8:$E$200,$B10,Proveedores!$C$8:$C$200,K$7)</f>
        <v>0</v>
      </c>
      <c r="L10" s="10">
        <f>SUMIFS(Proveedores!$G$8:$G$200,Proveedores!$D$8:$D$200,"Pago",Proveedores!$E$8:$E$200,$B10,Proveedores!$C$8:$C$200,L$7)</f>
        <v>0</v>
      </c>
      <c r="M10" s="10">
        <f>SUMIFS(Proveedores!$G$8:$G$200,Proveedores!$D$8:$D$200,"Pago",Proveedores!$E$8:$E$200,$B10,Proveedores!$C$8:$C$200,M$7)</f>
        <v>0</v>
      </c>
      <c r="N10" s="10">
        <f>SUMIFS(Proveedores!$G$8:$G$200,Proveedores!$D$8:$D$200,"Pago",Proveedores!$E$8:$E$200,$B10,Proveedores!$C$8:$C$200,N$7)</f>
        <v>0</v>
      </c>
      <c r="O10" s="10">
        <f>SUM(C10:N10)</f>
        <v>600</v>
      </c>
    </row>
    <row r="11" spans="2:15" ht="21.95" customHeight="1" x14ac:dyDescent="0.25">
      <c r="B11" s="9" t="str">
        <f>Presupuesto!B11</f>
        <v>Música</v>
      </c>
      <c r="C11" s="10">
        <f>SUMIFS(Proveedores!$G$8:$G$200,Proveedores!$D$8:$D$200,"Pago",Proveedores!$E$8:$E$200,$B11,Proveedores!$C$8:$C$200,C$7)</f>
        <v>0</v>
      </c>
      <c r="D11" s="10">
        <f>SUMIFS(Proveedores!$G$8:$G$200,Proveedores!$D$8:$D$200,"Pago",Proveedores!$E$8:$E$200,$B11,Proveedores!$C$8:$C$200,D$7)</f>
        <v>0</v>
      </c>
      <c r="E11" s="10">
        <f>SUMIFS(Proveedores!$G$8:$G$200,Proveedores!$D$8:$D$200,"Pago",Proveedores!$E$8:$E$200,$B11,Proveedores!$C$8:$C$200,E$7)</f>
        <v>0</v>
      </c>
      <c r="F11" s="10">
        <f>SUMIFS(Proveedores!$G$8:$G$200,Proveedores!$D$8:$D$200,"Pago",Proveedores!$E$8:$E$200,$B11,Proveedores!$C$8:$C$200,F$7)</f>
        <v>0</v>
      </c>
      <c r="G11" s="10">
        <f>SUMIFS(Proveedores!$G$8:$G$200,Proveedores!$D$8:$D$200,"Pago",Proveedores!$E$8:$E$200,$B11,Proveedores!$C$8:$C$200,G$7)</f>
        <v>0</v>
      </c>
      <c r="H11" s="10">
        <f>SUMIFS(Proveedores!$G$8:$G$200,Proveedores!$D$8:$D$200,"Pago",Proveedores!$E$8:$E$200,$B11,Proveedores!$C$8:$C$200,H$7)</f>
        <v>0</v>
      </c>
      <c r="I11" s="10">
        <f>SUMIFS(Proveedores!$G$8:$G$200,Proveedores!$D$8:$D$200,"Pago",Proveedores!$E$8:$E$200,$B11,Proveedores!$C$8:$C$200,I$7)</f>
        <v>0</v>
      </c>
      <c r="J11" s="10">
        <f>SUMIFS(Proveedores!$G$8:$G$200,Proveedores!$D$8:$D$200,"Pago",Proveedores!$E$8:$E$200,$B11,Proveedores!$C$8:$C$200,J$7)</f>
        <v>0</v>
      </c>
      <c r="K11" s="10">
        <f>SUMIFS(Proveedores!$G$8:$G$200,Proveedores!$D$8:$D$200,"Pago",Proveedores!$E$8:$E$200,$B11,Proveedores!$C$8:$C$200,K$7)</f>
        <v>0</v>
      </c>
      <c r="L11" s="10">
        <f>SUMIFS(Proveedores!$G$8:$G$200,Proveedores!$D$8:$D$200,"Pago",Proveedores!$E$8:$E$200,$B11,Proveedores!$C$8:$C$200,L$7)</f>
        <v>0</v>
      </c>
      <c r="M11" s="10">
        <f>SUMIFS(Proveedores!$G$8:$G$200,Proveedores!$D$8:$D$200,"Pago",Proveedores!$E$8:$E$200,$B11,Proveedores!$C$8:$C$200,M$7)</f>
        <v>0</v>
      </c>
      <c r="N11" s="10">
        <f>SUMIFS(Proveedores!$G$8:$G$200,Proveedores!$D$8:$D$200,"Pago",Proveedores!$E$8:$E$200,$B11,Proveedores!$C$8:$C$200,N$7)</f>
        <v>0</v>
      </c>
      <c r="O11" s="10">
        <f>SUM(C11:N11)</f>
        <v>0</v>
      </c>
    </row>
    <row r="12" spans="2:15" ht="21.95" customHeight="1" x14ac:dyDescent="0.25">
      <c r="B12" s="9" t="str">
        <f>Presupuesto!B12</f>
        <v>Decoración y flores</v>
      </c>
      <c r="C12" s="10">
        <f>SUMIFS(Proveedores!$G$8:$G$200,Proveedores!$D$8:$D$200,"Pago",Proveedores!$E$8:$E$200,$B12,Proveedores!$C$8:$C$200,C$7)</f>
        <v>0</v>
      </c>
      <c r="D12" s="10">
        <f>SUMIFS(Proveedores!$G$8:$G$200,Proveedores!$D$8:$D$200,"Pago",Proveedores!$E$8:$E$200,$B12,Proveedores!$C$8:$C$200,D$7)</f>
        <v>0</v>
      </c>
      <c r="E12" s="10">
        <f>SUMIFS(Proveedores!$G$8:$G$200,Proveedores!$D$8:$D$200,"Pago",Proveedores!$E$8:$E$200,$B12,Proveedores!$C$8:$C$200,E$7)</f>
        <v>0</v>
      </c>
      <c r="F12" s="10">
        <f>SUMIFS(Proveedores!$G$8:$G$200,Proveedores!$D$8:$D$200,"Pago",Proveedores!$E$8:$E$200,$B12,Proveedores!$C$8:$C$200,F$7)</f>
        <v>0</v>
      </c>
      <c r="G12" s="10">
        <f>SUMIFS(Proveedores!$G$8:$G$200,Proveedores!$D$8:$D$200,"Pago",Proveedores!$E$8:$E$200,$B12,Proveedores!$C$8:$C$200,G$7)</f>
        <v>0</v>
      </c>
      <c r="H12" s="10">
        <f>SUMIFS(Proveedores!$G$8:$G$200,Proveedores!$D$8:$D$200,"Pago",Proveedores!$E$8:$E$200,$B12,Proveedores!$C$8:$C$200,H$7)</f>
        <v>0</v>
      </c>
      <c r="I12" s="10">
        <f>SUMIFS(Proveedores!$G$8:$G$200,Proveedores!$D$8:$D$200,"Pago",Proveedores!$E$8:$E$200,$B12,Proveedores!$C$8:$C$200,I$7)</f>
        <v>0</v>
      </c>
      <c r="J12" s="10">
        <f>SUMIFS(Proveedores!$G$8:$G$200,Proveedores!$D$8:$D$200,"Pago",Proveedores!$E$8:$E$200,$B12,Proveedores!$C$8:$C$200,J$7)</f>
        <v>0</v>
      </c>
      <c r="K12" s="10">
        <f>SUMIFS(Proveedores!$G$8:$G$200,Proveedores!$D$8:$D$200,"Pago",Proveedores!$E$8:$E$200,$B12,Proveedores!$C$8:$C$200,K$7)</f>
        <v>0</v>
      </c>
      <c r="L12" s="10">
        <f>SUMIFS(Proveedores!$G$8:$G$200,Proveedores!$D$8:$D$200,"Pago",Proveedores!$E$8:$E$200,$B12,Proveedores!$C$8:$C$200,L$7)</f>
        <v>0</v>
      </c>
      <c r="M12" s="10">
        <f>SUMIFS(Proveedores!$G$8:$G$200,Proveedores!$D$8:$D$200,"Pago",Proveedores!$E$8:$E$200,$B12,Proveedores!$C$8:$C$200,M$7)</f>
        <v>0</v>
      </c>
      <c r="N12" s="10">
        <f>SUMIFS(Proveedores!$G$8:$G$200,Proveedores!$D$8:$D$200,"Pago",Proveedores!$E$8:$E$200,$B12,Proveedores!$C$8:$C$200,N$7)</f>
        <v>0</v>
      </c>
      <c r="O12" s="10">
        <f>SUM(C12:N12)</f>
        <v>0</v>
      </c>
    </row>
    <row r="13" spans="2:15" ht="21.95" customHeight="1" x14ac:dyDescent="0.25">
      <c r="B13" s="9" t="str">
        <f>Presupuesto!B13</f>
        <v>Vestuario y belleza</v>
      </c>
      <c r="C13" s="10">
        <f>SUMIFS(Proveedores!$G$8:$G$200,Proveedores!$D$8:$D$200,"Pago",Proveedores!$E$8:$E$200,$B13,Proveedores!$C$8:$C$200,C$7)</f>
        <v>0</v>
      </c>
      <c r="D13" s="10">
        <f>SUMIFS(Proveedores!$G$8:$G$200,Proveedores!$D$8:$D$200,"Pago",Proveedores!$E$8:$E$200,$B13,Proveedores!$C$8:$C$200,D$7)</f>
        <v>800</v>
      </c>
      <c r="E13" s="10">
        <f>SUMIFS(Proveedores!$G$8:$G$200,Proveedores!$D$8:$D$200,"Pago",Proveedores!$E$8:$E$200,$B13,Proveedores!$C$8:$C$200,E$7)</f>
        <v>0</v>
      </c>
      <c r="F13" s="10">
        <f>SUMIFS(Proveedores!$G$8:$G$200,Proveedores!$D$8:$D$200,"Pago",Proveedores!$E$8:$E$200,$B13,Proveedores!$C$8:$C$200,F$7)</f>
        <v>0</v>
      </c>
      <c r="G13" s="10">
        <f>SUMIFS(Proveedores!$G$8:$G$200,Proveedores!$D$8:$D$200,"Pago",Proveedores!$E$8:$E$200,$B13,Proveedores!$C$8:$C$200,G$7)</f>
        <v>0</v>
      </c>
      <c r="H13" s="10">
        <f>SUMIFS(Proveedores!$G$8:$G$200,Proveedores!$D$8:$D$200,"Pago",Proveedores!$E$8:$E$200,$B13,Proveedores!$C$8:$C$200,H$7)</f>
        <v>0</v>
      </c>
      <c r="I13" s="10">
        <f>SUMIFS(Proveedores!$G$8:$G$200,Proveedores!$D$8:$D$200,"Pago",Proveedores!$E$8:$E$200,$B13,Proveedores!$C$8:$C$200,I$7)</f>
        <v>0</v>
      </c>
      <c r="J13" s="10">
        <f>SUMIFS(Proveedores!$G$8:$G$200,Proveedores!$D$8:$D$200,"Pago",Proveedores!$E$8:$E$200,$B13,Proveedores!$C$8:$C$200,J$7)</f>
        <v>0</v>
      </c>
      <c r="K13" s="10">
        <f>SUMIFS(Proveedores!$G$8:$G$200,Proveedores!$D$8:$D$200,"Pago",Proveedores!$E$8:$E$200,$B13,Proveedores!$C$8:$C$200,K$7)</f>
        <v>0</v>
      </c>
      <c r="L13" s="10">
        <f>SUMIFS(Proveedores!$G$8:$G$200,Proveedores!$D$8:$D$200,"Pago",Proveedores!$E$8:$E$200,$B13,Proveedores!$C$8:$C$200,L$7)</f>
        <v>0</v>
      </c>
      <c r="M13" s="10">
        <f>SUMIFS(Proveedores!$G$8:$G$200,Proveedores!$D$8:$D$200,"Pago",Proveedores!$E$8:$E$200,$B13,Proveedores!$C$8:$C$200,M$7)</f>
        <v>0</v>
      </c>
      <c r="N13" s="10">
        <f>SUMIFS(Proveedores!$G$8:$G$200,Proveedores!$D$8:$D$200,"Pago",Proveedores!$E$8:$E$200,$B13,Proveedores!$C$8:$C$200,N$7)</f>
        <v>0</v>
      </c>
      <c r="O13" s="10">
        <f>SUM(C13:N13)</f>
        <v>800</v>
      </c>
    </row>
    <row r="14" spans="2:15" ht="21.95" customHeight="1" x14ac:dyDescent="0.25">
      <c r="B14" s="9" t="str">
        <f>Presupuesto!B14</f>
        <v>Papelería y detalles</v>
      </c>
      <c r="C14" s="10">
        <f>SUMIFS(Proveedores!$G$8:$G$200,Proveedores!$D$8:$D$200,"Pago",Proveedores!$E$8:$E$200,$B14,Proveedores!$C$8:$C$200,C$7)</f>
        <v>0</v>
      </c>
      <c r="D14" s="10">
        <f>SUMIFS(Proveedores!$G$8:$G$200,Proveedores!$D$8:$D$200,"Pago",Proveedores!$E$8:$E$200,$B14,Proveedores!$C$8:$C$200,D$7)</f>
        <v>0</v>
      </c>
      <c r="E14" s="10">
        <f>SUMIFS(Proveedores!$G$8:$G$200,Proveedores!$D$8:$D$200,"Pago",Proveedores!$E$8:$E$200,$B14,Proveedores!$C$8:$C$200,E$7)</f>
        <v>350</v>
      </c>
      <c r="F14" s="10">
        <f>SUMIFS(Proveedores!$G$8:$G$200,Proveedores!$D$8:$D$200,"Pago",Proveedores!$E$8:$E$200,$B14,Proveedores!$C$8:$C$200,F$7)</f>
        <v>0</v>
      </c>
      <c r="G14" s="10">
        <f>SUMIFS(Proveedores!$G$8:$G$200,Proveedores!$D$8:$D$200,"Pago",Proveedores!$E$8:$E$200,$B14,Proveedores!$C$8:$C$200,G$7)</f>
        <v>0</v>
      </c>
      <c r="H14" s="10">
        <f>SUMIFS(Proveedores!$G$8:$G$200,Proveedores!$D$8:$D$200,"Pago",Proveedores!$E$8:$E$200,$B14,Proveedores!$C$8:$C$200,H$7)</f>
        <v>0</v>
      </c>
      <c r="I14" s="10">
        <f>SUMIFS(Proveedores!$G$8:$G$200,Proveedores!$D$8:$D$200,"Pago",Proveedores!$E$8:$E$200,$B14,Proveedores!$C$8:$C$200,I$7)</f>
        <v>0</v>
      </c>
      <c r="J14" s="10">
        <f>SUMIFS(Proveedores!$G$8:$G$200,Proveedores!$D$8:$D$200,"Pago",Proveedores!$E$8:$E$200,$B14,Proveedores!$C$8:$C$200,J$7)</f>
        <v>0</v>
      </c>
      <c r="K14" s="10">
        <f>SUMIFS(Proveedores!$G$8:$G$200,Proveedores!$D$8:$D$200,"Pago",Proveedores!$E$8:$E$200,$B14,Proveedores!$C$8:$C$200,K$7)</f>
        <v>0</v>
      </c>
      <c r="L14" s="10">
        <f>SUMIFS(Proveedores!$G$8:$G$200,Proveedores!$D$8:$D$200,"Pago",Proveedores!$E$8:$E$200,$B14,Proveedores!$C$8:$C$200,L$7)</f>
        <v>0</v>
      </c>
      <c r="M14" s="10">
        <f>SUMIFS(Proveedores!$G$8:$G$200,Proveedores!$D$8:$D$200,"Pago",Proveedores!$E$8:$E$200,$B14,Proveedores!$C$8:$C$200,M$7)</f>
        <v>0</v>
      </c>
      <c r="N14" s="10">
        <f>SUMIFS(Proveedores!$G$8:$G$200,Proveedores!$D$8:$D$200,"Pago",Proveedores!$E$8:$E$200,$B14,Proveedores!$C$8:$C$200,N$7)</f>
        <v>0</v>
      </c>
      <c r="O14" s="10">
        <f>SUM(C14:N14)</f>
        <v>350</v>
      </c>
    </row>
    <row r="15" spans="2:15" ht="21.95" customHeight="1" x14ac:dyDescent="0.25">
      <c r="B15" s="61" t="s">
        <v>105</v>
      </c>
      <c r="C15" s="59">
        <f>SUM(C8:C14)</f>
        <v>2000</v>
      </c>
      <c r="D15" s="59">
        <f>SUM(D8:D14)</f>
        <v>800</v>
      </c>
      <c r="E15" s="59">
        <f>SUM(E8:E14)</f>
        <v>350</v>
      </c>
      <c r="F15" s="59">
        <f>SUM(F8:F14)</f>
        <v>600</v>
      </c>
      <c r="G15" s="59">
        <f>SUM(G8:G14)</f>
        <v>0</v>
      </c>
      <c r="H15" s="59">
        <f>SUM(H8:H14)</f>
        <v>0</v>
      </c>
      <c r="I15" s="59">
        <f>SUM(I8:I14)</f>
        <v>0</v>
      </c>
      <c r="J15" s="59">
        <f>SUM(J8:J14)</f>
        <v>0</v>
      </c>
      <c r="K15" s="59">
        <f>SUM(K8:K14)</f>
        <v>0</v>
      </c>
      <c r="L15" s="59">
        <f>SUM(L8:L14)</f>
        <v>0</v>
      </c>
      <c r="M15" s="59">
        <f>SUM(M8:M14)</f>
        <v>0</v>
      </c>
      <c r="N15" s="59">
        <f>SUM(N8:N14)</f>
        <v>0</v>
      </c>
      <c r="O15" s="59">
        <f>SUM(O8:O14)</f>
        <v>3750</v>
      </c>
    </row>
    <row r="16" spans="2:15" ht="21" customHeight="1" x14ac:dyDescent="0.25"/>
    <row r="17" spans="2:15" ht="21" customHeight="1" x14ac:dyDescent="0.25"/>
    <row r="18" spans="2:15" ht="21" customHeight="1" x14ac:dyDescent="0.25">
      <c r="B18" s="50" t="s">
        <v>106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2:15" ht="21" customHeight="1" x14ac:dyDescent="0.25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2:15" ht="21" customHeight="1" x14ac:dyDescent="0.25"/>
    <row r="21" spans="2:15" ht="21" customHeight="1" x14ac:dyDescent="0.25"/>
    <row r="22" spans="2:15" ht="21" customHeight="1" x14ac:dyDescent="0.25"/>
    <row r="23" spans="2:15" ht="21" customHeight="1" x14ac:dyDescent="0.25"/>
    <row r="24" spans="2:15" ht="21" customHeight="1" x14ac:dyDescent="0.25"/>
    <row r="25" spans="2:15" ht="21" customHeight="1" x14ac:dyDescent="0.25"/>
    <row r="26" spans="2:15" ht="21" customHeight="1" x14ac:dyDescent="0.25"/>
    <row r="27" spans="2:15" ht="21" customHeight="1" x14ac:dyDescent="0.25"/>
    <row r="28" spans="2:15" ht="21" customHeight="1" x14ac:dyDescent="0.25"/>
    <row r="29" spans="2:15" ht="21" customHeight="1" x14ac:dyDescent="0.25"/>
    <row r="30" spans="2:15" ht="21" customHeight="1" x14ac:dyDescent="0.25"/>
    <row r="31" spans="2:15" ht="21" customHeight="1" x14ac:dyDescent="0.25"/>
    <row r="32" spans="2:15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18:O19"/>
    <mergeCell ref="B4:O4"/>
    <mergeCell ref="B6:O6"/>
    <mergeCell ref="B2:O2"/>
    <mergeCell ref="B3:O3"/>
  </mergeCells>
  <pageMargins left="0.25" right="0.25" top="0.35" bottom="0.35" header="0.5" footer="0.5"/>
  <pageSetup fitToHeight="0"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85D73"/>
    <pageSetUpPr fitToPage="1"/>
  </sheetPr>
  <dimension ref="B1:M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3" width="14" customWidth="1"/>
    <col min="4" max="4" width="12" customWidth="1"/>
    <col min="5" max="5" width="21" customWidth="1"/>
    <col min="6" max="6" width="24" customWidth="1"/>
    <col min="7" max="7" width="14" customWidth="1"/>
    <col min="8" max="9" width="15" customWidth="1"/>
    <col min="10" max="10" width="3" customWidth="1"/>
    <col min="11" max="13" width="18" customWidth="1"/>
  </cols>
  <sheetData>
    <row r="1" spans="2:13" ht="26.1" customHeight="1" x14ac:dyDescent="0.25"/>
    <row r="2" spans="2:13" ht="21.95" customHeight="1" x14ac:dyDescent="0.25">
      <c r="B2" s="38" t="s">
        <v>107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2:13" ht="30" customHeight="1" x14ac:dyDescent="0.25">
      <c r="B3" s="39" t="s">
        <v>108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2:13" ht="21.95" customHeight="1" x14ac:dyDescent="0.25">
      <c r="B4" s="33" t="s">
        <v>109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2:13" ht="21" customHeight="1" x14ac:dyDescent="0.25"/>
    <row r="6" spans="2:13" ht="24" customHeight="1" x14ac:dyDescent="0.25">
      <c r="B6" s="43" t="s">
        <v>110</v>
      </c>
      <c r="C6" s="31"/>
      <c r="D6" s="31"/>
      <c r="E6" s="31"/>
      <c r="F6" s="31"/>
      <c r="G6" s="31"/>
      <c r="H6" s="31"/>
      <c r="I6" s="31"/>
      <c r="K6" s="36" t="s">
        <v>21</v>
      </c>
      <c r="L6" s="31"/>
      <c r="M6" s="31"/>
    </row>
    <row r="7" spans="2:13" s="28" customFormat="1" ht="32.1" customHeight="1" x14ac:dyDescent="0.25">
      <c r="B7" s="13" t="s">
        <v>22</v>
      </c>
      <c r="C7" s="13" t="s">
        <v>23</v>
      </c>
      <c r="D7" s="13" t="s">
        <v>24</v>
      </c>
      <c r="E7" s="13" t="s">
        <v>6</v>
      </c>
      <c r="F7" s="13" t="s">
        <v>25</v>
      </c>
      <c r="G7" s="13" t="s">
        <v>26</v>
      </c>
      <c r="H7" s="13" t="s">
        <v>27</v>
      </c>
      <c r="I7" s="13" t="s">
        <v>28</v>
      </c>
      <c r="K7" s="52" t="s">
        <v>117</v>
      </c>
      <c r="L7" s="42"/>
      <c r="M7" s="42"/>
    </row>
    <row r="8" spans="2:13" ht="21.95" customHeight="1" x14ac:dyDescent="0.25">
      <c r="B8" s="16">
        <v>46397</v>
      </c>
      <c r="C8" s="17" t="s">
        <v>9</v>
      </c>
      <c r="D8" s="17" t="s">
        <v>81</v>
      </c>
      <c r="E8" s="17" t="s">
        <v>83</v>
      </c>
      <c r="F8" s="17" t="s">
        <v>111</v>
      </c>
      <c r="G8" s="57">
        <v>2000</v>
      </c>
      <c r="H8" s="17" t="s">
        <v>90</v>
      </c>
      <c r="I8" s="17" t="s">
        <v>92</v>
      </c>
      <c r="K8" s="31"/>
      <c r="L8" s="31"/>
      <c r="M8" s="31"/>
    </row>
    <row r="9" spans="2:13" ht="21.95" customHeight="1" x14ac:dyDescent="0.25">
      <c r="B9" s="16">
        <v>46432</v>
      </c>
      <c r="C9" s="17" t="s">
        <v>10</v>
      </c>
      <c r="D9" s="17" t="s">
        <v>81</v>
      </c>
      <c r="E9" s="17" t="s">
        <v>88</v>
      </c>
      <c r="F9" s="17" t="s">
        <v>112</v>
      </c>
      <c r="G9" s="57">
        <v>800</v>
      </c>
      <c r="H9" s="17" t="s">
        <v>90</v>
      </c>
      <c r="I9" s="17" t="s">
        <v>92</v>
      </c>
      <c r="K9" s="31"/>
      <c r="L9" s="31"/>
      <c r="M9" s="31"/>
    </row>
    <row r="10" spans="2:13" ht="21.95" customHeight="1" x14ac:dyDescent="0.25">
      <c r="B10" s="16">
        <v>46450</v>
      </c>
      <c r="C10" s="17" t="s">
        <v>11</v>
      </c>
      <c r="D10" s="17" t="s">
        <v>81</v>
      </c>
      <c r="E10" s="17" t="s">
        <v>89</v>
      </c>
      <c r="F10" s="17" t="s">
        <v>113</v>
      </c>
      <c r="G10" s="57">
        <v>350</v>
      </c>
      <c r="H10" s="17" t="s">
        <v>29</v>
      </c>
      <c r="I10" s="17" t="s">
        <v>30</v>
      </c>
      <c r="K10" s="31"/>
      <c r="L10" s="31"/>
      <c r="M10" s="31"/>
    </row>
    <row r="11" spans="2:13" ht="21.95" customHeight="1" x14ac:dyDescent="0.25">
      <c r="B11" s="16">
        <v>46479</v>
      </c>
      <c r="C11" s="17" t="s">
        <v>12</v>
      </c>
      <c r="D11" s="17" t="s">
        <v>81</v>
      </c>
      <c r="E11" s="17" t="s">
        <v>85</v>
      </c>
      <c r="F11" s="17" t="s">
        <v>114</v>
      </c>
      <c r="G11" s="57">
        <v>600</v>
      </c>
      <c r="H11" s="17" t="s">
        <v>90</v>
      </c>
      <c r="I11" s="17" t="s">
        <v>30</v>
      </c>
    </row>
    <row r="12" spans="2:13" ht="21.95" customHeight="1" x14ac:dyDescent="0.25">
      <c r="B12" s="16">
        <v>46527</v>
      </c>
      <c r="C12" s="17" t="s">
        <v>13</v>
      </c>
      <c r="D12" s="17" t="s">
        <v>31</v>
      </c>
      <c r="E12" s="17" t="s">
        <v>84</v>
      </c>
      <c r="F12" s="17" t="s">
        <v>115</v>
      </c>
      <c r="G12" s="57">
        <v>1500</v>
      </c>
      <c r="H12" s="17" t="s">
        <v>29</v>
      </c>
      <c r="I12" s="17" t="s">
        <v>93</v>
      </c>
      <c r="K12" s="51" t="s">
        <v>118</v>
      </c>
      <c r="L12" s="31"/>
      <c r="M12" s="31"/>
    </row>
    <row r="13" spans="2:13" ht="21.95" customHeight="1" x14ac:dyDescent="0.25">
      <c r="B13" s="16">
        <v>46557</v>
      </c>
      <c r="C13" s="17" t="s">
        <v>14</v>
      </c>
      <c r="D13" s="17" t="s">
        <v>82</v>
      </c>
      <c r="E13" s="17" t="s">
        <v>87</v>
      </c>
      <c r="F13" s="17" t="s">
        <v>116</v>
      </c>
      <c r="G13" s="57">
        <v>300</v>
      </c>
      <c r="H13" s="17" t="s">
        <v>90</v>
      </c>
      <c r="I13" s="17" t="s">
        <v>30</v>
      </c>
      <c r="K13" s="31"/>
      <c r="L13" s="31"/>
      <c r="M13" s="31"/>
    </row>
    <row r="14" spans="2:13" ht="21.95" customHeight="1" x14ac:dyDescent="0.25">
      <c r="B14" s="16"/>
      <c r="C14" s="17"/>
      <c r="D14" s="17"/>
      <c r="E14" s="17"/>
      <c r="F14" s="17"/>
      <c r="G14" s="57"/>
      <c r="H14" s="17"/>
      <c r="I14" s="17"/>
      <c r="K14" s="31"/>
      <c r="L14" s="31"/>
      <c r="M14" s="31"/>
    </row>
    <row r="15" spans="2:13" ht="21.95" customHeight="1" x14ac:dyDescent="0.25">
      <c r="B15" s="16"/>
      <c r="C15" s="17"/>
      <c r="D15" s="17"/>
      <c r="E15" s="17"/>
      <c r="F15" s="17"/>
      <c r="G15" s="57"/>
      <c r="H15" s="17"/>
      <c r="I15" s="17"/>
      <c r="K15" s="31"/>
      <c r="L15" s="31"/>
      <c r="M15" s="31"/>
    </row>
    <row r="16" spans="2:13" ht="21.95" customHeight="1" x14ac:dyDescent="0.25">
      <c r="B16" s="16"/>
      <c r="C16" s="17"/>
      <c r="D16" s="17"/>
      <c r="E16" s="17"/>
      <c r="F16" s="17"/>
      <c r="G16" s="57"/>
      <c r="H16" s="17"/>
      <c r="I16" s="17"/>
    </row>
    <row r="17" spans="2:9" ht="21.95" customHeight="1" x14ac:dyDescent="0.25">
      <c r="B17" s="16"/>
      <c r="C17" s="17"/>
      <c r="D17" s="17"/>
      <c r="E17" s="17"/>
      <c r="F17" s="17"/>
      <c r="G17" s="57"/>
      <c r="H17" s="17"/>
      <c r="I17" s="17"/>
    </row>
    <row r="18" spans="2:9" ht="21.95" customHeight="1" x14ac:dyDescent="0.25">
      <c r="B18" s="16"/>
      <c r="C18" s="17"/>
      <c r="D18" s="17"/>
      <c r="E18" s="17"/>
      <c r="F18" s="17"/>
      <c r="G18" s="57"/>
      <c r="H18" s="17"/>
      <c r="I18" s="17"/>
    </row>
    <row r="19" spans="2:9" ht="21.95" customHeight="1" x14ac:dyDescent="0.25">
      <c r="B19" s="16"/>
      <c r="C19" s="17"/>
      <c r="D19" s="17"/>
      <c r="E19" s="17"/>
      <c r="F19" s="17"/>
      <c r="G19" s="57"/>
      <c r="H19" s="17"/>
      <c r="I19" s="17"/>
    </row>
    <row r="20" spans="2:9" ht="21.95" customHeight="1" x14ac:dyDescent="0.25">
      <c r="B20" s="16"/>
      <c r="C20" s="17"/>
      <c r="D20" s="17"/>
      <c r="E20" s="17"/>
      <c r="F20" s="17"/>
      <c r="G20" s="57"/>
      <c r="H20" s="17"/>
      <c r="I20" s="17"/>
    </row>
    <row r="21" spans="2:9" ht="21.95" customHeight="1" x14ac:dyDescent="0.25">
      <c r="B21" s="16"/>
      <c r="C21" s="17"/>
      <c r="D21" s="17"/>
      <c r="E21" s="17"/>
      <c r="F21" s="17"/>
      <c r="G21" s="57"/>
      <c r="H21" s="17"/>
      <c r="I21" s="17"/>
    </row>
    <row r="22" spans="2:9" ht="21.95" customHeight="1" x14ac:dyDescent="0.25">
      <c r="B22" s="16"/>
      <c r="C22" s="17"/>
      <c r="D22" s="17"/>
      <c r="E22" s="17"/>
      <c r="F22" s="17"/>
      <c r="G22" s="57"/>
      <c r="H22" s="17"/>
      <c r="I22" s="17"/>
    </row>
    <row r="23" spans="2:9" ht="21.95" customHeight="1" x14ac:dyDescent="0.25">
      <c r="B23" s="16"/>
      <c r="C23" s="17"/>
      <c r="D23" s="17"/>
      <c r="E23" s="17"/>
      <c r="F23" s="17"/>
      <c r="G23" s="57"/>
      <c r="H23" s="17"/>
      <c r="I23" s="17"/>
    </row>
    <row r="24" spans="2:9" ht="21.95" customHeight="1" x14ac:dyDescent="0.25">
      <c r="B24" s="16"/>
      <c r="C24" s="17"/>
      <c r="D24" s="17"/>
      <c r="E24" s="17"/>
      <c r="F24" s="17"/>
      <c r="G24" s="57"/>
      <c r="H24" s="17"/>
      <c r="I24" s="17"/>
    </row>
    <row r="25" spans="2:9" ht="21.95" customHeight="1" x14ac:dyDescent="0.25">
      <c r="B25" s="16"/>
      <c r="C25" s="17"/>
      <c r="D25" s="17"/>
      <c r="E25" s="17"/>
      <c r="F25" s="17"/>
      <c r="G25" s="57"/>
      <c r="H25" s="17"/>
      <c r="I25" s="17"/>
    </row>
    <row r="26" spans="2:9" ht="21.95" customHeight="1" x14ac:dyDescent="0.25">
      <c r="B26" s="16"/>
      <c r="C26" s="17"/>
      <c r="D26" s="17"/>
      <c r="E26" s="17"/>
      <c r="F26" s="17"/>
      <c r="G26" s="57"/>
      <c r="H26" s="17"/>
      <c r="I26" s="17"/>
    </row>
    <row r="27" spans="2:9" ht="21.95" customHeight="1" x14ac:dyDescent="0.25">
      <c r="B27" s="16"/>
      <c r="C27" s="17"/>
      <c r="D27" s="17"/>
      <c r="E27" s="17"/>
      <c r="F27" s="17"/>
      <c r="G27" s="57"/>
      <c r="H27" s="17"/>
      <c r="I27" s="17"/>
    </row>
    <row r="28" spans="2:9" ht="21" customHeight="1" x14ac:dyDescent="0.25"/>
    <row r="29" spans="2:9" ht="21" customHeight="1" x14ac:dyDescent="0.25"/>
    <row r="30" spans="2:9" ht="21" customHeight="1" x14ac:dyDescent="0.25"/>
    <row r="31" spans="2:9" ht="21" customHeight="1" x14ac:dyDescent="0.25"/>
    <row r="32" spans="2:9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7">
    <mergeCell ref="K12:M15"/>
    <mergeCell ref="B2:M2"/>
    <mergeCell ref="K7:M10"/>
    <mergeCell ref="B3:M3"/>
    <mergeCell ref="K6:M6"/>
    <mergeCell ref="B6:I6"/>
    <mergeCell ref="B4:M4"/>
  </mergeCells>
  <pageMargins left="0.25" right="0.25" top="0.35" bottom="0.35" header="0.5" footer="0.5"/>
  <pageSetup fitToHeight="0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Valor no válido" error="Selecciona un valor de la lista." promptTitle="Lista" prompt="Usa una opción de las listas del libro." xr:uid="{A575AD11-31AB-4363-865B-6DC40E978E11}">
          <x14:formula1>
            <xm:f>Listas!$E$7:$E$18</xm:f>
          </x14:formula1>
          <xm:sqref>C8:C200</xm:sqref>
        </x14:dataValidation>
        <x14:dataValidation type="list" allowBlank="1" showInputMessage="1" showErrorMessage="1" errorTitle="Valor no válido" error="Selecciona un valor de la lista." promptTitle="Lista" prompt="Usa una opción de las listas del libro." xr:uid="{00E32035-CF0C-41AD-8B9B-12223340CD59}">
          <x14:formula1>
            <xm:f>Listas!$G$7:$G$9</xm:f>
          </x14:formula1>
          <xm:sqref>D8:D200</xm:sqref>
        </x14:dataValidation>
        <x14:dataValidation type="list" allowBlank="1" showInputMessage="1" showErrorMessage="1" errorTitle="Valor no válido" error="Selecciona un valor de la lista." promptTitle="Lista" prompt="Usa una opción de las listas del libro." xr:uid="{92496D39-1B94-43AB-B118-960E17060E24}">
          <x14:formula1>
            <xm:f>Listas!$I$7:$I$13</xm:f>
          </x14:formula1>
          <xm:sqref>E8:E200</xm:sqref>
        </x14:dataValidation>
        <x14:dataValidation type="list" allowBlank="1" showInputMessage="1" showErrorMessage="1" errorTitle="Valor no válido" error="Selecciona un valor de la lista." promptTitle="Lista" prompt="Usa una opción de las listas del libro." xr:uid="{3CD96BCC-F52E-4F73-B33A-85590FCF12B1}">
          <x14:formula1>
            <xm:f>Listas!$K$7:$K$9</xm:f>
          </x14:formula1>
          <xm:sqref>H8:H200</xm:sqref>
        </x14:dataValidation>
        <x14:dataValidation type="list" allowBlank="1" showInputMessage="1" showErrorMessage="1" errorTitle="Valor no válido" error="Selecciona un valor de la lista." promptTitle="Lista" prompt="Usa una opción de las listas del libro." xr:uid="{1BB3BD45-F675-4D5E-94BC-455A06CFA02D}">
          <x14:formula1>
            <xm:f>Listas!$M$7:$M$9</xm:f>
          </x14:formula1>
          <xm:sqref>I8:I200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2E46"/>
    <pageSetUpPr fitToPage="1"/>
  </sheetPr>
  <dimension ref="B1:Q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14" customWidth="1"/>
    <col min="3" max="9" width="15" customWidth="1"/>
    <col min="10" max="10" width="25" customWidth="1"/>
    <col min="11" max="11" width="3" customWidth="1"/>
    <col min="12" max="17" width="12" customWidth="1"/>
  </cols>
  <sheetData>
    <row r="1" spans="2:17" ht="26.1" customHeight="1" x14ac:dyDescent="0.25"/>
    <row r="2" spans="2:17" ht="21.95" customHeight="1" x14ac:dyDescent="0.25">
      <c r="B2" s="38" t="s">
        <v>119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2:17" ht="30" customHeight="1" x14ac:dyDescent="0.25">
      <c r="B3" s="39" t="s">
        <v>120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2:17" ht="21.95" customHeight="1" x14ac:dyDescent="0.25">
      <c r="B4" s="33" t="s">
        <v>121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</row>
    <row r="5" spans="2:17" ht="21" customHeight="1" x14ac:dyDescent="0.25"/>
    <row r="6" spans="2:17" ht="24" customHeight="1" x14ac:dyDescent="0.25">
      <c r="B6" s="44" t="s">
        <v>122</v>
      </c>
      <c r="C6" s="31"/>
      <c r="D6" s="31"/>
      <c r="E6" s="31"/>
      <c r="F6" s="31"/>
      <c r="G6" s="31"/>
      <c r="H6" s="31"/>
      <c r="I6" s="31"/>
      <c r="J6" s="31"/>
    </row>
    <row r="7" spans="2:17" s="28" customFormat="1" ht="32.1" customHeight="1" x14ac:dyDescent="0.25">
      <c r="B7" s="13" t="s">
        <v>23</v>
      </c>
      <c r="C7" s="13" t="s">
        <v>123</v>
      </c>
      <c r="D7" s="13" t="s">
        <v>124</v>
      </c>
      <c r="E7" s="13" t="s">
        <v>125</v>
      </c>
      <c r="F7" s="13" t="s">
        <v>61</v>
      </c>
      <c r="G7" s="13" t="s">
        <v>126</v>
      </c>
      <c r="H7" s="13" t="s">
        <v>127</v>
      </c>
      <c r="I7" s="13" t="s">
        <v>32</v>
      </c>
      <c r="J7" s="13" t="s">
        <v>28</v>
      </c>
    </row>
    <row r="8" spans="2:17" ht="21.95" customHeight="1" x14ac:dyDescent="0.25">
      <c r="B8" s="14" t="s">
        <v>9</v>
      </c>
      <c r="C8" s="65">
        <f>SUM(Presupuesto!C$8:C$14)</f>
        <v>550</v>
      </c>
      <c r="D8" s="64">
        <f>SUMIFS(Proveedores!$G$8:$G$200,Proveedores!$D$8:$D$200,"Ingreso",Proveedores!$C$8:$C$200,$B8)</f>
        <v>0</v>
      </c>
      <c r="E8" s="65">
        <f>C8</f>
        <v>550</v>
      </c>
      <c r="F8" s="65">
        <f>SUMIFS(Proveedores!$G$8:$G$200,Proveedores!$D$8:$D$200,"Pago",Proveedores!$C$8:$C$200,$B8)</f>
        <v>2000</v>
      </c>
      <c r="G8" s="64">
        <f>SUMIFS(Proveedores!$G$8:$G$200,Proveedores!$D$8:$D$200,"Ajuste",Proveedores!$C$8:$C$200,$B8)</f>
        <v>0</v>
      </c>
      <c r="H8" s="64">
        <f>C8-F8+D8-G8</f>
        <v>-1450</v>
      </c>
      <c r="I8" s="10"/>
      <c r="J8" s="17"/>
    </row>
    <row r="9" spans="2:17" ht="21.95" customHeight="1" x14ac:dyDescent="0.25">
      <c r="B9" s="14" t="s">
        <v>10</v>
      </c>
      <c r="C9" s="65">
        <f>SUM(Presupuesto!D$8:D$14)</f>
        <v>1050</v>
      </c>
      <c r="D9" s="64">
        <f>SUMIFS(Proveedores!$G$8:$G$200,Proveedores!$D$8:$D$200,"Ingreso",Proveedores!$C$8:$C$200,$B9)</f>
        <v>0</v>
      </c>
      <c r="E9" s="65">
        <f>C9</f>
        <v>1050</v>
      </c>
      <c r="F9" s="65">
        <f>SUMIFS(Proveedores!$G$8:$G$200,Proveedores!$D$8:$D$200,"Pago",Proveedores!$C$8:$C$200,$B9)</f>
        <v>800</v>
      </c>
      <c r="G9" s="64">
        <f>SUMIFS(Proveedores!$G$8:$G$200,Proveedores!$D$8:$D$200,"Ajuste",Proveedores!$C$8:$C$200,$B9)</f>
        <v>0</v>
      </c>
      <c r="H9" s="64">
        <f>C9-F9+D9-G9</f>
        <v>250</v>
      </c>
      <c r="I9" s="10"/>
      <c r="J9" s="17"/>
    </row>
    <row r="10" spans="2:17" ht="21.95" customHeight="1" x14ac:dyDescent="0.25">
      <c r="B10" s="14" t="s">
        <v>11</v>
      </c>
      <c r="C10" s="65">
        <f>SUM(Presupuesto!E$8:E$14)</f>
        <v>2650</v>
      </c>
      <c r="D10" s="64">
        <f>SUMIFS(Proveedores!$G$8:$G$200,Proveedores!$D$8:$D$200,"Ingreso",Proveedores!$C$8:$C$200,$B10)</f>
        <v>0</v>
      </c>
      <c r="E10" s="65">
        <f>C10</f>
        <v>2650</v>
      </c>
      <c r="F10" s="65">
        <f>SUMIFS(Proveedores!$G$8:$G$200,Proveedores!$D$8:$D$200,"Pago",Proveedores!$C$8:$C$200,$B10)</f>
        <v>350</v>
      </c>
      <c r="G10" s="64">
        <f>SUMIFS(Proveedores!$G$8:$G$200,Proveedores!$D$8:$D$200,"Ajuste",Proveedores!$C$8:$C$200,$B10)</f>
        <v>0</v>
      </c>
      <c r="H10" s="64">
        <f>C10-F10+D10-G10</f>
        <v>2300</v>
      </c>
      <c r="I10" s="10"/>
      <c r="J10" s="17"/>
    </row>
    <row r="11" spans="2:17" ht="21.95" customHeight="1" x14ac:dyDescent="0.25">
      <c r="B11" s="14" t="s">
        <v>12</v>
      </c>
      <c r="C11" s="65">
        <f>SUM(Presupuesto!F$8:F$14)</f>
        <v>350</v>
      </c>
      <c r="D11" s="64">
        <f>SUMIFS(Proveedores!$G$8:$G$200,Proveedores!$D$8:$D$200,"Ingreso",Proveedores!$C$8:$C$200,$B11)</f>
        <v>0</v>
      </c>
      <c r="E11" s="65">
        <f>C11</f>
        <v>350</v>
      </c>
      <c r="F11" s="65">
        <f>SUMIFS(Proveedores!$G$8:$G$200,Proveedores!$D$8:$D$200,"Pago",Proveedores!$C$8:$C$200,$B11)</f>
        <v>600</v>
      </c>
      <c r="G11" s="64">
        <f>SUMIFS(Proveedores!$G$8:$G$200,Proveedores!$D$8:$D$200,"Ajuste",Proveedores!$C$8:$C$200,$B11)</f>
        <v>0</v>
      </c>
      <c r="H11" s="64">
        <f>C11-F11+D11-G11</f>
        <v>-250</v>
      </c>
      <c r="I11" s="10"/>
      <c r="J11" s="17"/>
    </row>
    <row r="12" spans="2:17" ht="21.95" customHeight="1" x14ac:dyDescent="0.25">
      <c r="B12" s="14" t="s">
        <v>13</v>
      </c>
      <c r="C12" s="65">
        <f>SUM(Presupuesto!G$8:G$14)</f>
        <v>1900</v>
      </c>
      <c r="D12" s="64">
        <f>SUMIFS(Proveedores!$G$8:$G$200,Proveedores!$D$8:$D$200,"Ingreso",Proveedores!$C$8:$C$200,$B12)</f>
        <v>1500</v>
      </c>
      <c r="E12" s="65">
        <f>C12</f>
        <v>1900</v>
      </c>
      <c r="F12" s="65">
        <f>SUMIFS(Proveedores!$G$8:$G$200,Proveedores!$D$8:$D$200,"Pago",Proveedores!$C$8:$C$200,$B12)</f>
        <v>0</v>
      </c>
      <c r="G12" s="64">
        <f>SUMIFS(Proveedores!$G$8:$G$200,Proveedores!$D$8:$D$200,"Ajuste",Proveedores!$C$8:$C$200,$B12)</f>
        <v>0</v>
      </c>
      <c r="H12" s="64">
        <f>C12-F12+D12-G12</f>
        <v>3400</v>
      </c>
      <c r="I12" s="10"/>
      <c r="J12" s="17"/>
    </row>
    <row r="13" spans="2:17" ht="21.95" customHeight="1" x14ac:dyDescent="0.25">
      <c r="B13" s="14" t="s">
        <v>14</v>
      </c>
      <c r="C13" s="65">
        <f>SUM(Presupuesto!H$8:H$14)</f>
        <v>10700</v>
      </c>
      <c r="D13" s="64">
        <f>SUMIFS(Proveedores!$G$8:$G$200,Proveedores!$D$8:$D$200,"Ingreso",Proveedores!$C$8:$C$200,$B13)</f>
        <v>0</v>
      </c>
      <c r="E13" s="65">
        <f>C13</f>
        <v>10700</v>
      </c>
      <c r="F13" s="65">
        <f>SUMIFS(Proveedores!$G$8:$G$200,Proveedores!$D$8:$D$200,"Pago",Proveedores!$C$8:$C$200,$B13)</f>
        <v>0</v>
      </c>
      <c r="G13" s="64">
        <f>SUMIFS(Proveedores!$G$8:$G$200,Proveedores!$D$8:$D$200,"Ajuste",Proveedores!$C$8:$C$200,$B13)</f>
        <v>300</v>
      </c>
      <c r="H13" s="64">
        <f>C13-F13+D13-G13</f>
        <v>10400</v>
      </c>
      <c r="I13" s="10"/>
      <c r="J13" s="17"/>
    </row>
    <row r="14" spans="2:17" ht="21.95" customHeight="1" x14ac:dyDescent="0.25">
      <c r="B14" s="14" t="s">
        <v>15</v>
      </c>
      <c r="C14" s="65">
        <f>SUM(Presupuesto!I$8:I$14)</f>
        <v>0</v>
      </c>
      <c r="D14" s="64">
        <f>SUMIFS(Proveedores!$G$8:$G$200,Proveedores!$D$8:$D$200,"Ingreso",Proveedores!$C$8:$C$200,$B14)</f>
        <v>0</v>
      </c>
      <c r="E14" s="65">
        <f>C14</f>
        <v>0</v>
      </c>
      <c r="F14" s="65">
        <f>SUMIFS(Proveedores!$G$8:$G$200,Proveedores!$D$8:$D$200,"Pago",Proveedores!$C$8:$C$200,$B14)</f>
        <v>0</v>
      </c>
      <c r="G14" s="64">
        <f>SUMIFS(Proveedores!$G$8:$G$200,Proveedores!$D$8:$D$200,"Ajuste",Proveedores!$C$8:$C$200,$B14)</f>
        <v>0</v>
      </c>
      <c r="H14" s="64">
        <f>C14-F14+D14-G14</f>
        <v>0</v>
      </c>
      <c r="I14" s="10"/>
      <c r="J14" s="17"/>
    </row>
    <row r="15" spans="2:17" ht="21.95" customHeight="1" x14ac:dyDescent="0.25">
      <c r="B15" s="14" t="s">
        <v>16</v>
      </c>
      <c r="C15" s="65">
        <f>SUM(Presupuesto!J$8:J$14)</f>
        <v>0</v>
      </c>
      <c r="D15" s="64">
        <f>SUMIFS(Proveedores!$G$8:$G$200,Proveedores!$D$8:$D$200,"Ingreso",Proveedores!$C$8:$C$200,$B15)</f>
        <v>0</v>
      </c>
      <c r="E15" s="65">
        <f>C15</f>
        <v>0</v>
      </c>
      <c r="F15" s="65">
        <f>SUMIFS(Proveedores!$G$8:$G$200,Proveedores!$D$8:$D$200,"Pago",Proveedores!$C$8:$C$200,$B15)</f>
        <v>0</v>
      </c>
      <c r="G15" s="64">
        <f>SUMIFS(Proveedores!$G$8:$G$200,Proveedores!$D$8:$D$200,"Ajuste",Proveedores!$C$8:$C$200,$B15)</f>
        <v>0</v>
      </c>
      <c r="H15" s="64">
        <f>C15-F15+D15-G15</f>
        <v>0</v>
      </c>
      <c r="I15" s="10"/>
      <c r="J15" s="17"/>
    </row>
    <row r="16" spans="2:17" ht="21.95" customHeight="1" x14ac:dyDescent="0.25">
      <c r="B16" s="14" t="s">
        <v>17</v>
      </c>
      <c r="C16" s="65">
        <f>SUM(Presupuesto!K$8:K$14)</f>
        <v>0</v>
      </c>
      <c r="D16" s="64">
        <f>SUMIFS(Proveedores!$G$8:$G$200,Proveedores!$D$8:$D$200,"Ingreso",Proveedores!$C$8:$C$200,$B16)</f>
        <v>0</v>
      </c>
      <c r="E16" s="65">
        <f>C16</f>
        <v>0</v>
      </c>
      <c r="F16" s="65">
        <f>SUMIFS(Proveedores!$G$8:$G$200,Proveedores!$D$8:$D$200,"Pago",Proveedores!$C$8:$C$200,$B16)</f>
        <v>0</v>
      </c>
      <c r="G16" s="64">
        <f>SUMIFS(Proveedores!$G$8:$G$200,Proveedores!$D$8:$D$200,"Ajuste",Proveedores!$C$8:$C$200,$B16)</f>
        <v>0</v>
      </c>
      <c r="H16" s="64">
        <f>C16-F16+D16-G16</f>
        <v>0</v>
      </c>
      <c r="I16" s="10"/>
      <c r="J16" s="17"/>
    </row>
    <row r="17" spans="2:10" ht="21.95" customHeight="1" x14ac:dyDescent="0.25">
      <c r="B17" s="14" t="s">
        <v>18</v>
      </c>
      <c r="C17" s="65">
        <f>SUM(Presupuesto!L$8:L$14)</f>
        <v>0</v>
      </c>
      <c r="D17" s="64">
        <f>SUMIFS(Proveedores!$G$8:$G$200,Proveedores!$D$8:$D$200,"Ingreso",Proveedores!$C$8:$C$200,$B17)</f>
        <v>0</v>
      </c>
      <c r="E17" s="65">
        <f>C17</f>
        <v>0</v>
      </c>
      <c r="F17" s="65">
        <f>SUMIFS(Proveedores!$G$8:$G$200,Proveedores!$D$8:$D$200,"Pago",Proveedores!$C$8:$C$200,$B17)</f>
        <v>0</v>
      </c>
      <c r="G17" s="64">
        <f>SUMIFS(Proveedores!$G$8:$G$200,Proveedores!$D$8:$D$200,"Ajuste",Proveedores!$C$8:$C$200,$B17)</f>
        <v>0</v>
      </c>
      <c r="H17" s="64">
        <f>C17-F17+D17-G17</f>
        <v>0</v>
      </c>
      <c r="I17" s="10"/>
      <c r="J17" s="17"/>
    </row>
    <row r="18" spans="2:10" ht="21.95" customHeight="1" x14ac:dyDescent="0.25">
      <c r="B18" s="14" t="s">
        <v>19</v>
      </c>
      <c r="C18" s="65">
        <f>SUM(Presupuesto!M$8:M$14)</f>
        <v>0</v>
      </c>
      <c r="D18" s="64">
        <f>SUMIFS(Proveedores!$G$8:$G$200,Proveedores!$D$8:$D$200,"Ingreso",Proveedores!$C$8:$C$200,$B18)</f>
        <v>0</v>
      </c>
      <c r="E18" s="65">
        <f>C18</f>
        <v>0</v>
      </c>
      <c r="F18" s="65">
        <f>SUMIFS(Proveedores!$G$8:$G$200,Proveedores!$D$8:$D$200,"Pago",Proveedores!$C$8:$C$200,$B18)</f>
        <v>0</v>
      </c>
      <c r="G18" s="64">
        <f>SUMIFS(Proveedores!$G$8:$G$200,Proveedores!$D$8:$D$200,"Ajuste",Proveedores!$C$8:$C$200,$B18)</f>
        <v>0</v>
      </c>
      <c r="H18" s="64">
        <f>C18-F18+D18-G18</f>
        <v>0</v>
      </c>
      <c r="I18" s="10"/>
      <c r="J18" s="17"/>
    </row>
    <row r="19" spans="2:10" ht="21.95" customHeight="1" x14ac:dyDescent="0.25">
      <c r="B19" s="14" t="s">
        <v>20</v>
      </c>
      <c r="C19" s="65">
        <f>SUM(Presupuesto!N$8:N$14)</f>
        <v>0</v>
      </c>
      <c r="D19" s="64">
        <f>SUMIFS(Proveedores!$G$8:$G$200,Proveedores!$D$8:$D$200,"Ingreso",Proveedores!$C$8:$C$200,$B19)</f>
        <v>0</v>
      </c>
      <c r="E19" s="65">
        <f>C19</f>
        <v>0</v>
      </c>
      <c r="F19" s="65">
        <f>SUMIFS(Proveedores!$G$8:$G$200,Proveedores!$D$8:$D$200,"Pago",Proveedores!$C$8:$C$200,$B19)</f>
        <v>0</v>
      </c>
      <c r="G19" s="64">
        <f>SUMIFS(Proveedores!$G$8:$G$200,Proveedores!$D$8:$D$200,"Ajuste",Proveedores!$C$8:$C$200,$B19)</f>
        <v>0</v>
      </c>
      <c r="H19" s="64">
        <f>C19-F19+D19-G19</f>
        <v>0</v>
      </c>
      <c r="I19" s="10"/>
      <c r="J19" s="17"/>
    </row>
    <row r="20" spans="2:10" ht="21.95" customHeight="1" x14ac:dyDescent="0.25">
      <c r="B20" s="62" t="s">
        <v>33</v>
      </c>
      <c r="C20" s="66">
        <f>SUM(C8:C19)</f>
        <v>17200</v>
      </c>
      <c r="D20" s="66">
        <f>SUM(D8:D19)</f>
        <v>1500</v>
      </c>
      <c r="E20" s="66">
        <f>SUM(E8:E19)</f>
        <v>17200</v>
      </c>
      <c r="F20" s="66">
        <f>SUM(F8:F19)</f>
        <v>3750</v>
      </c>
      <c r="G20" s="66">
        <f>SUM(G8:G19)</f>
        <v>300</v>
      </c>
      <c r="H20" s="66">
        <f>SUM(H8:H19)</f>
        <v>14650</v>
      </c>
      <c r="I20" s="59"/>
      <c r="J20" s="63"/>
    </row>
    <row r="21" spans="2:10" ht="21" customHeight="1" x14ac:dyDescent="0.25"/>
    <row r="22" spans="2:10" ht="21" customHeight="1" x14ac:dyDescent="0.25"/>
    <row r="23" spans="2:10" ht="21" customHeight="1" x14ac:dyDescent="0.25">
      <c r="B23" s="46" t="s">
        <v>128</v>
      </c>
      <c r="C23" s="31"/>
      <c r="D23" s="31"/>
      <c r="E23" s="31"/>
      <c r="F23" s="31"/>
      <c r="G23" s="31"/>
      <c r="H23" s="31"/>
      <c r="I23" s="31"/>
      <c r="J23" s="31"/>
    </row>
    <row r="24" spans="2:10" ht="21" customHeight="1" x14ac:dyDescent="0.25">
      <c r="B24" s="31"/>
      <c r="C24" s="31"/>
      <c r="D24" s="31"/>
      <c r="E24" s="31"/>
      <c r="F24" s="31"/>
      <c r="G24" s="31"/>
      <c r="H24" s="31"/>
      <c r="I24" s="31"/>
      <c r="J24" s="31"/>
    </row>
    <row r="25" spans="2:10" ht="21" customHeight="1" x14ac:dyDescent="0.25"/>
    <row r="26" spans="2:10" ht="21" customHeight="1" x14ac:dyDescent="0.25"/>
    <row r="27" spans="2:10" ht="21" customHeight="1" x14ac:dyDescent="0.25"/>
    <row r="28" spans="2:10" ht="21" customHeight="1" x14ac:dyDescent="0.25"/>
    <row r="29" spans="2:10" ht="21" customHeight="1" x14ac:dyDescent="0.25"/>
    <row r="30" spans="2:10" ht="21" customHeight="1" x14ac:dyDescent="0.25"/>
    <row r="31" spans="2:10" ht="21" customHeight="1" x14ac:dyDescent="0.25"/>
    <row r="32" spans="2:10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23:J24"/>
    <mergeCell ref="B4:Q4"/>
    <mergeCell ref="B2:Q2"/>
    <mergeCell ref="B6:J6"/>
    <mergeCell ref="B3:Q3"/>
  </mergeCells>
  <pageMargins left="0.25" right="0.25" top="0.35" bottom="0.35" header="0.5" footer="0.5"/>
  <pageSetup fitToHeight="0"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A2E46"/>
    <pageSetUpPr fitToPage="1"/>
  </sheetPr>
  <dimension ref="B1:J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3" customWidth="1"/>
    <col min="3" max="3" width="14" customWidth="1"/>
    <col min="4" max="4" width="11" customWidth="1"/>
    <col min="5" max="5" width="15" customWidth="1"/>
    <col min="6" max="7" width="14" customWidth="1"/>
    <col min="8" max="8" width="12" customWidth="1"/>
    <col min="9" max="9" width="15" customWidth="1"/>
    <col min="10" max="10" width="14" customWidth="1"/>
  </cols>
  <sheetData>
    <row r="1" spans="2:10" ht="26.1" customHeight="1" x14ac:dyDescent="0.25"/>
    <row r="2" spans="2:10" ht="21.95" customHeight="1" x14ac:dyDescent="0.25">
      <c r="B2" s="38" t="s">
        <v>139</v>
      </c>
      <c r="C2" s="31"/>
      <c r="D2" s="31"/>
      <c r="E2" s="31"/>
      <c r="F2" s="31"/>
      <c r="G2" s="31"/>
      <c r="H2" s="31"/>
      <c r="I2" s="31"/>
      <c r="J2" s="31"/>
    </row>
    <row r="3" spans="2:10" ht="30" customHeight="1" x14ac:dyDescent="0.25">
      <c r="B3" s="39" t="s">
        <v>140</v>
      </c>
      <c r="C3" s="31"/>
      <c r="D3" s="31"/>
      <c r="E3" s="31"/>
      <c r="F3" s="31"/>
      <c r="G3" s="31"/>
      <c r="H3" s="31"/>
      <c r="I3" s="31"/>
      <c r="J3" s="31"/>
    </row>
    <row r="4" spans="2:10" ht="21.95" customHeight="1" x14ac:dyDescent="0.25">
      <c r="B4" s="33" t="s">
        <v>141</v>
      </c>
      <c r="C4" s="31"/>
      <c r="D4" s="31"/>
      <c r="E4" s="31"/>
      <c r="F4" s="31"/>
      <c r="G4" s="31"/>
      <c r="H4" s="31"/>
      <c r="I4" s="31"/>
      <c r="J4" s="31"/>
    </row>
    <row r="5" spans="2:10" ht="21" customHeight="1" x14ac:dyDescent="0.25"/>
    <row r="6" spans="2:10" ht="24" customHeight="1" x14ac:dyDescent="0.25">
      <c r="B6" s="53" t="s">
        <v>142</v>
      </c>
      <c r="C6" s="31"/>
      <c r="D6" s="31"/>
      <c r="E6" s="31"/>
      <c r="F6" s="31"/>
      <c r="G6" s="31"/>
      <c r="H6" s="31"/>
      <c r="I6" s="31"/>
      <c r="J6" s="31"/>
    </row>
    <row r="7" spans="2:10" s="28" customFormat="1" ht="21" customHeight="1" x14ac:dyDescent="0.25">
      <c r="B7" s="19"/>
      <c r="C7" s="20"/>
      <c r="E7" s="19"/>
      <c r="F7" s="21"/>
      <c r="H7" s="19"/>
      <c r="I7" s="22"/>
    </row>
    <row r="8" spans="2:10" ht="21" customHeight="1" x14ac:dyDescent="0.25"/>
    <row r="9" spans="2:10" ht="32.1" customHeight="1" x14ac:dyDescent="0.25">
      <c r="B9" s="8" t="s">
        <v>143</v>
      </c>
      <c r="C9" s="8" t="s">
        <v>144</v>
      </c>
      <c r="D9" s="8" t="s">
        <v>145</v>
      </c>
      <c r="E9" s="8" t="s">
        <v>146</v>
      </c>
      <c r="F9" s="8" t="s">
        <v>28</v>
      </c>
      <c r="G9" s="8" t="s">
        <v>147</v>
      </c>
      <c r="H9" s="8" t="s">
        <v>148</v>
      </c>
      <c r="I9" s="8" t="s">
        <v>149</v>
      </c>
      <c r="J9" s="8" t="s">
        <v>34</v>
      </c>
    </row>
    <row r="10" spans="2:10" ht="21.95" customHeight="1" x14ac:dyDescent="0.25">
      <c r="B10" s="12" t="s">
        <v>150</v>
      </c>
      <c r="C10" s="15" t="s">
        <v>151</v>
      </c>
      <c r="D10" s="29" t="s">
        <v>90</v>
      </c>
      <c r="E10" s="73">
        <v>46418</v>
      </c>
      <c r="F10" s="15" t="s">
        <v>93</v>
      </c>
      <c r="G10" s="10" t="s">
        <v>152</v>
      </c>
      <c r="H10" s="74">
        <f ca="1">MAX(E10-TODAY(),0)</f>
        <v>109</v>
      </c>
      <c r="I10" s="23" t="s">
        <v>153</v>
      </c>
      <c r="J10" s="75">
        <f>IF(F10="Confirmado",1,0)</f>
        <v>1</v>
      </c>
    </row>
    <row r="11" spans="2:10" ht="21.95" customHeight="1" x14ac:dyDescent="0.25">
      <c r="B11" s="12" t="s">
        <v>154</v>
      </c>
      <c r="C11" s="15" t="s">
        <v>69</v>
      </c>
      <c r="D11" s="29" t="s">
        <v>29</v>
      </c>
      <c r="E11" s="73">
        <v>46461</v>
      </c>
      <c r="F11" s="15" t="s">
        <v>30</v>
      </c>
      <c r="G11" s="10" t="s">
        <v>152</v>
      </c>
      <c r="H11" s="74">
        <f ca="1">MAX(E11-TODAY(),0)</f>
        <v>152</v>
      </c>
      <c r="I11" s="23" t="s">
        <v>155</v>
      </c>
      <c r="J11" s="75">
        <f>IF(F11="Confirmado",1,0)</f>
        <v>0</v>
      </c>
    </row>
    <row r="12" spans="2:10" ht="21.95" customHeight="1" x14ac:dyDescent="0.25">
      <c r="B12" s="12" t="s">
        <v>156</v>
      </c>
      <c r="C12" s="15" t="s">
        <v>157</v>
      </c>
      <c r="D12" s="29" t="s">
        <v>90</v>
      </c>
      <c r="E12" s="73">
        <v>46527</v>
      </c>
      <c r="F12" s="15" t="s">
        <v>30</v>
      </c>
      <c r="G12" s="10" t="s">
        <v>158</v>
      </c>
      <c r="H12" s="74">
        <f ca="1">MAX(E12-TODAY(),0)</f>
        <v>218</v>
      </c>
      <c r="I12" s="23" t="s">
        <v>159</v>
      </c>
      <c r="J12" s="75">
        <f>IF(F12="Confirmado",1,0)</f>
        <v>0</v>
      </c>
    </row>
    <row r="13" spans="2:10" ht="21.95" customHeight="1" x14ac:dyDescent="0.25">
      <c r="B13" s="18"/>
      <c r="C13" s="25"/>
      <c r="D13" s="25"/>
      <c r="E13" s="10"/>
      <c r="F13" s="10"/>
      <c r="G13" s="10"/>
      <c r="H13" s="11"/>
      <c r="I13" s="25"/>
      <c r="J13" s="25"/>
    </row>
    <row r="14" spans="2:10" ht="21" customHeight="1" x14ac:dyDescent="0.25"/>
    <row r="15" spans="2:10" ht="21" customHeight="1" x14ac:dyDescent="0.25"/>
    <row r="16" spans="2:10" ht="21" customHeight="1" x14ac:dyDescent="0.25">
      <c r="B16" s="46" t="s">
        <v>160</v>
      </c>
      <c r="C16" s="31"/>
      <c r="D16" s="31"/>
      <c r="E16" s="31"/>
      <c r="F16" s="31"/>
      <c r="G16" s="31"/>
      <c r="H16" s="31"/>
      <c r="I16" s="31"/>
      <c r="J16" s="31"/>
    </row>
    <row r="17" spans="2:10" ht="21" customHeight="1" x14ac:dyDescent="0.25">
      <c r="B17" s="31"/>
      <c r="C17" s="31"/>
      <c r="D17" s="31"/>
      <c r="E17" s="31"/>
      <c r="F17" s="31"/>
      <c r="G17" s="31"/>
      <c r="H17" s="31"/>
      <c r="I17" s="31"/>
      <c r="J17" s="31"/>
    </row>
    <row r="18" spans="2:10" ht="21" customHeight="1" x14ac:dyDescent="0.25">
      <c r="B18" s="31"/>
      <c r="C18" s="31"/>
      <c r="D18" s="31"/>
      <c r="E18" s="31"/>
      <c r="F18" s="31"/>
      <c r="G18" s="31"/>
      <c r="H18" s="31"/>
      <c r="I18" s="31"/>
      <c r="J18" s="31"/>
    </row>
    <row r="19" spans="2:10" ht="21" customHeight="1" x14ac:dyDescent="0.25"/>
    <row r="20" spans="2:10" ht="21" customHeight="1" x14ac:dyDescent="0.25"/>
    <row r="21" spans="2:10" ht="21" customHeight="1" x14ac:dyDescent="0.25"/>
    <row r="22" spans="2:10" ht="21" customHeight="1" x14ac:dyDescent="0.25"/>
    <row r="23" spans="2:10" ht="21" customHeight="1" x14ac:dyDescent="0.25"/>
    <row r="24" spans="2:10" ht="21" customHeight="1" x14ac:dyDescent="0.25"/>
    <row r="25" spans="2:10" ht="21" customHeight="1" x14ac:dyDescent="0.25"/>
    <row r="26" spans="2:10" ht="21" customHeight="1" x14ac:dyDescent="0.25"/>
    <row r="27" spans="2:10" ht="21" customHeight="1" x14ac:dyDescent="0.25"/>
    <row r="28" spans="2:10" ht="21" customHeight="1" x14ac:dyDescent="0.25"/>
    <row r="29" spans="2:10" ht="21" customHeight="1" x14ac:dyDescent="0.25"/>
    <row r="30" spans="2:10" ht="21" customHeight="1" x14ac:dyDescent="0.25"/>
    <row r="31" spans="2:10" ht="21" customHeight="1" x14ac:dyDescent="0.25"/>
    <row r="32" spans="2:10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16:J18"/>
    <mergeCell ref="B3:J3"/>
    <mergeCell ref="B4:J4"/>
    <mergeCell ref="B6:J6"/>
    <mergeCell ref="B2:J2"/>
  </mergeCells>
  <conditionalFormatting sqref="H10:H12">
    <cfRule type="dataBar" priority="1">
      <dataBar>
        <cfvo type="num" val="0"/>
        <cfvo type="num" val="1"/>
        <color rgb="FFA85D73"/>
      </dataBar>
    </cfRule>
  </conditionalFormatting>
  <pageMargins left="0.25" right="0.25" top="0.35" bottom="0.35" header="0.5" footer="0.5"/>
  <pageSetup fitToHeight="0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Valor no válido" error="Selecciona un valor de la lista." promptTitle="Lista" prompt="Elige una opción para mantener los resúmenes consistentes." xr:uid="{00000000-0002-0000-0600-000000000000}">
          <x14:formula1>
            <xm:f>Listas!$I$7:$I$13</xm:f>
          </x14:formula1>
          <xm:sqref>B10:B100</xm:sqref>
        </x14:dataValidation>
        <x14:dataValidation type="list" allowBlank="1" showInputMessage="1" showErrorMessage="1" errorTitle="Valor no válido" error="Selecciona un valor de la lista." promptTitle="Lista" prompt="Usa una opción de las listas del libro." xr:uid="{41FE98C8-CE6D-499C-B358-AFDBDA0C6177}">
          <x14:formula1>
            <xm:f>Listas!$K$7:$K$9</xm:f>
          </x14:formula1>
          <xm:sqref>D10:D100</xm:sqref>
        </x14:dataValidation>
        <x14:dataValidation type="list" allowBlank="1" showInputMessage="1" showErrorMessage="1" errorTitle="Valor no válido" error="Selecciona un valor de la lista." promptTitle="Lista" prompt="Usa una opción de las listas del libro." xr:uid="{C18BF043-2FCB-4112-9E0D-697176D4ACB1}">
          <x14:formula1>
            <xm:f>Listas!$M$7:$M$9</xm:f>
          </x14:formula1>
          <xm:sqref>F10:F100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2E46"/>
    <pageSetUpPr fitToPage="1"/>
  </sheetPr>
  <dimension ref="B1:H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2" customWidth="1"/>
    <col min="3" max="3" width="15" customWidth="1"/>
    <col min="4" max="4" width="14" customWidth="1"/>
    <col min="5" max="6" width="15" customWidth="1"/>
    <col min="7" max="7" width="18" customWidth="1"/>
    <col min="8" max="8" width="15" customWidth="1"/>
  </cols>
  <sheetData>
    <row r="1" spans="2:8" ht="26.1" customHeight="1" x14ac:dyDescent="0.25"/>
    <row r="2" spans="2:8" ht="21.95" customHeight="1" x14ac:dyDescent="0.25">
      <c r="B2" s="38" t="s">
        <v>161</v>
      </c>
      <c r="C2" s="31"/>
      <c r="D2" s="31"/>
      <c r="E2" s="31"/>
      <c r="F2" s="31"/>
      <c r="G2" s="31"/>
      <c r="H2" s="31"/>
    </row>
    <row r="3" spans="2:8" ht="30" customHeight="1" x14ac:dyDescent="0.25">
      <c r="B3" s="39" t="s">
        <v>162</v>
      </c>
      <c r="C3" s="31"/>
      <c r="D3" s="31"/>
      <c r="E3" s="31"/>
      <c r="F3" s="31"/>
      <c r="G3" s="31"/>
      <c r="H3" s="31"/>
    </row>
    <row r="4" spans="2:8" ht="21.95" customHeight="1" x14ac:dyDescent="0.25">
      <c r="B4" s="33" t="s">
        <v>163</v>
      </c>
      <c r="C4" s="31"/>
      <c r="D4" s="31"/>
      <c r="E4" s="31"/>
      <c r="F4" s="31"/>
      <c r="G4" s="31"/>
      <c r="H4" s="31"/>
    </row>
    <row r="5" spans="2:8" ht="21" customHeight="1" x14ac:dyDescent="0.25"/>
    <row r="6" spans="2:8" ht="24" customHeight="1" x14ac:dyDescent="0.25">
      <c r="B6" s="36" t="s">
        <v>164</v>
      </c>
      <c r="C6" s="31"/>
      <c r="D6" s="31"/>
      <c r="E6" s="31"/>
      <c r="F6" s="31"/>
      <c r="G6" s="31"/>
      <c r="H6" s="31"/>
    </row>
    <row r="7" spans="2:8" s="28" customFormat="1" ht="32.1" customHeight="1" x14ac:dyDescent="0.25">
      <c r="B7" s="13" t="s">
        <v>165</v>
      </c>
      <c r="C7" s="13" t="s">
        <v>56</v>
      </c>
      <c r="D7" s="13" t="s">
        <v>166</v>
      </c>
      <c r="E7" s="13" t="s">
        <v>167</v>
      </c>
      <c r="F7" s="13" t="s">
        <v>168</v>
      </c>
      <c r="G7" s="13" t="s">
        <v>28</v>
      </c>
      <c r="H7" s="13" t="s">
        <v>149</v>
      </c>
    </row>
    <row r="8" spans="2:8" ht="21.95" customHeight="1" x14ac:dyDescent="0.25">
      <c r="B8" s="12" t="s">
        <v>169</v>
      </c>
      <c r="C8" s="29">
        <v>35</v>
      </c>
      <c r="D8" s="29">
        <v>30</v>
      </c>
      <c r="E8" s="15" t="s">
        <v>170</v>
      </c>
      <c r="F8" s="29">
        <v>1</v>
      </c>
      <c r="G8" s="10" t="s">
        <v>93</v>
      </c>
      <c r="H8" s="24" t="s">
        <v>171</v>
      </c>
    </row>
    <row r="9" spans="2:8" ht="21.95" customHeight="1" x14ac:dyDescent="0.25">
      <c r="B9" s="12" t="s">
        <v>172</v>
      </c>
      <c r="C9" s="29">
        <v>30</v>
      </c>
      <c r="D9" s="29">
        <v>26</v>
      </c>
      <c r="E9" s="15" t="s">
        <v>173</v>
      </c>
      <c r="F9" s="29">
        <v>2</v>
      </c>
      <c r="G9" s="10" t="s">
        <v>30</v>
      </c>
      <c r="H9" s="24" t="s">
        <v>174</v>
      </c>
    </row>
    <row r="10" spans="2:8" ht="21.95" customHeight="1" x14ac:dyDescent="0.25">
      <c r="B10" s="12" t="s">
        <v>175</v>
      </c>
      <c r="C10" s="29">
        <v>55</v>
      </c>
      <c r="D10" s="29">
        <v>42</v>
      </c>
      <c r="E10" s="15" t="s">
        <v>176</v>
      </c>
      <c r="F10" s="29">
        <v>3</v>
      </c>
      <c r="G10" s="10" t="s">
        <v>30</v>
      </c>
      <c r="H10" s="24" t="s">
        <v>177</v>
      </c>
    </row>
    <row r="11" spans="2:8" ht="21.95" customHeight="1" x14ac:dyDescent="0.25">
      <c r="B11" s="61" t="s">
        <v>8</v>
      </c>
      <c r="C11" s="76">
        <f>SUM(C8:C10)</f>
        <v>120</v>
      </c>
      <c r="D11" s="76">
        <f>SUM(D8:D10)</f>
        <v>98</v>
      </c>
      <c r="E11" s="59"/>
      <c r="F11" s="76"/>
      <c r="G11" s="59"/>
      <c r="H11" s="63"/>
    </row>
    <row r="12" spans="2:8" ht="21" customHeight="1" x14ac:dyDescent="0.25"/>
    <row r="13" spans="2:8" ht="21" customHeight="1" x14ac:dyDescent="0.25"/>
    <row r="14" spans="2:8" ht="21" customHeight="1" x14ac:dyDescent="0.25">
      <c r="B14" s="50" t="s">
        <v>178</v>
      </c>
      <c r="C14" s="31"/>
      <c r="D14" s="31"/>
      <c r="E14" s="31"/>
      <c r="F14" s="31"/>
      <c r="G14" s="31"/>
      <c r="H14" s="31"/>
    </row>
    <row r="15" spans="2:8" ht="21" customHeight="1" x14ac:dyDescent="0.25">
      <c r="B15" s="31"/>
      <c r="C15" s="31"/>
      <c r="D15" s="31"/>
      <c r="E15" s="31"/>
      <c r="F15" s="31"/>
      <c r="G15" s="31"/>
      <c r="H15" s="31"/>
    </row>
    <row r="16" spans="2:8" ht="21" customHeight="1" x14ac:dyDescent="0.25">
      <c r="B16" s="31"/>
      <c r="C16" s="31"/>
      <c r="D16" s="31"/>
      <c r="E16" s="31"/>
      <c r="F16" s="31"/>
      <c r="G16" s="31"/>
      <c r="H16" s="31"/>
    </row>
    <row r="17" spans="2:8" ht="21" customHeight="1" x14ac:dyDescent="0.25">
      <c r="B17" s="31"/>
      <c r="C17" s="31"/>
      <c r="D17" s="31"/>
      <c r="E17" s="31"/>
      <c r="F17" s="31"/>
      <c r="G17" s="31"/>
      <c r="H17" s="31"/>
    </row>
    <row r="18" spans="2:8" ht="21" customHeight="1" x14ac:dyDescent="0.25"/>
    <row r="19" spans="2:8" ht="21" customHeight="1" x14ac:dyDescent="0.25"/>
    <row r="20" spans="2:8" ht="21" customHeight="1" x14ac:dyDescent="0.25"/>
    <row r="21" spans="2:8" ht="21" customHeight="1" x14ac:dyDescent="0.25"/>
    <row r="22" spans="2:8" ht="21" customHeight="1" x14ac:dyDescent="0.25"/>
    <row r="23" spans="2:8" ht="21" customHeight="1" x14ac:dyDescent="0.25"/>
    <row r="24" spans="2:8" ht="21" customHeight="1" x14ac:dyDescent="0.25"/>
    <row r="25" spans="2:8" ht="21" customHeight="1" x14ac:dyDescent="0.25"/>
    <row r="26" spans="2:8" ht="21" customHeight="1" x14ac:dyDescent="0.25"/>
    <row r="27" spans="2:8" ht="21" customHeight="1" x14ac:dyDescent="0.25"/>
    <row r="28" spans="2:8" ht="21" customHeight="1" x14ac:dyDescent="0.25"/>
    <row r="29" spans="2:8" ht="21" customHeight="1" x14ac:dyDescent="0.25"/>
    <row r="30" spans="2:8" ht="21" customHeight="1" x14ac:dyDescent="0.25"/>
    <row r="31" spans="2:8" ht="21" customHeight="1" x14ac:dyDescent="0.25"/>
    <row r="32" spans="2:8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14:H17"/>
    <mergeCell ref="B4:H4"/>
    <mergeCell ref="B6:H6"/>
    <mergeCell ref="B2:H2"/>
    <mergeCell ref="B3:H3"/>
  </mergeCells>
  <conditionalFormatting sqref="C8:C10">
    <cfRule type="dataBar" priority="1">
      <dataBar>
        <cfvo type="min"/>
        <cfvo type="max"/>
        <color rgb="FF9A6178"/>
      </dataBar>
    </cfRule>
  </conditionalFormatting>
  <pageMargins left="0.25" right="0.25" top="0.35" bottom="0.35" header="0.5" footer="0.5"/>
  <pageSetup fitToHeight="0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alor no válido" error="Selecciona un valor de la lista." promptTitle="Lista" prompt="Usa una opción de las listas del libro." xr:uid="{AAD0E554-1515-4EA8-AC20-0F979B65F052}">
          <x14:formula1>
            <xm:f>Listas!$M$7:$M$9</xm:f>
          </x14:formula1>
          <xm:sqref>G8:G100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85D73"/>
    <pageSetUpPr fitToPage="1"/>
  </sheetPr>
  <dimension ref="B1:M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5" customWidth="1"/>
    <col min="3" max="3" width="19" customWidth="1"/>
    <col min="4" max="4" width="3" customWidth="1"/>
    <col min="5" max="5" width="16" customWidth="1"/>
    <col min="6" max="6" width="3" customWidth="1"/>
    <col min="7" max="7" width="14" customWidth="1"/>
    <col min="8" max="8" width="3" customWidth="1"/>
    <col min="9" max="9" width="21" customWidth="1"/>
    <col min="10" max="10" width="3" customWidth="1"/>
    <col min="11" max="11" width="14" customWidth="1"/>
    <col min="12" max="12" width="3" customWidth="1"/>
    <col min="13" max="13" width="15" customWidth="1"/>
  </cols>
  <sheetData>
    <row r="1" spans="2:13" ht="26.1" customHeight="1" x14ac:dyDescent="0.25"/>
    <row r="2" spans="2:13" ht="21.95" customHeight="1" x14ac:dyDescent="0.25">
      <c r="B2" s="38" t="s">
        <v>73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2:13" ht="30" customHeight="1" x14ac:dyDescent="0.25">
      <c r="B3" s="39" t="s">
        <v>74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2:13" ht="21.95" customHeight="1" x14ac:dyDescent="0.25">
      <c r="B4" s="33" t="s">
        <v>75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2:13" ht="21" customHeight="1" x14ac:dyDescent="0.25"/>
    <row r="6" spans="2:13" ht="24" customHeight="1" x14ac:dyDescent="0.25">
      <c r="B6" s="53" t="s">
        <v>76</v>
      </c>
      <c r="C6" s="31"/>
      <c r="E6" s="43" t="s">
        <v>35</v>
      </c>
      <c r="G6" s="43" t="s">
        <v>36</v>
      </c>
      <c r="I6" s="43" t="s">
        <v>37</v>
      </c>
      <c r="K6" s="43" t="s">
        <v>77</v>
      </c>
      <c r="M6" s="43" t="s">
        <v>38</v>
      </c>
    </row>
    <row r="7" spans="2:13" s="28" customFormat="1" ht="32.1" customHeight="1" x14ac:dyDescent="0.25">
      <c r="B7" s="13" t="s">
        <v>39</v>
      </c>
      <c r="C7" s="13" t="s">
        <v>40</v>
      </c>
      <c r="E7" s="26" t="s">
        <v>9</v>
      </c>
      <c r="G7" s="26" t="s">
        <v>81</v>
      </c>
      <c r="I7" s="26" t="s">
        <v>83</v>
      </c>
      <c r="K7" s="26" t="s">
        <v>90</v>
      </c>
      <c r="M7" s="26" t="s">
        <v>30</v>
      </c>
    </row>
    <row r="8" spans="2:13" ht="21.95" customHeight="1" x14ac:dyDescent="0.25">
      <c r="B8" s="14" t="s">
        <v>54</v>
      </c>
      <c r="C8" s="23">
        <v>46557</v>
      </c>
      <c r="E8" s="27" t="s">
        <v>10</v>
      </c>
      <c r="G8" s="27" t="s">
        <v>31</v>
      </c>
      <c r="I8" s="27" t="s">
        <v>84</v>
      </c>
      <c r="K8" s="27" t="s">
        <v>29</v>
      </c>
      <c r="M8" s="27" t="s">
        <v>92</v>
      </c>
    </row>
    <row r="9" spans="2:13" ht="21.95" customHeight="1" x14ac:dyDescent="0.25">
      <c r="B9" s="14" t="s">
        <v>55</v>
      </c>
      <c r="C9" s="57">
        <v>18000</v>
      </c>
      <c r="E9" s="27" t="s">
        <v>11</v>
      </c>
      <c r="G9" s="27" t="s">
        <v>82</v>
      </c>
      <c r="I9" s="27" t="s">
        <v>85</v>
      </c>
      <c r="K9" s="27" t="s">
        <v>91</v>
      </c>
      <c r="M9" t="s">
        <v>93</v>
      </c>
    </row>
    <row r="10" spans="2:13" ht="21.95" customHeight="1" x14ac:dyDescent="0.25">
      <c r="B10" s="14" t="s">
        <v>56</v>
      </c>
      <c r="C10" s="29">
        <v>120</v>
      </c>
      <c r="E10" s="27" t="s">
        <v>12</v>
      </c>
      <c r="I10" s="27" t="s">
        <v>86</v>
      </c>
    </row>
    <row r="11" spans="2:13" ht="21.95" customHeight="1" x14ac:dyDescent="0.25">
      <c r="B11" s="14" t="s">
        <v>57</v>
      </c>
      <c r="C11" s="17" t="s">
        <v>78</v>
      </c>
      <c r="E11" s="27" t="s">
        <v>13</v>
      </c>
      <c r="I11" s="27" t="s">
        <v>87</v>
      </c>
    </row>
    <row r="12" spans="2:13" ht="21.95" customHeight="1" x14ac:dyDescent="0.25">
      <c r="B12" s="14" t="s">
        <v>58</v>
      </c>
      <c r="C12" s="17" t="s">
        <v>79</v>
      </c>
      <c r="E12" s="27" t="s">
        <v>14</v>
      </c>
      <c r="I12" s="27" t="s">
        <v>88</v>
      </c>
    </row>
    <row r="13" spans="2:13" ht="21.95" customHeight="1" x14ac:dyDescent="0.25">
      <c r="B13" s="14" t="s">
        <v>41</v>
      </c>
      <c r="C13" s="17" t="s">
        <v>42</v>
      </c>
      <c r="E13" s="27" t="s">
        <v>15</v>
      </c>
      <c r="I13" s="27" t="s">
        <v>89</v>
      </c>
    </row>
    <row r="14" spans="2:13" ht="21" customHeight="1" x14ac:dyDescent="0.25">
      <c r="E14" s="27" t="s">
        <v>16</v>
      </c>
    </row>
    <row r="15" spans="2:13" ht="21" customHeight="1" x14ac:dyDescent="0.25">
      <c r="E15" s="27" t="s">
        <v>17</v>
      </c>
    </row>
    <row r="16" spans="2:13" ht="21" customHeight="1" x14ac:dyDescent="0.25">
      <c r="E16" s="27" t="s">
        <v>18</v>
      </c>
    </row>
    <row r="17" spans="5:13" ht="21" customHeight="1" x14ac:dyDescent="0.25">
      <c r="E17" s="27" t="s">
        <v>19</v>
      </c>
    </row>
    <row r="18" spans="5:13" ht="21" customHeight="1" x14ac:dyDescent="0.25">
      <c r="E18" s="27" t="s">
        <v>20</v>
      </c>
    </row>
    <row r="19" spans="5:13" ht="21" customHeight="1" x14ac:dyDescent="0.25"/>
    <row r="20" spans="5:13" ht="21" customHeight="1" x14ac:dyDescent="0.25"/>
    <row r="21" spans="5:13" ht="21" customHeight="1" x14ac:dyDescent="0.25">
      <c r="E21" s="46" t="s">
        <v>80</v>
      </c>
      <c r="F21" s="31"/>
      <c r="G21" s="31"/>
      <c r="H21" s="31"/>
      <c r="I21" s="31"/>
      <c r="J21" s="31"/>
      <c r="K21" s="31"/>
      <c r="L21" s="31"/>
      <c r="M21" s="31"/>
    </row>
    <row r="22" spans="5:13" ht="21" customHeight="1" x14ac:dyDescent="0.25">
      <c r="E22" s="31"/>
      <c r="F22" s="31"/>
      <c r="G22" s="31"/>
      <c r="H22" s="31"/>
      <c r="I22" s="31"/>
      <c r="J22" s="31"/>
      <c r="K22" s="31"/>
      <c r="L22" s="31"/>
      <c r="M22" s="31"/>
    </row>
    <row r="23" spans="5:13" ht="21" customHeight="1" x14ac:dyDescent="0.25">
      <c r="E23" s="31"/>
      <c r="F23" s="31"/>
      <c r="G23" s="31"/>
      <c r="H23" s="31"/>
      <c r="I23" s="31"/>
      <c r="J23" s="31"/>
      <c r="K23" s="31"/>
      <c r="L23" s="31"/>
      <c r="M23" s="31"/>
    </row>
    <row r="24" spans="5:13" ht="21" customHeight="1" x14ac:dyDescent="0.25"/>
    <row r="25" spans="5:13" ht="21" customHeight="1" x14ac:dyDescent="0.25"/>
    <row r="26" spans="5:13" ht="21" customHeight="1" x14ac:dyDescent="0.25"/>
    <row r="27" spans="5:13" ht="21" customHeight="1" x14ac:dyDescent="0.25"/>
    <row r="28" spans="5:13" ht="21" customHeight="1" x14ac:dyDescent="0.25"/>
    <row r="29" spans="5:13" ht="21" customHeight="1" x14ac:dyDescent="0.25"/>
    <row r="30" spans="5:13" ht="21" customHeight="1" x14ac:dyDescent="0.25"/>
    <row r="31" spans="5:13" ht="21" customHeight="1" x14ac:dyDescent="0.25"/>
    <row r="32" spans="5:13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10">
    <mergeCell ref="B2:M2"/>
    <mergeCell ref="B6:C6"/>
    <mergeCell ref="B3:M3"/>
    <mergeCell ref="E21:M23"/>
    <mergeCell ref="I6"/>
    <mergeCell ref="M6"/>
    <mergeCell ref="E6"/>
    <mergeCell ref="B4:M4"/>
    <mergeCell ref="G6"/>
    <mergeCell ref="K6"/>
  </mergeCells>
  <dataValidations count="3">
    <dataValidation type="list" allowBlank="1" errorTitle="Valor no válido" error="Selecciona un valor de la lista." promptTitle="Lista" prompt="Elige una opción para mantener los resúmenes consistentes." sqref="C8" xr:uid="{00000000-0002-0000-0800-000000000000}">
      <formula1>$E$7:$E$18</formula1>
    </dataValidation>
    <dataValidation type="list" allowBlank="1" errorTitle="Valor no válido" error="Selecciona un valor de la lista." promptTitle="Lista" prompt="Elige una opción para mantener los resúmenes consistentes." sqref="C11:C12" xr:uid="{00000000-0002-0000-0800-000001000000}">
      <formula1>$K$7:$K$9</formula1>
    </dataValidation>
    <dataValidation type="list" allowBlank="1" errorTitle="Valor no válido" error="Selecciona un valor de la lista." promptTitle="Lista" prompt="Elige una opción para mantener los resúmenes consistentes." sqref="C13" xr:uid="{00000000-0002-0000-0800-000002000000}">
      <formula1>$M$7:$M$8</formula1>
    </dataValidation>
  </dataValidations>
  <pageMargins left="0.25" right="0.25" top="0.35" bottom="0.35" header="0.5" footer="0.5"/>
  <pageSetup fitToHeight="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Inicio</vt:lpstr>
      <vt:lpstr>Resumen</vt:lpstr>
      <vt:lpstr>Presupuesto</vt:lpstr>
      <vt:lpstr>Pagos reales</vt:lpstr>
      <vt:lpstr>Proveedores</vt:lpstr>
      <vt:lpstr>Flujo de pagos</vt:lpstr>
      <vt:lpstr>Checklist</vt:lpstr>
      <vt:lpstr>Invitados</vt:lpstr>
      <vt:lpstr>Listas</vt:lpstr>
      <vt:lpstr>Checklist!Área_de_impresión</vt:lpstr>
      <vt:lpstr>'Flujo de pagos'!Área_de_impresión</vt:lpstr>
      <vt:lpstr>Inicio!Área_de_impresión</vt:lpstr>
      <vt:lpstr>Invitados!Área_de_impresión</vt:lpstr>
      <vt:lpstr>Listas!Área_de_impresión</vt:lpstr>
      <vt:lpstr>'Pagos reales'!Área_de_impresión</vt:lpstr>
      <vt:lpstr>Presupuesto!Área_de_impresión</vt:lpstr>
      <vt:lpstr>Proveedores!Área_de_impresión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Planificador de boda · base nativa</dc:title>
  <dc:subject>Presupuesto, proveedores, pagos, invitados y checklist de boda</dc:subject>
  <dc:creator>Creador de Excels</dc:creator>
  <cp:lastModifiedBy>Santiago García Guardia</cp:lastModifiedBy>
  <dcterms:created xsi:type="dcterms:W3CDTF">2026-10-14T08:26:24Z</dcterms:created>
  <dcterms:modified xsi:type="dcterms:W3CDTF">2026-10-14T10:57:56Z</dcterms:modified>
</cp:coreProperties>
</file>