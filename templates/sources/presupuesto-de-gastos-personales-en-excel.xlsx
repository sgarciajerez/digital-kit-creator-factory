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3F63B31F-8CA2-4A35-9BA6-E0A87EDE4A7F}" xr6:coauthVersionLast="47" xr6:coauthVersionMax="47" xr10:uidLastSave="{00000000-0000-0000-0000-000000000000}"/>
  <bookViews>
    <workbookView xWindow="23690" yWindow="-1040" windowWidth="24760" windowHeight="14930" activeTab="1" xr2:uid="{858916C4-DD4E-4E93-A2A2-F08DBF9E8E66}"/>
  </bookViews>
  <sheets>
    <sheet name="- AYUDA -" sheetId="8" r:id="rId1"/>
    <sheet name="Presupuesto Mensual" sheetId="5" r:id="rId2"/>
    <sheet name="Reporte mensual" sheetId="4" r:id="rId3"/>
    <sheet name="Reporte_categoria" sheetId="6" r:id="rId4"/>
    <sheet name="Auxiliar" sheetId="7" state="hidden" r:id="rId5"/>
  </sheets>
  <definedNames>
    <definedName name="ABRIL">'Presupuesto Mensual'!$K$11:$L$23</definedName>
    <definedName name="AGOSTO">'Presupuesto Mensual'!$S$11:$T$23</definedName>
    <definedName name="Cate">OFFSET(Reporte_categoria!$C$27,,,COUNTA(Reporte_categoria!$C$27:$C$39))</definedName>
    <definedName name="Categorias">IFERROR(OFFSET('Presupuesto Mensual'!$B$11,,,COUNTA('Presupuesto Mensual'!$B$11:$B$23)),"-")</definedName>
    <definedName name="DICIEMBRE">'Presupuesto Mensual'!$AA$11:$AB$23</definedName>
    <definedName name="ENERO">'Presupuesto Mensual'!$E$11:$F$23</definedName>
    <definedName name="FEBRERO">'Presupuesto Mensual'!$G$11:$H$23</definedName>
    <definedName name="Gastado">'Reporte mensual'!$B$53</definedName>
    <definedName name="JULIO">'Presupuesto Mensual'!$Q$11:$R$23</definedName>
    <definedName name="JUNIO">'Presupuesto Mensual'!$O$11:$P$23</definedName>
    <definedName name="MARZO">'Presupuesto Mensual'!$I$11:$J$23</definedName>
    <definedName name="MAYO">'Presupuesto Mensual'!$M$11:$N$23</definedName>
    <definedName name="Meses">Auxiliar!$A$3:$A$14</definedName>
    <definedName name="NOVIEMBRE">'Presupuesto Mensual'!$Y$11:$Z$23</definedName>
    <definedName name="OCTUBRE">'Presupuesto Mensual'!$W$11:$X$23</definedName>
    <definedName name="Porcentaje">OFFSET(Reporte_categoria!$G$27,,,COUNTA(Reporte_categoria!$G$27:$G$39)-COUNTBLANK(Reporte_categoria!$G$27:$G$39))</definedName>
    <definedName name="PROGRESO">OFFSET(Reporte_categoria!$H$26,1,,COUNTA(Reporte_categoria!$H$27:$H$39)-COUNTBLANK(Reporte_categoria!$H$27:$H$39))</definedName>
    <definedName name="SEPTIEMBRE">'Presupuesto Mensual'!$U$11:$V$23</definedName>
    <definedName name="Total">OFFSET(Reporte_categoria!$I$27,,,COUNTA(Reporte_categoria!$I$27:$I$39)-COUNTBLANK(Reporte_categoria!$I$27:$I$39))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 a="1"/>
  <c r="C27" i="6" s="1"/>
  <c r="X25" i="5"/>
  <c r="N25" i="5"/>
  <c r="F25" i="5" l="1"/>
  <c r="G25" i="5"/>
  <c r="AA25" i="5"/>
  <c r="I25" i="5"/>
  <c r="R25" i="5"/>
  <c r="H25" i="5"/>
  <c r="T25" i="5"/>
  <c r="AB25" i="5"/>
  <c r="V25" i="5"/>
  <c r="P25" i="5"/>
  <c r="Z25" i="5"/>
  <c r="K25" i="5"/>
  <c r="W25" i="5"/>
  <c r="L25" i="5"/>
  <c r="E25" i="5"/>
  <c r="J25" i="5"/>
  <c r="O25" i="5" l="1"/>
  <c r="S25" i="5"/>
  <c r="U25" i="5"/>
  <c r="M25" i="5"/>
  <c r="Q25" i="5"/>
  <c r="Y25" i="5"/>
  <c r="D27" i="6" a="1"/>
  <c r="F28" i="6" l="1"/>
  <c r="F29" i="6"/>
  <c r="F30" i="6"/>
  <c r="F39" i="6"/>
  <c r="F31" i="6"/>
  <c r="F32" i="6"/>
  <c r="F35" i="6"/>
  <c r="F33" i="6"/>
  <c r="F34" i="6"/>
  <c r="F36" i="6"/>
  <c r="F37" i="6"/>
  <c r="F38" i="6"/>
  <c r="G39" i="6"/>
  <c r="H39" i="6" s="1"/>
  <c r="I39" i="6" s="1"/>
  <c r="G38" i="6"/>
  <c r="H38" i="6" s="1"/>
  <c r="I38" i="6" s="1"/>
  <c r="G37" i="6"/>
  <c r="H37" i="6" s="1"/>
  <c r="I37" i="6" s="1"/>
  <c r="G28" i="6"/>
  <c r="G29" i="6"/>
  <c r="G33" i="6"/>
  <c r="G36" i="6"/>
  <c r="G30" i="6"/>
  <c r="G35" i="6"/>
  <c r="G31" i="6"/>
  <c r="G32" i="6"/>
  <c r="G34" i="6"/>
  <c r="D27" i="6"/>
  <c r="C25" i="5"/>
  <c r="D36" i="4" a="1"/>
  <c r="C36" i="4" a="1"/>
  <c r="C44" i="4" a="1"/>
  <c r="C43" i="4" a="1"/>
  <c r="C41" i="4" a="1"/>
  <c r="C34" i="4" a="1"/>
  <c r="D41" i="4" a="1"/>
  <c r="D35" i="4" a="1"/>
  <c r="D34" i="4" a="1"/>
  <c r="C40" i="4" a="1"/>
  <c r="C45" i="4" a="1"/>
  <c r="C42" i="4" a="1"/>
  <c r="C38" i="4" a="1"/>
  <c r="C39" i="4" a="1"/>
  <c r="C35" i="4" a="1"/>
  <c r="D42" i="4" a="1"/>
  <c r="C37" i="4" a="1"/>
  <c r="G26" i="5" l="1"/>
  <c r="Q26" i="5"/>
  <c r="M26" i="5"/>
  <c r="U26" i="5"/>
  <c r="O26" i="5"/>
  <c r="W26" i="5"/>
  <c r="Y26" i="5"/>
  <c r="E26" i="5"/>
  <c r="I26" i="5"/>
  <c r="AA26" i="5"/>
  <c r="S26" i="5"/>
  <c r="K26" i="5"/>
  <c r="F27" i="6"/>
  <c r="G27" i="6"/>
  <c r="H27" i="6" s="1"/>
  <c r="I27" i="6" s="1"/>
  <c r="H28" i="6"/>
  <c r="I28" i="6" s="1"/>
  <c r="H32" i="6"/>
  <c r="I32" i="6" s="1"/>
  <c r="H31" i="6"/>
  <c r="I31" i="6" s="1"/>
  <c r="H34" i="6"/>
  <c r="I34" i="6" s="1"/>
  <c r="H30" i="6"/>
  <c r="I30" i="6" s="1"/>
  <c r="H33" i="6"/>
  <c r="I33" i="6" s="1"/>
  <c r="H29" i="6"/>
  <c r="I29" i="6" s="1"/>
  <c r="H35" i="6"/>
  <c r="I35" i="6" s="1"/>
  <c r="H36" i="6"/>
  <c r="I36" i="6" s="1"/>
  <c r="D34" i="4"/>
  <c r="D41" i="4"/>
  <c r="C42" i="4"/>
  <c r="C41" i="4"/>
  <c r="C40" i="4"/>
  <c r="C37" i="4"/>
  <c r="C39" i="4"/>
  <c r="D36" i="4"/>
  <c r="C34" i="4"/>
  <c r="C36" i="4"/>
  <c r="C38" i="4"/>
  <c r="D42" i="4"/>
  <c r="C45" i="4"/>
  <c r="D35" i="4"/>
  <c r="C43" i="4"/>
  <c r="C44" i="4"/>
  <c r="C35" i="4"/>
  <c r="D45" i="4" a="1"/>
  <c r="D43" i="4" a="1"/>
  <c r="D44" i="4" a="1"/>
  <c r="D43" i="4" l="1"/>
  <c r="D45" i="4"/>
  <c r="D44" i="4"/>
  <c r="F42" i="4"/>
  <c r="G42" i="4" s="1"/>
  <c r="F36" i="4"/>
  <c r="G36" i="4" s="1"/>
  <c r="F34" i="4"/>
  <c r="G34" i="4" s="1"/>
  <c r="F35" i="4"/>
  <c r="G35" i="4" s="1"/>
  <c r="F41" i="4"/>
  <c r="G41" i="4" s="1"/>
  <c r="D40" i="4" a="1"/>
  <c r="F44" i="4" l="1"/>
  <c r="G44" i="4" s="1"/>
  <c r="F45" i="4"/>
  <c r="G45" i="4" s="1"/>
  <c r="F43" i="4"/>
  <c r="G43" i="4" s="1"/>
  <c r="D40" i="4"/>
  <c r="F40" i="4" l="1"/>
  <c r="G40" i="4" s="1"/>
  <c r="C47" i="4"/>
  <c r="F9" i="4" s="1"/>
  <c r="E43" i="4" l="1"/>
  <c r="E40" i="4"/>
  <c r="E34" i="4"/>
  <c r="E35" i="4"/>
  <c r="E42" i="4"/>
  <c r="E41" i="4"/>
  <c r="E36" i="4" l="1"/>
  <c r="E44" i="4"/>
  <c r="E45" i="4" l="1"/>
  <c r="J11" i="6" l="1"/>
  <c r="J14" i="6"/>
  <c r="D37" i="4" a="1"/>
  <c r="D38" i="4" a="1"/>
  <c r="D39" i="4" a="1"/>
  <c r="D38" i="4" l="1"/>
  <c r="D37" i="4"/>
  <c r="D39" i="4"/>
  <c r="J17" i="6"/>
  <c r="E37" i="4" l="1"/>
  <c r="F39" i="4"/>
  <c r="G39" i="4" s="1"/>
  <c r="E39" i="4"/>
  <c r="D47" i="4"/>
  <c r="B53" i="4" s="1"/>
  <c r="C53" i="4" s="1"/>
  <c r="F37" i="4"/>
  <c r="G37" i="4" s="1"/>
  <c r="F38" i="4"/>
  <c r="G38" i="4" s="1"/>
  <c r="E38" i="4"/>
  <c r="E47" i="4" l="1"/>
  <c r="F15" i="4" s="1"/>
  <c r="F1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<sst xmlns="http://schemas.openxmlformats.org/spreadsheetml/2006/main" count="96" uniqueCount="37">
  <si>
    <t>Ayuda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</si>
  <si>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</si>
  <si>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</si>
  <si>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</si>
  <si>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</si>
  <si>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</si>
  <si>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</si>
  <si>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</si>
  <si>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</si>
  <si>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</si>
  <si>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</si>
  <si>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</si>
  <si>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</si>
  <si>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CATEGORÍAS</t>
  </si>
  <si>
    <t>ACTUAL</t>
  </si>
  <si>
    <t>PRESUPUESTO</t>
  </si>
  <si>
    <t>REAL</t>
  </si>
  <si>
    <t>SUPERMERCADO</t>
  </si>
  <si>
    <t>GASTOS_FIJOS</t>
  </si>
  <si>
    <t>FORMACIÓN</t>
  </si>
  <si>
    <t>OCIO</t>
  </si>
  <si>
    <t>TRANSPORTE</t>
  </si>
  <si>
    <t>VIVIENDA</t>
  </si>
  <si>
    <t>SALUD</t>
  </si>
  <si>
    <t>STREAMING</t>
  </si>
  <si>
    <t>TOTAL</t>
  </si>
  <si>
    <t>AHORRO MENSUAL</t>
  </si>
  <si>
    <t>GASTO REAL</t>
  </si>
  <si>
    <t>DIFERENCIA</t>
  </si>
  <si>
    <t>DIFERENCIA [Presupuesto - Real]</t>
  </si>
  <si>
    <t>% DEL PRESUPUESTO</t>
  </si>
  <si>
    <t>Auxiliar</t>
  </si>
  <si>
    <t>MES</t>
  </si>
  <si>
    <t>Seleccione el mes</t>
  </si>
  <si>
    <t>% Gastado</t>
  </si>
  <si>
    <t>Presupuesto remanente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</si>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</sst>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\ #,##0;\-&quot;$&quot;\ #,##0"/>
    <numFmt numFmtId="41" formatCode="_-* #,##0_-;\-* #,##0_-;_-* &quot;-&quot;_-;_-@_-"/>
    <numFmt numFmtId="43" formatCode="_-* #,##0.00_-;\-* #,##0.00_-;_-* &quot;-&quot;??_-;_-@_-"/>
    <numFmt numFmtId="164" formatCode="&quot;$&quot;\ #,##0"/>
    <numFmt numFmtId="165" formatCode="mmm\ yy"/>
    <numFmt numFmtId="166" formatCode="General;;"/>
    <numFmt numFmtId="167" formatCode="&quot;$&quot;\ #,##0;\-&quot;$&quot;\ #,##0;"/>
  </numFmts>
  <fonts count="39" x14ac:knownFonts="1"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14BD89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 Narrow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0" tint="-0.499984740745262"/>
      <name val="Calibri"/>
      <family val="2"/>
    </font>
    <font>
      <sz val="16"/>
      <color theme="1"/>
      <name val="Calibri"/>
      <family val="2"/>
    </font>
    <font>
      <b/>
      <sz val="14"/>
      <color theme="1" tint="0.499984740745262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1"/>
      <color theme="0" tint="-4.9989318521683403E-2"/>
      <name val="Calibri"/>
      <family val="2"/>
    </font>
    <font>
      <sz val="11"/>
      <color theme="0" tint="-0.499984740745262"/>
      <name val="Calibri"/>
      <family val="2"/>
    </font>
    <font>
      <i/>
      <sz val="14"/>
      <color theme="0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1B1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7B78"/>
        <bgColor indexed="64"/>
      </patternFill>
    </fill>
    <fill>
      <patternFill patternType="solid">
        <fgColor rgb="FFF4FD8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slantDashDot">
        <color theme="0" tint="-4.9989318521683403E-2"/>
      </left>
      <right style="slantDashDot">
        <color theme="0" tint="-4.9989318521683403E-2"/>
      </right>
      <top/>
      <bottom style="slantDashDot">
        <color theme="0" tint="-4.9989318521683403E-2"/>
      </bottom>
      <diagonal/>
    </border>
    <border>
      <left style="slantDashDot">
        <color theme="0" tint="-4.9989318521683403E-2"/>
      </left>
      <right style="slantDashDot">
        <color theme="0" tint="-4.9989318521683403E-2"/>
      </right>
      <top style="slantDashDot">
        <color theme="0" tint="-4.9989318521683403E-2"/>
      </top>
      <bottom style="slantDashDot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slantDashDot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slantDashDot">
        <color theme="0" tint="-4.9989318521683403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slantDashDot">
        <color theme="0" tint="-4.9989318521683403E-2"/>
      </left>
      <right/>
      <top/>
      <bottom style="slantDashDot">
        <color theme="0" tint="-0.14996795556505021"/>
      </bottom>
      <diagonal/>
    </border>
    <border>
      <left style="slantDashDot">
        <color theme="0" tint="-4.9989318521683403E-2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2">
    <xf numFmtId="0" fontId="0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21" borderId="2" applyNumberFormat="0" applyAlignment="0" applyProtection="0"/>
    <xf numFmtId="0" fontId="11" fillId="22" borderId="3" applyNumberFormat="0" applyAlignment="0" applyProtection="0"/>
    <xf numFmtId="43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2" applyNumberFormat="0" applyAlignment="0" applyProtection="0"/>
    <xf numFmtId="0" fontId="18" fillId="0" borderId="7" applyNumberFormat="0" applyFill="0" applyAlignment="0" applyProtection="0"/>
    <xf numFmtId="5" fontId="6" fillId="0" borderId="0" applyFont="0" applyFill="0" applyBorder="0" applyAlignment="0" applyProtection="0"/>
    <xf numFmtId="37" fontId="6" fillId="23" borderId="0" applyFont="0" applyFill="0" applyBorder="0" applyAlignment="0" applyProtection="0"/>
    <xf numFmtId="41" fontId="6" fillId="0" borderId="8" applyFont="0" applyFill="0" applyBorder="0" applyAlignment="0" applyProtection="0">
      <alignment horizontal="center" vertical="center"/>
    </xf>
    <xf numFmtId="10" fontId="6" fillId="0" borderId="0" applyFont="0" applyFill="0" applyBorder="0" applyAlignment="0" applyProtection="0"/>
    <xf numFmtId="0" fontId="19" fillId="24" borderId="0" applyNumberFormat="0" applyBorder="0" applyAlignment="0" applyProtection="0"/>
    <xf numFmtId="0" fontId="20" fillId="25" borderId="9" applyNumberFormat="0" applyFont="0" applyAlignment="0" applyProtection="0"/>
    <xf numFmtId="0" fontId="21" fillId="21" borderId="10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horizontal="left" indent="1"/>
    </xf>
    <xf numFmtId="9" fontId="28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164" fontId="26" fillId="0" borderId="12" xfId="0" applyNumberFormat="1" applyFont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164" fontId="27" fillId="0" borderId="16" xfId="0" applyNumberFormat="1" applyFont="1" applyBorder="1" applyAlignment="1">
      <alignment horizontal="center" vertical="center"/>
    </xf>
    <xf numFmtId="164" fontId="27" fillId="0" borderId="17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14" xfId="0" applyFont="1" applyBorder="1" applyAlignment="1">
      <alignment horizontal="center" vertical="center"/>
    </xf>
    <xf numFmtId="164" fontId="27" fillId="0" borderId="20" xfId="0" applyNumberFormat="1" applyFont="1" applyBorder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0" fillId="2" borderId="0" xfId="0" applyFont="1" applyFill="1" applyAlignment="1">
      <alignment horizontal="center"/>
    </xf>
    <xf numFmtId="164" fontId="31" fillId="2" borderId="0" xfId="0" applyNumberFormat="1" applyFont="1" applyFill="1" applyAlignment="1">
      <alignment horizontal="center"/>
    </xf>
    <xf numFmtId="0" fontId="1" fillId="26" borderId="14" xfId="0" applyFont="1" applyFill="1" applyBorder="1" applyAlignment="1">
      <alignment horizontal="center" vertical="center"/>
    </xf>
    <xf numFmtId="165" fontId="1" fillId="26" borderId="1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/>
    </xf>
    <xf numFmtId="164" fontId="27" fillId="0" borderId="13" xfId="0" applyNumberFormat="1" applyFont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 indent="1"/>
    </xf>
    <xf numFmtId="164" fontId="26" fillId="0" borderId="22" xfId="0" applyNumberFormat="1" applyFont="1" applyBorder="1" applyAlignment="1">
      <alignment horizontal="center" vertical="center"/>
    </xf>
    <xf numFmtId="0" fontId="33" fillId="2" borderId="0" xfId="0" applyFont="1" applyFill="1" applyAlignment="1">
      <alignment horizontal="left" vertical="center" indent="1"/>
    </xf>
    <xf numFmtId="0" fontId="33" fillId="2" borderId="1" xfId="0" applyFont="1" applyFill="1" applyBorder="1" applyAlignment="1">
      <alignment horizontal="center" vertical="center"/>
    </xf>
    <xf numFmtId="9" fontId="26" fillId="27" borderId="23" xfId="50" applyFont="1" applyFill="1" applyBorder="1" applyAlignment="1">
      <alignment horizontal="center" vertical="center"/>
    </xf>
    <xf numFmtId="9" fontId="26" fillId="27" borderId="24" xfId="50" applyFont="1" applyFill="1" applyBorder="1" applyAlignment="1">
      <alignment horizontal="center" vertical="center"/>
    </xf>
    <xf numFmtId="9" fontId="29" fillId="0" borderId="0" xfId="0" applyNumberFormat="1" applyFont="1"/>
    <xf numFmtId="165" fontId="1" fillId="29" borderId="19" xfId="0" applyNumberFormat="1" applyFont="1" applyFill="1" applyBorder="1" applyAlignment="1">
      <alignment horizontal="center" vertical="center" wrapText="1"/>
    </xf>
    <xf numFmtId="9" fontId="26" fillId="0" borderId="21" xfId="50" applyFont="1" applyBorder="1" applyAlignment="1">
      <alignment horizontal="center" vertical="center"/>
    </xf>
    <xf numFmtId="0" fontId="32" fillId="27" borderId="0" xfId="0" applyFont="1" applyFill="1" applyAlignment="1">
      <alignment horizontal="left" vertical="center" indent="1"/>
    </xf>
    <xf numFmtId="0" fontId="32" fillId="27" borderId="1" xfId="0" applyFont="1" applyFill="1" applyBorder="1" applyAlignment="1">
      <alignment horizontal="center" vertical="center"/>
    </xf>
    <xf numFmtId="0" fontId="35" fillId="0" borderId="0" xfId="0" applyFont="1"/>
    <xf numFmtId="9" fontId="35" fillId="0" borderId="8" xfId="50" applyFont="1" applyFill="1" applyBorder="1" applyAlignment="1">
      <alignment horizontal="center"/>
    </xf>
    <xf numFmtId="9" fontId="35" fillId="0" borderId="8" xfId="0" applyNumberFormat="1" applyFont="1" applyBorder="1" applyAlignment="1">
      <alignment horizontal="center"/>
    </xf>
    <xf numFmtId="9" fontId="0" fillId="0" borderId="0" xfId="50" applyFont="1"/>
    <xf numFmtId="166" fontId="33" fillId="2" borderId="1" xfId="0" applyNumberFormat="1" applyFont="1" applyFill="1" applyBorder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34" fillId="0" borderId="0" xfId="0" applyFont="1"/>
    <xf numFmtId="0" fontId="36" fillId="0" borderId="0" xfId="0" applyFont="1" applyAlignment="1">
      <alignment horizontal="center" vertical="center"/>
    </xf>
    <xf numFmtId="0" fontId="1" fillId="28" borderId="18" xfId="0" applyFont="1" applyFill="1" applyBorder="1" applyAlignment="1">
      <alignment horizontal="centerContinuous" vertical="center" wrapText="1"/>
    </xf>
    <xf numFmtId="0" fontId="1" fillId="28" borderId="19" xfId="0" applyFont="1" applyFill="1" applyBorder="1" applyAlignment="1">
      <alignment horizontal="centerContinuous" vertical="center" wrapText="1"/>
    </xf>
    <xf numFmtId="0" fontId="27" fillId="30" borderId="18" xfId="0" applyFont="1" applyFill="1" applyBorder="1" applyAlignment="1">
      <alignment horizontal="centerContinuous" vertical="center" wrapText="1"/>
    </xf>
    <xf numFmtId="165" fontId="1" fillId="29" borderId="25" xfId="0" applyNumberFormat="1" applyFont="1" applyFill="1" applyBorder="1" applyAlignment="1">
      <alignment horizontal="center" vertical="center" wrapText="1"/>
    </xf>
    <xf numFmtId="167" fontId="26" fillId="0" borderId="12" xfId="0" applyNumberFormat="1" applyFont="1" applyBorder="1" applyAlignment="1">
      <alignment horizontal="center" vertical="center"/>
    </xf>
    <xf numFmtId="9" fontId="37" fillId="27" borderId="0" xfId="5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" fillId="0" borderId="0" xfId="51"/>
    <xf numFmtId="0" fontId="38" fillId="0" borderId="0" xfId="51" applyFont="1" applyAlignment="1">
      <alignment vertical="center"/>
    </xf>
    <xf numFmtId="0" fontId="38" fillId="0" borderId="0" xfId="51" applyFont="1" applyAlignment="1">
      <alignment vertical="top"/>
    </xf>
    <xf numFmtId="0" fontId="35" fillId="0" borderId="8" xfId="0" applyFont="1" applyBorder="1" applyAlignment="1">
      <alignment horizontal="center"/>
    </xf>
  </cellXfs>
  <cellStyles count="52">
    <cellStyle name="20% - Énfasis1 2" xfId="2" xr:uid="{35C7F471-970E-48B2-8B0A-07E8614969E5}"/>
    <cellStyle name="20% - Énfasis2 2" xfId="3" xr:uid="{6A14D8A4-EB6A-4787-954E-C83B12773920}"/>
    <cellStyle name="20% - Énfasis3 2" xfId="4" xr:uid="{DA698286-1666-4451-A4F7-149394F83239}"/>
    <cellStyle name="20% - Énfasis4 2" xfId="5" xr:uid="{62A5C518-421A-42F1-B370-35E007617B82}"/>
    <cellStyle name="20% - Énfasis5 2" xfId="6" xr:uid="{3A21BF30-3841-4D04-A50A-E3851E9AF55B}"/>
    <cellStyle name="20% - Énfasis6 2" xfId="7" xr:uid="{1A4FF7F0-017B-47E8-9F87-855DD0926E3F}"/>
    <cellStyle name="40% - Énfasis1 2" xfId="8" xr:uid="{F95CDC96-2FF0-49E9-A304-122C047F6AE8}"/>
    <cellStyle name="40% - Énfasis2 2" xfId="9" xr:uid="{97D23CA5-52C3-48E8-A46F-620F51252CA7}"/>
    <cellStyle name="40% - Énfasis3 2" xfId="10" xr:uid="{2EA90E0E-769A-4B21-A616-4CFEED3AE0E4}"/>
    <cellStyle name="40% - Énfasis4 2" xfId="11" xr:uid="{6024C106-1529-487D-8E2A-20F9AF17A364}"/>
    <cellStyle name="40% - Énfasis5 2" xfId="12" xr:uid="{D098F465-4AFF-4ADF-ADFB-CE47160AB472}"/>
    <cellStyle name="40% - Énfasis6 2" xfId="13" xr:uid="{9DE48500-88A4-4890-BE5B-CC6EE423A623}"/>
    <cellStyle name="60% - Énfasis1 2" xfId="14" xr:uid="{B3D30D1E-08A8-4C57-9054-77C8A81C7CD2}"/>
    <cellStyle name="60% - Énfasis2 2" xfId="15" xr:uid="{0C674F56-2932-453F-938C-4E675F8F368A}"/>
    <cellStyle name="60% - Énfasis3 2" xfId="16" xr:uid="{3A0418D2-26C2-4088-900D-8A2A0736E11B}"/>
    <cellStyle name="60% - Énfasis4 2" xfId="17" xr:uid="{5B5019F9-FE29-40B8-837C-0090AD892286}"/>
    <cellStyle name="60% - Énfasis5 2" xfId="18" xr:uid="{A5F4E31C-2576-48BA-97A6-1EED490A1B04}"/>
    <cellStyle name="60% - Énfasis6 2" xfId="19" xr:uid="{E35D4856-BCDD-4F27-ABD2-87B7932D76C2}"/>
    <cellStyle name="Bueno 2" xfId="31" xr:uid="{E65258F2-6793-4722-8E30-D6D0C7757DDD}"/>
    <cellStyle name="Cálculo 2" xfId="27" xr:uid="{64A78A3F-E62D-4DB3-827A-3F8533E1B2DD}"/>
    <cellStyle name="Celda de comprobación 2" xfId="28" xr:uid="{F812C703-A40C-4743-9EDC-6F0B716714F5}"/>
    <cellStyle name="Celda vinculada 2" xfId="37" xr:uid="{C9697B55-E33D-4631-829A-A7A013307623}"/>
    <cellStyle name="Ctx_Hyperlink" xfId="49" xr:uid="{2FAF069D-909B-4B1C-ADFC-4A84F436CBF7}"/>
    <cellStyle name="Encabezado 1 2" xfId="32" xr:uid="{2815AC74-6696-49A1-843F-0DE50CDD5A20}"/>
    <cellStyle name="Encabezado 4 2" xfId="35" xr:uid="{E9CD58E5-AA89-4D93-ADB7-12B732A8D190}"/>
    <cellStyle name="Énfasis1 2" xfId="20" xr:uid="{0523E428-FE74-4E0B-AB42-916169C0DEB1}"/>
    <cellStyle name="Énfasis2 2" xfId="21" xr:uid="{40F8492C-E1B4-49AA-9D4F-032705A9A73C}"/>
    <cellStyle name="Énfasis3 2" xfId="22" xr:uid="{9372FBA2-79DE-428A-9133-4E69F70F5DEF}"/>
    <cellStyle name="Énfasis4 2" xfId="23" xr:uid="{341F31B3-927C-4024-BE3A-89D25BA34743}"/>
    <cellStyle name="Énfasis5 2" xfId="24" xr:uid="{8C704B40-EF4F-455D-8648-ED8B5157AB12}"/>
    <cellStyle name="Énfasis6 2" xfId="25" xr:uid="{2F92B9CC-F9A2-49D7-96A9-CF8414692227}"/>
    <cellStyle name="Entrada 2" xfId="36" xr:uid="{AC5D1964-F771-4175-9777-AC8D649F19E5}"/>
    <cellStyle name="Incorrecto 2" xfId="26" xr:uid="{0B3685CF-F1EE-48FC-AE27-7DBA5234C5CF}"/>
    <cellStyle name="Millares 2" xfId="29" xr:uid="{9FD3C706-6812-4416-81E8-663CE8646F93}"/>
    <cellStyle name="MyCur" xfId="38" xr:uid="{454B0B47-9EDA-42A8-8F12-AA60E8A8738E}"/>
    <cellStyle name="MyCur2" xfId="39" xr:uid="{79430044-6F9B-49E8-BEAF-E1DF742760CD}"/>
    <cellStyle name="MyNumber" xfId="40" xr:uid="{6D3A7A78-D7A2-4693-8A29-EB756173FBD9}"/>
    <cellStyle name="MyPercent" xfId="41" xr:uid="{178E8FB5-8AF3-4612-9676-6BAB4F4E263C}"/>
    <cellStyle name="Neutral 2" xfId="42" xr:uid="{F252C47A-5DC0-41CE-8694-55549D47FEC4}"/>
    <cellStyle name="Normal" xfId="0" builtinId="0"/>
    <cellStyle name="Normal 2" xfId="1" xr:uid="{B64470DA-10E2-462D-B9C3-8455C8F6ACE8}"/>
    <cellStyle name="Normal 3" xfId="51" xr:uid="{D45D8146-1F6A-40F8-B28C-40DB5069479D}"/>
    <cellStyle name="Notas 2" xfId="43" xr:uid="{FA01C081-1010-476C-A995-32272D836B74}"/>
    <cellStyle name="Porcentaje" xfId="50" builtinId="5"/>
    <cellStyle name="Porcentaje 2" xfId="45" xr:uid="{8CE55F2D-073A-4C48-8B08-A96339B20C28}"/>
    <cellStyle name="Salida 2" xfId="44" xr:uid="{28790EA6-4338-486A-A97B-67E8C2FAE1DC}"/>
    <cellStyle name="Texto de advertencia 2" xfId="48" xr:uid="{73D1E199-1B1F-4E16-AE79-92201B15D5F7}"/>
    <cellStyle name="Texto explicativo 2" xfId="30" xr:uid="{1E686A0C-D2E8-4226-9001-43DFC82351C1}"/>
    <cellStyle name="Título 2 2" xfId="33" xr:uid="{99C4CF3E-E027-4AE4-9BEF-F4CE52123ACD}"/>
    <cellStyle name="Título 3 2" xfId="34" xr:uid="{715DB597-5F96-4FD1-992A-1BC570570E29}"/>
    <cellStyle name="Título 4" xfId="46" xr:uid="{54241A83-0731-45F0-AB72-9C18C5348360}"/>
    <cellStyle name="Total 2" xfId="47" xr:uid="{ABF9F90A-3A8F-41DE-9D79-9A4BFA4CF9CD}"/>
  </cellStyles>
  <dxfs count="1">
    <dxf>
      <font>
        <b/>
        <i val="0"/>
        <color theme="0"/>
      </font>
      <numFmt numFmtId="14" formatCode="0.00%"/>
    </dxf>
  </dxfs>
  <tableStyles count="0" defaultTableStyle="TableStyleMedium2" defaultPivotStyle="PivotStyleLight16"/>
  <colors>
    <mruColors>
      <color rgb="FF01B1A3"/>
      <color rgb="FFFC7B78"/>
      <color rgb="FFF4FD81"/>
      <color rgb="FF14BD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'Reporte mensual'!$D$33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FC7B78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'Reporte mensual'!$B$34:$B$45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'Reporte mensual'!$D$34:$D$45</c:f>
              <c:numCache>
                <c:formatCode>"$"\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7-4D25-8391-09777329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2495791"/>
        <c:axId val="1742503279"/>
      </c:barChart>
      <c:lineChart>
        <c:grouping val="standard"/>
        <c:varyColors val="0"/>
        <c:ser>
          <c:idx val="0"/>
          <c:order val="0"/>
          <c:tx>
            <c:strRef>
              <c:f>'Reporte mensual'!$C$33</c:f>
              <c:strCache>
                <c:ptCount val="1"/>
                <c:pt idx="0">
                  <c:v>PRESUPUESTO</c:v>
                </c:pt>
              </c:strCache>
            </c:strRef>
          </c:tx>
          <c:spPr>
            <a:ln w="28575" cap="flat">
              <a:solidFill>
                <a:schemeClr val="bg1"/>
              </a:solidFill>
              <a:prstDash val="lgDash"/>
              <a:bevel/>
            </a:ln>
            <a:effectLst/>
          </c:spPr>
          <c:marker>
            <c:symbol val="dash"/>
            <c:size val="16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cat>
            <c:strRef>
              <c:f>'Reporte mensual'!$B$34:$B$45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'Reporte mensual'!$C$34:$C$45</c:f>
              <c:numCache>
                <c:formatCode>"$"\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7-4D25-8391-09777329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495791"/>
        <c:axId val="1742503279"/>
      </c:lineChart>
      <c:catAx>
        <c:axId val="174249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2503279"/>
        <c:crosses val="autoZero"/>
        <c:auto val="1"/>
        <c:lblAlgn val="ctr"/>
        <c:lblOffset val="100"/>
        <c:noMultiLvlLbl val="0"/>
      </c:catAx>
      <c:valAx>
        <c:axId val="17425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249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78475364997981"/>
          <c:y val="9.0696704869933217E-4"/>
          <c:w val="0.68872728118287541"/>
          <c:h val="0.93194915320899574"/>
        </c:manualLayout>
      </c:layout>
      <c:doughnutChart>
        <c:varyColors val="1"/>
        <c:ser>
          <c:idx val="0"/>
          <c:order val="0"/>
          <c:spPr>
            <a:solidFill>
              <a:srgbClr val="01B1A3"/>
            </a:solidFill>
            <a:ln>
              <a:noFill/>
            </a:ln>
          </c:spPr>
          <c:dPt>
            <c:idx val="0"/>
            <c:bubble3D val="0"/>
            <c:spPr>
              <a:solidFill>
                <a:srgbClr val="FC7B7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6-4530-B59A-2AE03AB6F1EE}"/>
              </c:ext>
            </c:extLst>
          </c:dPt>
          <c:dPt>
            <c:idx val="1"/>
            <c:bubble3D val="0"/>
            <c:spPr>
              <a:solidFill>
                <a:srgbClr val="01B1A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6-4530-B59A-2AE03AB6F1EE}"/>
              </c:ext>
            </c:extLst>
          </c:dPt>
          <c:dLbls>
            <c:delete val="1"/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'Reporte mensual'!$B$53:$C$53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6-4530-B59A-2AE03AB6F1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28779597913033"/>
          <c:y val="3.5842293906810034E-2"/>
          <c:w val="0.61957680379360403"/>
          <c:h val="0.858336219702742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Reporte_categoria!$G$26</c:f>
              <c:strCache>
                <c:ptCount val="1"/>
                <c:pt idx="0">
                  <c:v>% Gastado</c:v>
                </c:pt>
              </c:strCache>
            </c:strRef>
          </c:tx>
          <c:spPr>
            <a:solidFill>
              <a:srgbClr val="FC7B78"/>
            </a:solidFill>
            <a:ln>
              <a:solidFill>
                <a:srgbClr val="FC7B78"/>
              </a:solidFill>
            </a:ln>
            <a:effectLst/>
          </c:spPr>
          <c:invertIfNegative val="0"/>
          <c:dLbls>
            <c:numFmt formatCode="0%;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Reporte_categoria!$C$27:$C$39</c:f>
              <c:strCache>
                <c:ptCount val="8"/>
                <c:pt idx="0">
                  <c:v>SUPERMERCADO</c:v>
                </c:pt>
                <c:pt idx="1">
                  <c:v>GASTOS_FIJOS</c:v>
                </c:pt>
                <c:pt idx="2">
                  <c:v>FORMACIÓN</c:v>
                </c:pt>
                <c:pt idx="3">
                  <c:v>OCIO</c:v>
                </c:pt>
                <c:pt idx="4">
                  <c:v>TRANSPORTE</c:v>
                </c:pt>
                <c:pt idx="5">
                  <c:v>VIVIENDA</c:v>
                </c:pt>
                <c:pt idx="6">
                  <c:v>SALUD</c:v>
                </c:pt>
                <c:pt idx="7">
                  <c:v>STREAMING</c:v>
                </c:pt>
              </c:strCache>
            </c:strRef>
          </c:cat>
          <c:val>
            <c:numRef>
              <c:f>[0]!Porcentaje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C-481F-AB9A-73C8D12F5AEC}"/>
            </c:ext>
          </c:extLst>
        </c:ser>
        <c:ser>
          <c:idx val="1"/>
          <c:order val="1"/>
          <c:tx>
            <c:strRef>
              <c:f>Reporte_categoria!$H$26</c:f>
              <c:strCache>
                <c:ptCount val="1"/>
                <c:pt idx="0">
                  <c:v>Presupuesto remanente</c:v>
                </c:pt>
              </c:strCache>
            </c:strRef>
          </c:tx>
          <c:spPr>
            <a:solidFill>
              <a:srgbClr val="01B1A3"/>
            </a:solidFill>
            <a:ln>
              <a:solidFill>
                <a:srgbClr val="01B1A3"/>
              </a:solidFill>
            </a:ln>
            <a:effectLst/>
          </c:spPr>
          <c:invertIfNegative val="0"/>
          <c:dLbls>
            <c:numFmt formatCode="0%;\-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Reporte_categoria!$C$27:$C$39</c:f>
              <c:strCache>
                <c:ptCount val="8"/>
                <c:pt idx="0">
                  <c:v>SUPERMERCADO</c:v>
                </c:pt>
                <c:pt idx="1">
                  <c:v>GASTOS_FIJOS</c:v>
                </c:pt>
                <c:pt idx="2">
                  <c:v>FORMACIÓN</c:v>
                </c:pt>
                <c:pt idx="3">
                  <c:v>OCIO</c:v>
                </c:pt>
                <c:pt idx="4">
                  <c:v>TRANSPORTE</c:v>
                </c:pt>
                <c:pt idx="5">
                  <c:v>VIVIENDA</c:v>
                </c:pt>
                <c:pt idx="6">
                  <c:v>SALUD</c:v>
                </c:pt>
                <c:pt idx="7">
                  <c:v>STREAMING</c:v>
                </c:pt>
              </c:strCache>
            </c:strRef>
          </c:cat>
          <c:val>
            <c:numRef>
              <c:f>[0]!PROGRESO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C-481F-AB9A-73C8D12F5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75903391"/>
        <c:axId val="375890079"/>
      </c:barChart>
      <c:catAx>
        <c:axId val="3759033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5890079"/>
        <c:crosses val="autoZero"/>
        <c:auto val="1"/>
        <c:lblAlgn val="ctr"/>
        <c:lblOffset val="100"/>
        <c:noMultiLvlLbl val="0"/>
      </c:catAx>
      <c:valAx>
        <c:axId val="375890079"/>
        <c:scaling>
          <c:orientation val="minMax"/>
          <c:max val="2"/>
        </c:scaling>
        <c:delete val="0"/>
        <c:axPos val="b"/>
        <c:majorGridlines>
          <c:spPr>
            <a:ln w="222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59033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257810</xdr:colOff>
      <xdr:row>4</xdr:row>
      <xdr:rowOff>152400</xdr:rowOff>
    </xdr:from>
    <xdr:to>
      <xdr:col>7</xdr:col>
      <xdr:colOff>448310</xdr:colOff>
      <xdr:row>55</xdr:row>
      <xdr:rowOff>120650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9BCE58B-CF12-4495-B095-4B4A49F9D1EA}"/>
            </a:ext>
          </a:extLst>
        </xdr:cNvPr>
        <xdr:cNvSpPr txBox="1"/>
      </xdr:nvSpPr>
      <xdr:spPr>
        <a:xfrm>
          <a:off x="257810" y="1803400"/>
          <a:ext cx="8089900" cy="10001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presupuesto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de gastos personales podrá detallar el monto que piensa gastar en cada categoría por mes y compararlo con lo que realmente pasó.</a:t>
          </a:r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"Presupuesto Mensual" debe detallar: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la columna B el nombre de las categorías de gastos. Por ejemplo: Hogar, Salud, Gastos fijos, etc.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la columna C escriba el gasto actual que tiene de cada categoría.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Escriba en cada mes el presupuesto asignado de cada gasto para cada mes. En la celda fila 26 verá el ahorro mensual que tendría de cumplir con los objetivos presupuestarios.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Cuando termine el mes, escriba lo realmente gastado en la columna "Real".  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</a:t>
          </a:r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endParaRPr lang="en-U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"Reporte mensual" podrá comparar por mes el gasto presupuestado versus el real. </a:t>
          </a: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el gráfico de torta le mostrará cuánto del presupuesto asignado anualmente se ha gastado hasta el momento.  </a:t>
          </a: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el gráfico de barra podrá observar cuánto está gastando del presupuestopor mes.</a:t>
          </a: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la tabla verá un resumen mensual del presupuesto vs real y se indicará con bandera verde cuando haya gastado menos del 80% del presupuesto. Indicará bandera amarilla cuando se esté gastando arriba del 80% del presupuesto y bandera roja cuando se supera el 100% .</a:t>
          </a: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la hoja "Reporte_categoria" podrá comparar seleccionando el  mes en la celda D5 el gasto por categoría.</a:t>
          </a:r>
          <a:endParaRPr lang="es-AR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En el gráfico de barras acostadas podrá ver que % le queda del presupuesto  y qué % ha gastado.</a:t>
          </a:r>
        </a:p>
        <a:p>
          <a:endParaRPr lang="es-AR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En la tabla verá por categoría el resumen del presupuesto vs real. se indicará con bandera verde cuando haya gastado menos del 80% del presupuesto. Indicará bandera amarilla cuando se esté gastando arriba del 80% del presupuesto y bandera roja cuando se supera el 100% </a:t>
          </a:r>
          <a:endParaRPr lang="es-AR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635000</xdr:colOff>
      <xdr:row>4</xdr:row>
      <xdr:rowOff>152400</xdr:rowOff>
    </xdr:from>
    <xdr:to>
      <xdr:col>10</xdr:col>
      <xdr:colOff>1231900</xdr:colOff>
      <xdr:row>25</xdr:row>
      <xdr:rowOff>165100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E051FB5-A700-4C3C-8DE7-3959460A182A}"/>
            </a:ext>
          </a:extLst>
        </xdr:cNvPr>
        <xdr:cNvSpPr txBox="1"/>
      </xdr:nvSpPr>
      <xdr:spPr>
        <a:xfrm>
          <a:off x="8536940" y="1803400"/>
          <a:ext cx="4401820" cy="413766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 editAs="absolute">
    <xdr:from>
      <xdr:col>8</xdr:col>
      <xdr:colOff>918210</xdr:colOff>
      <xdr:row>1</xdr:row>
      <xdr:rowOff>12700</xdr:rowOff>
    </xdr:from>
    <xdr:to>
      <xdr:col>10</xdr:col>
      <xdr:colOff>403860</xdr:colOff>
      <xdr:row>2</xdr:row>
      <xdr:rowOff>62230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EB459B69-E0CD-4E4F-AECB-F5C6A1787813}"/>
            </a:ext>
          </a:extLst>
        </xdr:cNvPr>
        <xdr:cNvSpPr txBox="1"/>
      </xdr:nvSpPr>
      <xdr:spPr>
        <a:xfrm>
          <a:off x="10087610" y="133350"/>
          <a:ext cx="2025650" cy="741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27940</xdr:colOff>
      <xdr:row>1</xdr:row>
      <xdr:rowOff>76518</xdr:rowOff>
    </xdr:from>
    <xdr:to>
      <xdr:col>4</xdr:col>
      <xdr:colOff>1131570</xdr:colOff>
      <xdr:row>1</xdr:row>
      <xdr:rowOff>690563</xdr:rowOff>
    </xdr:to>
    <xdr:sp macro="" textlink="">
      <xdr:nvSpPr>
        <xdr:cNvPr id="8" name="TextBox 2">
          <a:extLst>
            <a:ext uri="{FF2B5EF4-FFF2-40B4-BE49-F238E27FC236}">
              <a16:creationId xmlns:a16="http://schemas.microsoft.com/office/drawing/2014/main" id="{64EF20D6-3972-4DEC-87DE-6BEC960BB699}"/>
            </a:ext>
          </a:extLst>
        </xdr:cNvPr>
        <xdr:cNvSpPr txBox="1"/>
      </xdr:nvSpPr>
      <xdr:spPr>
        <a:xfrm>
          <a:off x="307340" y="197168"/>
          <a:ext cx="4913630" cy="614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Presupuesto de gastos personales</a:t>
          </a:r>
        </a:p>
      </xdr:txBody>
    </xdr:sp>
    <xdr:clientData/>
  </xdr:twoCellAnchor>
  <xdr:twoCellAnchor>
    <xdr:from>
      <xdr:col>7</xdr:col>
      <xdr:colOff>671830</xdr:colOff>
      <xdr:row>12</xdr:row>
      <xdr:rowOff>15240</xdr:rowOff>
    </xdr:from>
    <xdr:to>
      <xdr:col>10</xdr:col>
      <xdr:colOff>1181798</xdr:colOff>
      <xdr:row>14</xdr:row>
      <xdr:rowOff>41626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F702C-2207-4FFD-ACDC-DA65C5C3C683}"/>
            </a:ext>
          </a:extLst>
        </xdr:cNvPr>
        <xdr:cNvSpPr txBox="1"/>
      </xdr:nvSpPr>
      <xdr:spPr>
        <a:xfrm>
          <a:off x="8571230" y="3234690"/>
          <a:ext cx="4319968" cy="420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12A779"/>
              </a:solidFill>
              <a:effectLst/>
              <a:latin typeface="+mn-lt"/>
              <a:ea typeface="+mn-ea"/>
              <a:cs typeface="+mn-cs"/>
            </a:rPr>
            <a:t>www.planillaexcel.com/ayuda/plantillas</a:t>
          </a:r>
          <a:endParaRPr lang="es-AR" sz="1600">
            <a:solidFill>
              <a:srgbClr val="12A779"/>
            </a:solidFill>
            <a:effectLst/>
          </a:endParaRPr>
        </a:p>
      </xdr:txBody>
    </xdr:sp>
    <xdr:clientData/>
  </xdr:twoCellAnchor>
  <xdr:twoCellAnchor>
    <xdr:from>
      <xdr:col>7</xdr:col>
      <xdr:colOff>675586</xdr:colOff>
      <xdr:row>23</xdr:row>
      <xdr:rowOff>96720</xdr:rowOff>
    </xdr:from>
    <xdr:to>
      <xdr:col>10</xdr:col>
      <xdr:colOff>1184299</xdr:colOff>
      <xdr:row>25</xdr:row>
      <xdr:rowOff>87829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2B9AAB-E5CF-4F2A-A213-907E8054C131}"/>
            </a:ext>
          </a:extLst>
        </xdr:cNvPr>
        <xdr:cNvSpPr txBox="1"/>
      </xdr:nvSpPr>
      <xdr:spPr>
        <a:xfrm>
          <a:off x="8574986" y="5481520"/>
          <a:ext cx="4318713" cy="3848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www.planillaexcel.com/plantillas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3492</xdr:colOff>
      <xdr:row>1</xdr:row>
      <xdr:rowOff>79057</xdr:rowOff>
    </xdr:from>
    <xdr:to>
      <xdr:col>11</xdr:col>
      <xdr:colOff>917892</xdr:colOff>
      <xdr:row>2</xdr:row>
      <xdr:rowOff>2857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2524B3-3996-4FA0-BB3B-A97EC4C0D72F}"/>
            </a:ext>
          </a:extLst>
        </xdr:cNvPr>
        <xdr:cNvSpPr txBox="1"/>
      </xdr:nvSpPr>
      <xdr:spPr>
        <a:xfrm>
          <a:off x="11169967" y="264160"/>
          <a:ext cx="2166938" cy="832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8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41593</xdr:colOff>
      <xdr:row>1</xdr:row>
      <xdr:rowOff>190182</xdr:rowOff>
    </xdr:from>
    <xdr:to>
      <xdr:col>5</xdr:col>
      <xdr:colOff>269240</xdr:colOff>
      <xdr:row>1</xdr:row>
      <xdr:rowOff>802957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5B169E-2392-4A5D-8F68-2C8E1C4332C0}"/>
            </a:ext>
          </a:extLst>
        </xdr:cNvPr>
        <xdr:cNvSpPr txBox="1"/>
      </xdr:nvSpPr>
      <xdr:spPr>
        <a:xfrm>
          <a:off x="286068" y="372745"/>
          <a:ext cx="4914900" cy="615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Presupuesto de gastos personales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180340</xdr:colOff>
      <xdr:row>16</xdr:row>
      <xdr:rowOff>147637</xdr:rowOff>
    </xdr:from>
    <xdr:to>
      <xdr:col>6</xdr:col>
      <xdr:colOff>269240</xdr:colOff>
      <xdr:row>31</xdr:row>
      <xdr:rowOff>390842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D51462-2A43-A234-B3DC-4486D652B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</xdr:colOff>
      <xdr:row>4</xdr:row>
      <xdr:rowOff>158750</xdr:rowOff>
    </xdr:from>
    <xdr:to>
      <xdr:col>4</xdr:col>
      <xdr:colOff>129540</xdr:colOff>
      <xdr:row>16</xdr:row>
      <xdr:rowOff>53340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559F861-0AC8-4FEB-8F8D-BB172194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174625</xdr:colOff>
      <xdr:row>3</xdr:row>
      <xdr:rowOff>160655</xdr:rowOff>
    </xdr:from>
    <xdr:to>
      <xdr:col>6</xdr:col>
      <xdr:colOff>266700</xdr:colOff>
      <xdr:row>16</xdr:row>
      <xdr:rowOff>67310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74DB981-AC91-B225-76C5-C9111A0D0005}"/>
            </a:ext>
          </a:extLst>
        </xdr:cNvPr>
        <xdr:cNvSpPr/>
      </xdr:nvSpPr>
      <xdr:spPr>
        <a:xfrm>
          <a:off x="174625" y="1430655"/>
          <a:ext cx="8013700" cy="2740343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absolute">
    <xdr:from>
      <xdr:col>1</xdr:col>
      <xdr:colOff>117792</xdr:colOff>
      <xdr:row>1</xdr:row>
      <xdr:rowOff>196533</xdr:rowOff>
    </xdr:from>
    <xdr:to>
      <xdr:col>4</xdr:col>
      <xdr:colOff>491490</xdr:colOff>
      <xdr:row>1</xdr:row>
      <xdr:rowOff>844868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C07C49B5-1D6C-449B-991A-6D85F8AC0EC7}"/>
            </a:ext>
          </a:extLst>
        </xdr:cNvPr>
        <xdr:cNvSpPr txBox="1"/>
      </xdr:nvSpPr>
      <xdr:spPr>
        <a:xfrm>
          <a:off x="300355" y="382906"/>
          <a:ext cx="4906010" cy="648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Presupuesto de gastos personales</a:t>
          </a:r>
        </a:p>
      </xdr:txBody>
    </xdr:sp>
    <xdr:clientData/>
  </xdr:twoCellAnchor>
  <xdr:twoCellAnchor editAs="absolute">
    <xdr:from>
      <xdr:col>4</xdr:col>
      <xdr:colOff>1556701</xdr:colOff>
      <xdr:row>1</xdr:row>
      <xdr:rowOff>110173</xdr:rowOff>
    </xdr:from>
    <xdr:to>
      <xdr:col>7</xdr:col>
      <xdr:colOff>4126</xdr:colOff>
      <xdr:row>2</xdr:row>
      <xdr:rowOff>37783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990FE510-DDB1-41F3-8566-DC417CAB6718}"/>
            </a:ext>
          </a:extLst>
        </xdr:cNvPr>
        <xdr:cNvSpPr txBox="1"/>
      </xdr:nvSpPr>
      <xdr:spPr>
        <a:xfrm>
          <a:off x="6267766" y="288926"/>
          <a:ext cx="2193608" cy="836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8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0.33357</cdr:x>
      <cdr:y>0.40938</cdr:y>
    </cdr:from>
    <cdr:to>
      <cdr:x>0.72095</cdr:x>
      <cdr:y>0.77958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0D8F05CD-AEFD-470F-5039-40AF16F0568A}"/>
            </a:ext>
          </a:extLst>
        </cdr:cNvPr>
        <cdr:cNvSpPr txBox="1"/>
      </cdr:nvSpPr>
      <cdr:spPr>
        <a:xfrm xmlns:a="http://schemas.openxmlformats.org/drawingml/2006/main">
          <a:off x="1498376" y="1036958"/>
          <a:ext cx="1740123" cy="937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AR" sz="1400">
              <a:solidFill>
                <a:schemeClr val="bg1">
                  <a:lumMod val="75000"/>
                </a:schemeClr>
              </a:solidFill>
            </a:rPr>
            <a:t>del presupuesto gastado </a:t>
          </a:r>
        </a:p>
      </cdr:txBody>
    </cdr:sp>
  </cdr:relSizeAnchor>
  <cdr:relSizeAnchor xmlns:cdr="http://schemas.openxmlformats.org/drawingml/2006/chartDrawing">
    <cdr:from>
      <cdr:x>0.37885</cdr:x>
      <cdr:y>0.26566</cdr:y>
    </cdr:from>
    <cdr:to>
      <cdr:x>0.6673</cdr:x>
      <cdr:y>0.48091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02A504B9-547E-221C-5D1E-59954F203295}"/>
            </a:ext>
          </a:extLst>
        </cdr:cNvPr>
        <cdr:cNvSpPr txBox="1"/>
      </cdr:nvSpPr>
      <cdr:spPr>
        <a:xfrm xmlns:a="http://schemas.openxmlformats.org/drawingml/2006/main">
          <a:off x="1699260" y="675958"/>
          <a:ext cx="1293812" cy="5476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AR" sz="1100"/>
        </a:p>
      </cdr:txBody>
    </cdr:sp>
  </cdr:relSizeAnchor>
  <cdr:relSizeAnchor xmlns:cdr="http://schemas.openxmlformats.org/drawingml/2006/chartDrawing">
    <cdr:from>
      <cdr:x>0.40185</cdr:x>
      <cdr:y>0.27502</cdr:y>
    </cdr:from>
    <cdr:to>
      <cdr:x>0.67792</cdr:x>
      <cdr:y>0.48715</cdr:y>
    </cdr:to>
    <cdr:sp macro="" textlink="Gastado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158BD5D4-35E3-65EF-D7DB-76416EFCB745}"/>
            </a:ext>
          </a:extLst>
        </cdr:cNvPr>
        <cdr:cNvSpPr txBox="1"/>
      </cdr:nvSpPr>
      <cdr:spPr>
        <a:xfrm xmlns:a="http://schemas.openxmlformats.org/drawingml/2006/main">
          <a:off x="1802447" y="699770"/>
          <a:ext cx="123825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B2FB515F-B24E-4DF7-A3F1-6FFE83407B7F}" type="TxLink">
            <a:rPr lang="en-US" sz="3200" b="0" i="0" u="none" strike="noStrike">
              <a:solidFill>
                <a:srgbClr val="808080"/>
              </a:solidFill>
              <a:latin typeface="Calibri"/>
              <a:cs typeface="Calibri"/>
            </a:rPr>
            <a:pPr algn="ctr"/>
            <a:t>0%</a:t>
          </a:fld>
          <a:endParaRPr lang="es-AR" sz="3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146686</xdr:colOff>
      <xdr:row>5</xdr:row>
      <xdr:rowOff>100330</xdr:rowOff>
    </xdr:from>
    <xdr:to>
      <xdr:col>6</xdr:col>
      <xdr:colOff>1301750</xdr:colOff>
      <xdr:row>24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3F564D-74FB-6BF4-3445-58D7B0A89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113666</xdr:colOff>
      <xdr:row>1</xdr:row>
      <xdr:rowOff>151765</xdr:rowOff>
    </xdr:from>
    <xdr:to>
      <xdr:col>4</xdr:col>
      <xdr:colOff>993775</xdr:colOff>
      <xdr:row>1</xdr:row>
      <xdr:rowOff>800100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3F72009-9DEA-4CC3-9865-911CB3B7E574}"/>
            </a:ext>
          </a:extLst>
        </xdr:cNvPr>
        <xdr:cNvSpPr txBox="1"/>
      </xdr:nvSpPr>
      <xdr:spPr>
        <a:xfrm>
          <a:off x="240666" y="334328"/>
          <a:ext cx="4753609" cy="648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Presupuesto de gastos personales</a:t>
          </a:r>
        </a:p>
      </xdr:txBody>
    </xdr:sp>
    <xdr:clientData/>
  </xdr:twoCellAnchor>
  <xdr:twoCellAnchor editAs="absolute">
    <xdr:from>
      <xdr:col>6</xdr:col>
      <xdr:colOff>536574</xdr:colOff>
      <xdr:row>1</xdr:row>
      <xdr:rowOff>72390</xdr:rowOff>
    </xdr:from>
    <xdr:to>
      <xdr:col>9</xdr:col>
      <xdr:colOff>1447799</xdr:colOff>
      <xdr:row>1</xdr:row>
      <xdr:rowOff>879475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E9809ED1-8EB0-4537-8BDB-41CFDE1D1131}"/>
            </a:ext>
          </a:extLst>
        </xdr:cNvPr>
        <xdr:cNvSpPr txBox="1"/>
      </xdr:nvSpPr>
      <xdr:spPr>
        <a:xfrm>
          <a:off x="8093074" y="244793"/>
          <a:ext cx="2229168" cy="827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8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0.84661</cdr:x>
      <cdr:y>0.02045</cdr:y>
    </cdr:from>
    <cdr:to>
      <cdr:x>0.97795</cdr:x>
      <cdr:y>0.10191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63DBBC31-D040-C5BA-EF2E-92D4A54419DE}"/>
            </a:ext>
          </a:extLst>
        </cdr:cNvPr>
        <cdr:cNvSpPr/>
      </cdr:nvSpPr>
      <cdr:spPr>
        <a:xfrm xmlns:a="http://schemas.openxmlformats.org/drawingml/2006/main">
          <a:off x="7265669" y="79693"/>
          <a:ext cx="1127125" cy="317499"/>
        </a:xfrm>
        <a:prstGeom xmlns:a="http://schemas.openxmlformats.org/drawingml/2006/main" prst="rect">
          <a:avLst/>
        </a:prstGeom>
        <a:solidFill xmlns:a="http://schemas.openxmlformats.org/drawingml/2006/main">
          <a:srgbClr val="01B1A3"/>
        </a:solidFill>
        <a:ln xmlns:a="http://schemas.openxmlformats.org/drawingml/2006/main">
          <a:solidFill>
            <a:srgbClr val="01B1A3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AR" sz="1200"/>
            <a:t>% Remanente</a:t>
          </a:r>
        </a:p>
      </cdr:txBody>
    </cdr:sp>
  </cdr:relSizeAnchor>
  <cdr:relSizeAnchor xmlns:cdr="http://schemas.openxmlformats.org/drawingml/2006/chartDrawing">
    <cdr:from>
      <cdr:x>0.84665</cdr:x>
      <cdr:y>0.11689</cdr:y>
    </cdr:from>
    <cdr:to>
      <cdr:x>0.97799</cdr:x>
      <cdr:y>0.19559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D8CB2C94-56D0-3503-3715-99B5D8374CEC}"/>
            </a:ext>
          </a:extLst>
        </cdr:cNvPr>
        <cdr:cNvSpPr/>
      </cdr:nvSpPr>
      <cdr:spPr>
        <a:xfrm xmlns:a="http://schemas.openxmlformats.org/drawingml/2006/main">
          <a:off x="7265987" y="455613"/>
          <a:ext cx="1127125" cy="306705"/>
        </a:xfrm>
        <a:prstGeom xmlns:a="http://schemas.openxmlformats.org/drawingml/2006/main" prst="rect">
          <a:avLst/>
        </a:prstGeom>
        <a:solidFill xmlns:a="http://schemas.openxmlformats.org/drawingml/2006/main">
          <a:srgbClr val="FC7B78"/>
        </a:solidFill>
        <a:ln xmlns:a="http://schemas.openxmlformats.org/drawingml/2006/main">
          <a:solidFill>
            <a:srgbClr val="FC7B78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200"/>
            <a:t>% Gastado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95E0-638A-48FB-84F1-D12197A947F0}">
  <dimension ref="B1:K5"/>
  <sheetViews>
    <sheetView showGridLines="0" topLeftCell="A21" workbookViewId="0">
      <selection activeCell="J35" sqref="J35"/>
    </sheetView>
  </sheetViews>
  <sheetFormatPr baseColWidth="10" defaultColWidth="11.5546875" defaultRowHeight="15.6" x14ac:dyDescent="0.3"/>
  <cols>
    <col min="1" max="1" width="4.109375" style="43" customWidth="1"/>
    <col min="2" max="11" width="18.5546875" style="43" customWidth="1"/>
    <col min="12" max="16384" width="11.5546875" style="43"/>
  </cols>
  <sheetData>
    <row r="1" spans="2:11" ht="10.199999999999999" customHeight="1" x14ac:dyDescent="0.3"/>
    <row r="2" spans="2:11" ht="55.2" customHeight="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2:11" ht="24" customHeight="1" x14ac:dyDescent="0.3"/>
    <row r="4" spans="2:11" ht="42" customHeight="1" x14ac:dyDescent="0.3"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</row>
    <row r="5" spans="2:11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780F-B338-4BF6-A8E2-083B35704091}">
  <dimension ref="B2:AB29"/>
  <sheetViews>
    <sheetView showGridLines="0" tabSelected="1" zoomScale="80" zoomScaleNormal="80" workbookViewId="0">
      <selection activeCell="C11" sqref="C11"/>
    </sheetView>
  </sheetViews>
  <sheetFormatPr baseColWidth="10" defaultColWidth="11.44140625" defaultRowHeight="14.4" x14ac:dyDescent="0.3"/>
  <cols>
    <col min="1" max="1" width="3.44140625" customWidth="1"/>
    <col min="2" max="2" width="34" customWidth="1"/>
    <col min="3" max="3" width="14.109375" customWidth="1"/>
    <col min="4" max="4" width="2" customWidth="1"/>
    <col min="5" max="28" width="18.109375" customWidth="1"/>
  </cols>
  <sheetData>
    <row r="2" spans="2:28" ht="71.400000000000006" customHeight="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28" ht="18" x14ac:dyDescent="0.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9" spans="2:28" ht="25.95" customHeight="1" x14ac:dyDescent="0.3">
      <c r="E9" s="36" t="s">
        <v>1</v>
      </c>
      <c r="F9" s="37"/>
      <c r="G9" s="36" t="s">
        <v>2</v>
      </c>
      <c r="H9" s="37"/>
      <c r="I9" s="36" t="s">
        <v>3</v>
      </c>
      <c r="J9" s="37"/>
      <c r="K9" s="36" t="s">
        <v>4</v>
      </c>
      <c r="L9" s="37"/>
      <c r="M9" s="36" t="s">
        <v>5</v>
      </c>
      <c r="N9" s="37"/>
      <c r="O9" s="36" t="s">
        <v>6</v>
      </c>
      <c r="P9" s="37"/>
      <c r="Q9" s="36" t="s">
        <v>7</v>
      </c>
      <c r="R9" s="37"/>
      <c r="S9" s="36" t="s">
        <v>8</v>
      </c>
      <c r="T9" s="37"/>
      <c r="U9" s="36" t="s">
        <v>9</v>
      </c>
      <c r="V9" s="37"/>
      <c r="W9" s="36" t="s">
        <v>10</v>
      </c>
      <c r="X9" s="37"/>
      <c r="Y9" s="36" t="s">
        <v>11</v>
      </c>
      <c r="Z9" s="37"/>
      <c r="AA9" s="36" t="s">
        <v>12</v>
      </c>
      <c r="AB9" s="37"/>
    </row>
    <row r="10" spans="2:28" ht="36.6" customHeight="1" x14ac:dyDescent="0.3">
      <c r="B10" s="36" t="s">
        <v>13</v>
      </c>
      <c r="C10" s="38" t="s">
        <v>14</v>
      </c>
      <c r="D10" s="6"/>
      <c r="E10" s="13" t="s">
        <v>15</v>
      </c>
      <c r="F10" s="24" t="s">
        <v>16</v>
      </c>
      <c r="G10" s="13" t="s">
        <v>15</v>
      </c>
      <c r="H10" s="24" t="s">
        <v>16</v>
      </c>
      <c r="I10" s="13" t="s">
        <v>15</v>
      </c>
      <c r="J10" s="24" t="s">
        <v>16</v>
      </c>
      <c r="K10" s="13" t="s">
        <v>15</v>
      </c>
      <c r="L10" s="24" t="s">
        <v>16</v>
      </c>
      <c r="M10" s="13" t="s">
        <v>15</v>
      </c>
      <c r="N10" s="24" t="s">
        <v>16</v>
      </c>
      <c r="O10" s="13" t="s">
        <v>15</v>
      </c>
      <c r="P10" s="24" t="s">
        <v>16</v>
      </c>
      <c r="Q10" s="13" t="s">
        <v>15</v>
      </c>
      <c r="R10" s="24" t="s">
        <v>16</v>
      </c>
      <c r="S10" s="13" t="s">
        <v>15</v>
      </c>
      <c r="T10" s="24" t="s">
        <v>16</v>
      </c>
      <c r="U10" s="13" t="s">
        <v>15</v>
      </c>
      <c r="V10" s="24" t="s">
        <v>16</v>
      </c>
      <c r="W10" s="13" t="s">
        <v>15</v>
      </c>
      <c r="X10" s="24" t="s">
        <v>16</v>
      </c>
      <c r="Y10" s="13" t="s">
        <v>15</v>
      </c>
      <c r="Z10" s="24" t="s">
        <v>16</v>
      </c>
      <c r="AA10" s="13" t="s">
        <v>15</v>
      </c>
      <c r="AB10" s="24" t="s">
        <v>16</v>
      </c>
    </row>
    <row r="11" spans="2:28" ht="18.600000000000001" thickBot="1" x14ac:dyDescent="0.35">
      <c r="B11" s="17" t="s">
        <v>17</v>
      </c>
      <c r="C11" s="3"/>
      <c r="D11" s="7"/>
      <c r="E11" s="2"/>
      <c r="F11" s="18"/>
      <c r="G11" s="2"/>
      <c r="H11" s="18"/>
      <c r="I11" s="2"/>
      <c r="J11" s="18"/>
      <c r="K11" s="2"/>
      <c r="L11" s="18"/>
      <c r="M11" s="2"/>
      <c r="N11" s="18"/>
      <c r="O11" s="2"/>
      <c r="P11" s="18"/>
      <c r="Q11" s="2"/>
      <c r="R11" s="18"/>
      <c r="S11" s="2"/>
      <c r="T11" s="18"/>
      <c r="U11" s="2"/>
      <c r="V11" s="18"/>
      <c r="W11" s="2"/>
      <c r="X11" s="18"/>
      <c r="Y11" s="2"/>
      <c r="Z11" s="18"/>
      <c r="AA11" s="2"/>
      <c r="AB11" s="18"/>
    </row>
    <row r="12" spans="2:28" ht="18.600000000000001" thickBot="1" x14ac:dyDescent="0.35">
      <c r="B12" s="17" t="s">
        <v>18</v>
      </c>
      <c r="C12" s="3"/>
      <c r="D12" s="7"/>
      <c r="E12" s="2"/>
      <c r="F12" s="18"/>
      <c r="G12" s="2"/>
      <c r="H12" s="18"/>
      <c r="I12" s="2"/>
      <c r="J12" s="18"/>
      <c r="K12" s="2"/>
      <c r="L12" s="18"/>
      <c r="M12" s="2"/>
      <c r="N12" s="18"/>
      <c r="O12" s="2"/>
      <c r="P12" s="18"/>
      <c r="Q12" s="2"/>
      <c r="R12" s="18"/>
      <c r="S12" s="2"/>
      <c r="T12" s="18"/>
      <c r="U12" s="2"/>
      <c r="V12" s="18"/>
      <c r="W12" s="2"/>
      <c r="X12" s="18"/>
      <c r="Y12" s="2"/>
      <c r="Z12" s="18"/>
      <c r="AA12" s="2"/>
      <c r="AB12" s="18"/>
    </row>
    <row r="13" spans="2:28" ht="18.600000000000001" thickBot="1" x14ac:dyDescent="0.35">
      <c r="B13" s="17" t="s">
        <v>19</v>
      </c>
      <c r="C13" s="3"/>
      <c r="D13" s="7"/>
      <c r="E13" s="2"/>
      <c r="F13" s="18"/>
      <c r="G13" s="2"/>
      <c r="H13" s="18"/>
      <c r="I13" s="2"/>
      <c r="J13" s="18"/>
      <c r="K13" s="2"/>
      <c r="L13" s="18"/>
      <c r="M13" s="2"/>
      <c r="N13" s="18"/>
      <c r="O13" s="2"/>
      <c r="P13" s="18"/>
      <c r="Q13" s="2"/>
      <c r="R13" s="18"/>
      <c r="S13" s="2"/>
      <c r="T13" s="18"/>
      <c r="U13" s="2"/>
      <c r="V13" s="18"/>
      <c r="W13" s="2"/>
      <c r="X13" s="18"/>
      <c r="Y13" s="2"/>
      <c r="Z13" s="18"/>
      <c r="AA13" s="2"/>
      <c r="AB13" s="18"/>
    </row>
    <row r="14" spans="2:28" ht="18.600000000000001" thickBot="1" x14ac:dyDescent="0.35">
      <c r="B14" s="17" t="s">
        <v>20</v>
      </c>
      <c r="C14" s="3"/>
      <c r="D14" s="7"/>
      <c r="E14" s="2"/>
      <c r="F14" s="18"/>
      <c r="G14" s="2"/>
      <c r="H14" s="18"/>
      <c r="I14" s="2"/>
      <c r="J14" s="18"/>
      <c r="K14" s="2"/>
      <c r="L14" s="18"/>
      <c r="M14" s="2"/>
      <c r="N14" s="18"/>
      <c r="O14" s="2"/>
      <c r="P14" s="18"/>
      <c r="Q14" s="2"/>
      <c r="R14" s="18"/>
      <c r="S14" s="2"/>
      <c r="T14" s="18"/>
      <c r="U14" s="2"/>
      <c r="V14" s="18"/>
      <c r="W14" s="2"/>
      <c r="X14" s="18"/>
      <c r="Y14" s="2"/>
      <c r="Z14" s="18"/>
      <c r="AA14" s="2"/>
      <c r="AB14" s="18"/>
    </row>
    <row r="15" spans="2:28" ht="18.600000000000001" thickBot="1" x14ac:dyDescent="0.35">
      <c r="B15" s="17" t="s">
        <v>21</v>
      </c>
      <c r="C15" s="3"/>
      <c r="D15" s="7"/>
      <c r="E15" s="2"/>
      <c r="F15" s="18"/>
      <c r="G15" s="2"/>
      <c r="H15" s="18"/>
      <c r="I15" s="2"/>
      <c r="J15" s="18"/>
      <c r="K15" s="2"/>
      <c r="L15" s="18"/>
      <c r="M15" s="2"/>
      <c r="N15" s="18"/>
      <c r="O15" s="2"/>
      <c r="P15" s="18"/>
      <c r="Q15" s="2"/>
      <c r="R15" s="18"/>
      <c r="S15" s="2"/>
      <c r="T15" s="18"/>
      <c r="U15" s="2"/>
      <c r="V15" s="18"/>
      <c r="W15" s="2"/>
      <c r="X15" s="18"/>
      <c r="Y15" s="2"/>
      <c r="Z15" s="18"/>
      <c r="AA15" s="2"/>
      <c r="AB15" s="18"/>
    </row>
    <row r="16" spans="2:28" ht="18.600000000000001" thickBot="1" x14ac:dyDescent="0.35">
      <c r="B16" s="17" t="s">
        <v>22</v>
      </c>
      <c r="C16" s="3"/>
      <c r="D16" s="7"/>
      <c r="E16" s="2"/>
      <c r="F16" s="18"/>
      <c r="G16" s="2"/>
      <c r="H16" s="18"/>
      <c r="I16" s="2"/>
      <c r="J16" s="18"/>
      <c r="K16" s="2"/>
      <c r="L16" s="18"/>
      <c r="M16" s="2"/>
      <c r="N16" s="18"/>
      <c r="O16" s="2"/>
      <c r="P16" s="18"/>
      <c r="Q16" s="2"/>
      <c r="R16" s="18"/>
      <c r="S16" s="2"/>
      <c r="T16" s="18"/>
      <c r="U16" s="2"/>
      <c r="V16" s="18"/>
      <c r="W16" s="2"/>
      <c r="X16" s="18"/>
      <c r="Y16" s="2"/>
      <c r="Z16" s="18"/>
      <c r="AA16" s="2"/>
      <c r="AB16" s="18"/>
    </row>
    <row r="17" spans="2:28" ht="18.600000000000001" thickBot="1" x14ac:dyDescent="0.35">
      <c r="B17" s="17" t="s">
        <v>23</v>
      </c>
      <c r="C17" s="3"/>
      <c r="D17" s="7"/>
      <c r="E17" s="2"/>
      <c r="F17" s="18"/>
      <c r="G17" s="2"/>
      <c r="H17" s="18"/>
      <c r="I17" s="2"/>
      <c r="J17" s="18"/>
      <c r="K17" s="2"/>
      <c r="L17" s="18"/>
      <c r="M17" s="2"/>
      <c r="N17" s="18"/>
      <c r="O17" s="2"/>
      <c r="P17" s="18"/>
      <c r="Q17" s="2"/>
      <c r="R17" s="18"/>
      <c r="S17" s="2"/>
      <c r="T17" s="18"/>
      <c r="U17" s="2"/>
      <c r="V17" s="18"/>
      <c r="W17" s="2"/>
      <c r="X17" s="18"/>
      <c r="Y17" s="2"/>
      <c r="Z17" s="18"/>
      <c r="AA17" s="2"/>
      <c r="AB17" s="18"/>
    </row>
    <row r="18" spans="2:28" ht="18.600000000000001" thickBot="1" x14ac:dyDescent="0.35">
      <c r="B18" s="17" t="s">
        <v>24</v>
      </c>
      <c r="C18" s="3"/>
      <c r="E18" s="2"/>
      <c r="F18" s="18"/>
      <c r="G18" s="2"/>
      <c r="H18" s="18"/>
      <c r="I18" s="2"/>
      <c r="J18" s="18"/>
      <c r="K18" s="2"/>
      <c r="L18" s="18"/>
      <c r="M18" s="2"/>
      <c r="N18" s="18"/>
      <c r="O18" s="2"/>
      <c r="P18" s="18"/>
      <c r="Q18" s="2"/>
      <c r="R18" s="18"/>
      <c r="S18" s="2"/>
      <c r="T18" s="18"/>
      <c r="U18" s="2"/>
      <c r="V18" s="18"/>
      <c r="W18" s="2"/>
      <c r="X18" s="18"/>
      <c r="Y18" s="2"/>
      <c r="Z18" s="18"/>
      <c r="AA18" s="2"/>
      <c r="AB18" s="18"/>
    </row>
    <row r="19" spans="2:28" ht="18.600000000000001" thickBot="1" x14ac:dyDescent="0.35">
      <c r="B19" s="17"/>
      <c r="C19" s="4"/>
      <c r="E19" s="2"/>
      <c r="F19" s="18"/>
      <c r="G19" s="2"/>
      <c r="H19" s="18"/>
      <c r="I19" s="2"/>
      <c r="J19" s="18"/>
      <c r="K19" s="2"/>
      <c r="L19" s="18"/>
      <c r="M19" s="2"/>
      <c r="N19" s="18"/>
      <c r="O19" s="2"/>
      <c r="P19" s="18"/>
      <c r="Q19" s="2"/>
      <c r="R19" s="18"/>
      <c r="S19" s="2"/>
      <c r="T19" s="18"/>
      <c r="U19" s="2"/>
      <c r="V19" s="18"/>
      <c r="W19" s="2"/>
      <c r="X19" s="18"/>
      <c r="Y19" s="2"/>
      <c r="Z19" s="18"/>
      <c r="AA19" s="2"/>
      <c r="AB19" s="18"/>
    </row>
    <row r="20" spans="2:28" ht="18.600000000000001" thickBot="1" x14ac:dyDescent="0.35">
      <c r="B20" s="17"/>
      <c r="C20" s="4"/>
      <c r="E20" s="2"/>
      <c r="F20" s="18"/>
      <c r="G20" s="2"/>
      <c r="H20" s="18"/>
      <c r="I20" s="2"/>
      <c r="J20" s="18"/>
      <c r="K20" s="2"/>
      <c r="L20" s="18"/>
      <c r="M20" s="2"/>
      <c r="N20" s="18"/>
      <c r="O20" s="2"/>
      <c r="P20" s="18"/>
      <c r="Q20" s="2"/>
      <c r="R20" s="18"/>
      <c r="S20" s="2"/>
      <c r="T20" s="18"/>
      <c r="U20" s="2"/>
      <c r="V20" s="18"/>
      <c r="W20" s="2"/>
      <c r="X20" s="18"/>
      <c r="Y20" s="2"/>
      <c r="Z20" s="18"/>
      <c r="AA20" s="2"/>
      <c r="AB20" s="18"/>
    </row>
    <row r="21" spans="2:28" ht="18.600000000000001" thickBot="1" x14ac:dyDescent="0.35">
      <c r="B21" s="17"/>
      <c r="C21" s="4"/>
      <c r="E21" s="2"/>
      <c r="F21" s="18"/>
      <c r="G21" s="2"/>
      <c r="H21" s="18"/>
      <c r="I21" s="2"/>
      <c r="J21" s="18"/>
      <c r="K21" s="2"/>
      <c r="L21" s="18"/>
      <c r="M21" s="2"/>
      <c r="N21" s="18"/>
      <c r="O21" s="2"/>
      <c r="P21" s="18"/>
      <c r="Q21" s="2"/>
      <c r="R21" s="18"/>
      <c r="S21" s="2"/>
      <c r="T21" s="18"/>
      <c r="U21" s="2"/>
      <c r="V21" s="18"/>
      <c r="W21" s="2"/>
      <c r="X21" s="18"/>
      <c r="Y21" s="2"/>
      <c r="Z21" s="18"/>
      <c r="AA21" s="2"/>
      <c r="AB21" s="18"/>
    </row>
    <row r="22" spans="2:28" ht="18.600000000000001" thickBot="1" x14ac:dyDescent="0.35">
      <c r="B22" s="17"/>
      <c r="C22" s="4"/>
      <c r="E22" s="2"/>
      <c r="F22" s="18"/>
      <c r="G22" s="2"/>
      <c r="H22" s="18"/>
      <c r="I22" s="2"/>
      <c r="J22" s="18"/>
      <c r="K22" s="2"/>
      <c r="L22" s="18"/>
      <c r="M22" s="2"/>
      <c r="N22" s="18"/>
      <c r="O22" s="2"/>
      <c r="P22" s="18"/>
      <c r="Q22" s="2"/>
      <c r="R22" s="18"/>
      <c r="S22" s="2"/>
      <c r="T22" s="18"/>
      <c r="U22" s="2"/>
      <c r="V22" s="18"/>
      <c r="W22" s="2"/>
      <c r="X22" s="18"/>
      <c r="Y22" s="2"/>
      <c r="Z22" s="18"/>
      <c r="AA22" s="2"/>
      <c r="AB22" s="18"/>
    </row>
    <row r="23" spans="2:28" ht="18.600000000000001" thickBot="1" x14ac:dyDescent="0.35">
      <c r="B23" s="17"/>
      <c r="C23" s="4"/>
      <c r="E23" s="2"/>
      <c r="F23" s="18"/>
      <c r="G23" s="2"/>
      <c r="H23" s="18"/>
      <c r="I23" s="2"/>
      <c r="J23" s="18"/>
      <c r="K23" s="2"/>
      <c r="L23" s="18"/>
      <c r="M23" s="2"/>
      <c r="N23" s="18"/>
      <c r="O23" s="2"/>
      <c r="P23" s="18"/>
      <c r="Q23" s="2"/>
      <c r="R23" s="18"/>
      <c r="S23" s="2"/>
      <c r="T23" s="18"/>
      <c r="U23" s="2"/>
      <c r="V23" s="18"/>
      <c r="W23" s="2"/>
      <c r="X23" s="18"/>
      <c r="Y23" s="2"/>
      <c r="Z23" s="18"/>
      <c r="AA23" s="2"/>
      <c r="AB23" s="18"/>
    </row>
    <row r="24" spans="2:28" ht="18.600000000000001" thickBot="1" x14ac:dyDescent="0.35">
      <c r="B24" s="33"/>
      <c r="C24" s="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2:28" ht="18.600000000000001" thickBot="1" x14ac:dyDescent="0.35">
      <c r="B25" s="36" t="s">
        <v>25</v>
      </c>
      <c r="C25" s="16">
        <f>SUM(C11:C19)</f>
        <v>0</v>
      </c>
      <c r="D25" s="8"/>
      <c r="E25" s="2">
        <f>SUM(E11:E23)</f>
        <v>0</v>
      </c>
      <c r="F25" s="2">
        <f>SUM(F11:F23)</f>
        <v>0</v>
      </c>
      <c r="G25" s="2">
        <f t="shared" ref="G25:AB25" si="0">SUM(G11:G23)</f>
        <v>0</v>
      </c>
      <c r="H25" s="2">
        <f>SUM(H11:H23)</f>
        <v>0</v>
      </c>
      <c r="I25" s="2">
        <f t="shared" si="0"/>
        <v>0</v>
      </c>
      <c r="J25" s="2">
        <f t="shared" si="0"/>
        <v>0</v>
      </c>
      <c r="K25" s="2">
        <f t="shared" si="0"/>
        <v>0</v>
      </c>
      <c r="L25" s="2">
        <f t="shared" si="0"/>
        <v>0</v>
      </c>
      <c r="M25" s="2">
        <f t="shared" si="0"/>
        <v>0</v>
      </c>
      <c r="N25" s="2">
        <f t="shared" si="0"/>
        <v>0</v>
      </c>
      <c r="O25" s="2">
        <f t="shared" si="0"/>
        <v>0</v>
      </c>
      <c r="P25" s="2">
        <f t="shared" si="0"/>
        <v>0</v>
      </c>
      <c r="Q25" s="2">
        <f t="shared" si="0"/>
        <v>0</v>
      </c>
      <c r="R25" s="2">
        <f t="shared" si="0"/>
        <v>0</v>
      </c>
      <c r="S25" s="2">
        <f t="shared" si="0"/>
        <v>0</v>
      </c>
      <c r="T25" s="2">
        <f t="shared" si="0"/>
        <v>0</v>
      </c>
      <c r="U25" s="2">
        <f t="shared" si="0"/>
        <v>0</v>
      </c>
      <c r="V25" s="2">
        <f t="shared" si="0"/>
        <v>0</v>
      </c>
      <c r="W25" s="2">
        <f t="shared" si="0"/>
        <v>0</v>
      </c>
      <c r="X25" s="2">
        <f t="shared" si="0"/>
        <v>0</v>
      </c>
      <c r="Y25" s="2">
        <f t="shared" si="0"/>
        <v>0</v>
      </c>
      <c r="Z25" s="2">
        <f t="shared" si="0"/>
        <v>0</v>
      </c>
      <c r="AA25" s="2">
        <f t="shared" si="0"/>
        <v>0</v>
      </c>
      <c r="AB25" s="2">
        <f t="shared" si="0"/>
        <v>0</v>
      </c>
    </row>
    <row r="26" spans="2:28" ht="18.600000000000001" thickBot="1" x14ac:dyDescent="0.35">
      <c r="B26" s="36" t="s">
        <v>26</v>
      </c>
      <c r="E26" s="16">
        <f>$C$25-E25</f>
        <v>0</v>
      </c>
      <c r="F26" s="5"/>
      <c r="G26" s="16">
        <f>$C$25-G25</f>
        <v>0</v>
      </c>
      <c r="I26" s="16">
        <f>$C$25-I25</f>
        <v>0</v>
      </c>
      <c r="K26" s="16">
        <f>$C$25-K25</f>
        <v>0</v>
      </c>
      <c r="M26" s="16">
        <f>$C$25-M25</f>
        <v>0</v>
      </c>
      <c r="O26" s="16">
        <f>$C$25-O25</f>
        <v>0</v>
      </c>
      <c r="Q26" s="16">
        <f>$C$25-Q25</f>
        <v>0</v>
      </c>
      <c r="S26" s="16">
        <f>$C$25-S25</f>
        <v>0</v>
      </c>
      <c r="U26" s="16">
        <f>$C$25-U25</f>
        <v>0</v>
      </c>
      <c r="W26" s="16">
        <f>$C$25-W25</f>
        <v>0</v>
      </c>
      <c r="Y26" s="16">
        <f>$C$25-Y25</f>
        <v>0</v>
      </c>
      <c r="AA26" s="16">
        <f>$C$25-AA25</f>
        <v>0</v>
      </c>
    </row>
    <row r="29" spans="2:28" x14ac:dyDescent="0.3">
      <c r="K29" s="3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7CC3-6695-4EA1-9E63-B4D16EFA45EB}">
  <dimension ref="A2:M53"/>
  <sheetViews>
    <sheetView showGridLines="0" topLeftCell="A2" zoomScale="80" zoomScaleNormal="80" workbookViewId="0">
      <selection activeCell="F2" sqref="F2"/>
    </sheetView>
  </sheetViews>
  <sheetFormatPr baseColWidth="10" defaultColWidth="11.44140625" defaultRowHeight="14.4" x14ac:dyDescent="0.3"/>
  <cols>
    <col min="1" max="1" width="2.6640625" customWidth="1"/>
    <col min="2" max="2" width="21.6640625" customWidth="1"/>
    <col min="3" max="3" width="21.44140625" customWidth="1"/>
    <col min="4" max="4" width="23" customWidth="1"/>
    <col min="5" max="5" width="25.44140625" customWidth="1"/>
    <col min="6" max="6" width="25.109375" customWidth="1"/>
    <col min="7" max="7" width="4" customWidth="1"/>
    <col min="8" max="10" width="13" customWidth="1"/>
    <col min="11" max="11" width="14.44140625" customWidth="1"/>
    <col min="12" max="12" width="13" customWidth="1"/>
    <col min="13" max="13" width="14" customWidth="1"/>
    <col min="14" max="14" width="14.33203125" customWidth="1"/>
  </cols>
  <sheetData>
    <row r="2" spans="1:11" ht="71.400000000000006" customHeight="1" x14ac:dyDescent="0.3">
      <c r="A2" s="33"/>
      <c r="B2" s="19"/>
      <c r="C2" s="19"/>
      <c r="D2" s="19"/>
      <c r="E2" s="19"/>
      <c r="F2" s="19"/>
      <c r="G2" s="19"/>
      <c r="H2" s="33"/>
      <c r="I2" s="33"/>
      <c r="J2" s="33"/>
      <c r="K2" s="33"/>
    </row>
    <row r="8" spans="1:11" ht="21" x14ac:dyDescent="0.4">
      <c r="F8" s="10" t="s">
        <v>15</v>
      </c>
    </row>
    <row r="9" spans="1:11" ht="21" x14ac:dyDescent="0.4">
      <c r="F9" s="11">
        <f ca="1">C47</f>
        <v>0</v>
      </c>
    </row>
    <row r="10" spans="1:11" ht="9" customHeight="1" x14ac:dyDescent="0.3"/>
    <row r="11" spans="1:11" ht="21" x14ac:dyDescent="0.4">
      <c r="F11" s="10" t="s">
        <v>27</v>
      </c>
    </row>
    <row r="12" spans="1:11" ht="21" x14ac:dyDescent="0.4">
      <c r="F12" s="11">
        <f ca="1">D47</f>
        <v>0</v>
      </c>
    </row>
    <row r="14" spans="1:11" ht="21" x14ac:dyDescent="0.4">
      <c r="F14" s="10" t="s">
        <v>28</v>
      </c>
    </row>
    <row r="15" spans="1:11" ht="22.2" customHeight="1" x14ac:dyDescent="0.4">
      <c r="F15" s="11">
        <f ca="1">E47</f>
        <v>0</v>
      </c>
    </row>
    <row r="32" ht="49.2" customHeight="1" x14ac:dyDescent="0.3"/>
    <row r="33" spans="1:13" ht="44.4" customHeight="1" thickBot="1" x14ac:dyDescent="0.35">
      <c r="C33" s="13" t="s">
        <v>15</v>
      </c>
      <c r="D33" s="24" t="s">
        <v>16</v>
      </c>
      <c r="E33" s="42" t="s">
        <v>29</v>
      </c>
      <c r="F33" s="20" t="s">
        <v>30</v>
      </c>
      <c r="G33" s="9"/>
    </row>
    <row r="34" spans="1:13" ht="18.600000000000001" thickBot="1" x14ac:dyDescent="0.35">
      <c r="A34" s="34">
        <v>0</v>
      </c>
      <c r="B34" s="17" t="s">
        <v>1</v>
      </c>
      <c r="C34" s="1" cm="1">
        <f t="array" aca="1" ref="C34" ca="1">INDIRECT("'Presupuesto Mensual'!"&amp;ADDRESS(25,COLUMN('Presupuesto Mensual'!$E$25)+$A34))</f>
        <v>0</v>
      </c>
      <c r="D34" s="1" cm="1">
        <f t="array" aca="1" ref="D34" ca="1">INDIRECT("'Presupuesto Mensual'!"&amp;ADDRESS(25,COLUMN('Presupuesto Mensual'!$F$25)+$A34))</f>
        <v>0</v>
      </c>
      <c r="E34" s="1">
        <f t="shared" ref="E34:E45" ca="1" si="0">C34-D34</f>
        <v>0</v>
      </c>
      <c r="F34" s="21">
        <f ca="1">IFERROR(D34/C34,0)</f>
        <v>0</v>
      </c>
      <c r="G34" s="23">
        <f ca="1">F34</f>
        <v>0</v>
      </c>
      <c r="L34" s="5"/>
      <c r="M34" s="5"/>
    </row>
    <row r="35" spans="1:13" ht="18.600000000000001" thickBot="1" x14ac:dyDescent="0.35">
      <c r="A35" s="34">
        <v>2</v>
      </c>
      <c r="B35" s="17" t="s">
        <v>2</v>
      </c>
      <c r="C35" s="1" cm="1">
        <f t="array" aca="1" ref="C35" ca="1">INDIRECT("'Presupuesto Mensual'!"&amp;ADDRESS(25,COLUMN('Presupuesto Mensual'!$E$25)+$A35))</f>
        <v>0</v>
      </c>
      <c r="D35" s="1" cm="1">
        <f t="array" aca="1" ref="D35" ca="1">INDIRECT("'Presupuesto Mensual'!"&amp;ADDRESS(25,COLUMN('Presupuesto Mensual'!$F$25)+$A35))</f>
        <v>0</v>
      </c>
      <c r="E35" s="1">
        <f t="shared" ca="1" si="0"/>
        <v>0</v>
      </c>
      <c r="F35" s="21">
        <f t="shared" ref="F35:F45" ca="1" si="1">IFERROR(D35/C35,0)</f>
        <v>0</v>
      </c>
      <c r="G35" s="23">
        <f t="shared" ref="G35:G45" ca="1" si="2">F35</f>
        <v>0</v>
      </c>
      <c r="L35" s="5"/>
      <c r="M35" s="5"/>
    </row>
    <row r="36" spans="1:13" ht="18.600000000000001" thickBot="1" x14ac:dyDescent="0.35">
      <c r="A36" s="34">
        <v>4</v>
      </c>
      <c r="B36" s="17" t="s">
        <v>3</v>
      </c>
      <c r="C36" s="1" cm="1">
        <f t="array" aca="1" ref="C36" ca="1">INDIRECT("'Presupuesto Mensual'!"&amp;ADDRESS(25,COLUMN('Presupuesto Mensual'!$E$25)+$A36))</f>
        <v>0</v>
      </c>
      <c r="D36" s="1" cm="1">
        <f t="array" aca="1" ref="D36" ca="1">INDIRECT("'Presupuesto Mensual'!"&amp;ADDRESS(25,COLUMN('Presupuesto Mensual'!$F$25)+$A36))</f>
        <v>0</v>
      </c>
      <c r="E36" s="1">
        <f t="shared" ca="1" si="0"/>
        <v>0</v>
      </c>
      <c r="F36" s="21">
        <f t="shared" ca="1" si="1"/>
        <v>0</v>
      </c>
      <c r="G36" s="23">
        <f t="shared" ca="1" si="2"/>
        <v>0</v>
      </c>
      <c r="L36" s="5"/>
      <c r="M36" s="5"/>
    </row>
    <row r="37" spans="1:13" ht="18.600000000000001" thickBot="1" x14ac:dyDescent="0.35">
      <c r="A37" s="34">
        <v>6</v>
      </c>
      <c r="B37" s="17" t="s">
        <v>4</v>
      </c>
      <c r="C37" s="1" cm="1">
        <f t="array" aca="1" ref="C37" ca="1">INDIRECT("'Presupuesto Mensual'!"&amp;ADDRESS(25,COLUMN('Presupuesto Mensual'!$E$25)+$A37))</f>
        <v>0</v>
      </c>
      <c r="D37" s="1" cm="1">
        <f t="array" aca="1" ref="D37" ca="1">INDIRECT("'Presupuesto Mensual'!"&amp;ADDRESS(25,COLUMN('Presupuesto Mensual'!$F$25)+$A37))</f>
        <v>0</v>
      </c>
      <c r="E37" s="1">
        <f t="shared" ca="1" si="0"/>
        <v>0</v>
      </c>
      <c r="F37" s="21">
        <f t="shared" ca="1" si="1"/>
        <v>0</v>
      </c>
      <c r="G37" s="23">
        <f t="shared" ca="1" si="2"/>
        <v>0</v>
      </c>
      <c r="L37" s="5"/>
      <c r="M37" s="5"/>
    </row>
    <row r="38" spans="1:13" ht="18.600000000000001" thickBot="1" x14ac:dyDescent="0.35">
      <c r="A38" s="34">
        <v>8</v>
      </c>
      <c r="B38" s="17" t="s">
        <v>5</v>
      </c>
      <c r="C38" s="1" cm="1">
        <f t="array" aca="1" ref="C38" ca="1">INDIRECT("'Presupuesto Mensual'!"&amp;ADDRESS(25,COLUMN('Presupuesto Mensual'!$E$25)+$A38))</f>
        <v>0</v>
      </c>
      <c r="D38" s="1" cm="1">
        <f t="array" aca="1" ref="D38" ca="1">INDIRECT("'Presupuesto Mensual'!"&amp;ADDRESS(25,COLUMN('Presupuesto Mensual'!$F$25)+$A38))</f>
        <v>0</v>
      </c>
      <c r="E38" s="1">
        <f t="shared" ca="1" si="0"/>
        <v>0</v>
      </c>
      <c r="F38" s="21">
        <f t="shared" ca="1" si="1"/>
        <v>0</v>
      </c>
      <c r="G38" s="23">
        <f t="shared" ca="1" si="2"/>
        <v>0</v>
      </c>
      <c r="L38" s="5"/>
      <c r="M38" s="5"/>
    </row>
    <row r="39" spans="1:13" ht="18.600000000000001" thickBot="1" x14ac:dyDescent="0.35">
      <c r="A39" s="34">
        <v>10</v>
      </c>
      <c r="B39" s="17" t="s">
        <v>6</v>
      </c>
      <c r="C39" s="1" cm="1">
        <f t="array" aca="1" ref="C39" ca="1">INDIRECT("'Presupuesto Mensual'!"&amp;ADDRESS(25,COLUMN('Presupuesto Mensual'!$E$25)+$A39))</f>
        <v>0</v>
      </c>
      <c r="D39" s="1" cm="1">
        <f t="array" aca="1" ref="D39" ca="1">INDIRECT("'Presupuesto Mensual'!"&amp;ADDRESS(25,COLUMN('Presupuesto Mensual'!$F$25)+$A39))</f>
        <v>0</v>
      </c>
      <c r="E39" s="1">
        <f t="shared" ca="1" si="0"/>
        <v>0</v>
      </c>
      <c r="F39" s="21">
        <f t="shared" ca="1" si="1"/>
        <v>0</v>
      </c>
      <c r="G39" s="23">
        <f t="shared" ca="1" si="2"/>
        <v>0</v>
      </c>
      <c r="L39" s="5"/>
      <c r="M39" s="5"/>
    </row>
    <row r="40" spans="1:13" ht="18.600000000000001" thickBot="1" x14ac:dyDescent="0.35">
      <c r="A40" s="34">
        <v>12</v>
      </c>
      <c r="B40" s="17" t="s">
        <v>7</v>
      </c>
      <c r="C40" s="1" cm="1">
        <f t="array" aca="1" ref="C40" ca="1">INDIRECT("'Presupuesto Mensual'!"&amp;ADDRESS(25,COLUMN('Presupuesto Mensual'!$E$25)+$A40))</f>
        <v>0</v>
      </c>
      <c r="D40" s="1" cm="1">
        <f t="array" aca="1" ref="D40" ca="1">INDIRECT("'Presupuesto Mensual'!"&amp;ADDRESS(25,COLUMN('Presupuesto Mensual'!$F$25)+$A40))</f>
        <v>0</v>
      </c>
      <c r="E40" s="1">
        <f t="shared" ca="1" si="0"/>
        <v>0</v>
      </c>
      <c r="F40" s="21">
        <f t="shared" ca="1" si="1"/>
        <v>0</v>
      </c>
      <c r="G40" s="23">
        <f t="shared" ca="1" si="2"/>
        <v>0</v>
      </c>
      <c r="L40" s="5"/>
      <c r="M40" s="5"/>
    </row>
    <row r="41" spans="1:13" ht="18.600000000000001" thickBot="1" x14ac:dyDescent="0.35">
      <c r="A41" s="34">
        <v>14</v>
      </c>
      <c r="B41" s="17" t="s">
        <v>8</v>
      </c>
      <c r="C41" s="1" cm="1">
        <f t="array" aca="1" ref="C41" ca="1">INDIRECT("'Presupuesto Mensual'!"&amp;ADDRESS(25,COLUMN('Presupuesto Mensual'!$E$25)+$A41))</f>
        <v>0</v>
      </c>
      <c r="D41" s="1" cm="1">
        <f t="array" aca="1" ref="D41" ca="1">INDIRECT("'Presupuesto Mensual'!"&amp;ADDRESS(25,COLUMN('Presupuesto Mensual'!$F$25)+$A41))</f>
        <v>0</v>
      </c>
      <c r="E41" s="1">
        <f t="shared" ca="1" si="0"/>
        <v>0</v>
      </c>
      <c r="F41" s="21">
        <f t="shared" ca="1" si="1"/>
        <v>0</v>
      </c>
      <c r="G41" s="23">
        <f t="shared" ca="1" si="2"/>
        <v>0</v>
      </c>
      <c r="L41" s="5"/>
      <c r="M41" s="5"/>
    </row>
    <row r="42" spans="1:13" ht="18.600000000000001" thickBot="1" x14ac:dyDescent="0.35">
      <c r="A42" s="34">
        <v>16</v>
      </c>
      <c r="B42" s="17" t="s">
        <v>9</v>
      </c>
      <c r="C42" s="1" cm="1">
        <f t="array" aca="1" ref="C42" ca="1">INDIRECT("'Presupuesto Mensual'!"&amp;ADDRESS(25,COLUMN('Presupuesto Mensual'!$E$25)+$A42))</f>
        <v>0</v>
      </c>
      <c r="D42" s="1" cm="1">
        <f t="array" aca="1" ref="D42" ca="1">INDIRECT("'Presupuesto Mensual'!"&amp;ADDRESS(25,COLUMN('Presupuesto Mensual'!$F$25)+$A42))</f>
        <v>0</v>
      </c>
      <c r="E42" s="1">
        <f t="shared" ca="1" si="0"/>
        <v>0</v>
      </c>
      <c r="F42" s="21">
        <f t="shared" ca="1" si="1"/>
        <v>0</v>
      </c>
      <c r="G42" s="23">
        <f t="shared" ca="1" si="2"/>
        <v>0</v>
      </c>
      <c r="L42" s="5"/>
      <c r="M42" s="5"/>
    </row>
    <row r="43" spans="1:13" ht="18.600000000000001" thickBot="1" x14ac:dyDescent="0.35">
      <c r="A43" s="34">
        <v>18</v>
      </c>
      <c r="B43" s="17" t="s">
        <v>10</v>
      </c>
      <c r="C43" s="1" cm="1">
        <f t="array" aca="1" ref="C43" ca="1">INDIRECT("'Presupuesto Mensual'!"&amp;ADDRESS(25,COLUMN('Presupuesto Mensual'!$E$25)+$A43))</f>
        <v>0</v>
      </c>
      <c r="D43" s="1" cm="1">
        <f t="array" aca="1" ref="D43" ca="1">INDIRECT("'Presupuesto Mensual'!"&amp;ADDRESS(25,COLUMN('Presupuesto Mensual'!$F$25)+$A43))</f>
        <v>0</v>
      </c>
      <c r="E43" s="1">
        <f t="shared" ca="1" si="0"/>
        <v>0</v>
      </c>
      <c r="F43" s="21">
        <f t="shared" ca="1" si="1"/>
        <v>0</v>
      </c>
      <c r="G43" s="23">
        <f t="shared" ca="1" si="2"/>
        <v>0</v>
      </c>
      <c r="L43" s="5"/>
      <c r="M43" s="5"/>
    </row>
    <row r="44" spans="1:13" ht="18.600000000000001" thickBot="1" x14ac:dyDescent="0.35">
      <c r="A44" s="34">
        <v>20</v>
      </c>
      <c r="B44" s="17" t="s">
        <v>11</v>
      </c>
      <c r="C44" s="1" cm="1">
        <f t="array" aca="1" ref="C44" ca="1">INDIRECT("'Presupuesto Mensual'!"&amp;ADDRESS(25,COLUMN('Presupuesto Mensual'!$E$25)+$A44))</f>
        <v>0</v>
      </c>
      <c r="D44" s="1" cm="1">
        <f t="array" aca="1" ref="D44" ca="1">INDIRECT("'Presupuesto Mensual'!"&amp;ADDRESS(25,COLUMN('Presupuesto Mensual'!$F$25)+$A44))</f>
        <v>0</v>
      </c>
      <c r="E44" s="1">
        <f t="shared" ca="1" si="0"/>
        <v>0</v>
      </c>
      <c r="F44" s="21">
        <f t="shared" ca="1" si="1"/>
        <v>0</v>
      </c>
      <c r="G44" s="23">
        <f t="shared" ca="1" si="2"/>
        <v>0</v>
      </c>
      <c r="L44" s="5"/>
      <c r="M44" s="5"/>
    </row>
    <row r="45" spans="1:13" ht="18.600000000000001" thickBot="1" x14ac:dyDescent="0.35">
      <c r="A45" s="34">
        <v>22</v>
      </c>
      <c r="B45" s="19" t="s">
        <v>12</v>
      </c>
      <c r="C45" s="1" cm="1">
        <f t="array" aca="1" ref="C45" ca="1">INDIRECT("'Presupuesto Mensual'!"&amp;ADDRESS(25,COLUMN('Presupuesto Mensual'!$E$25)+$A45))</f>
        <v>0</v>
      </c>
      <c r="D45" s="1" cm="1">
        <f t="array" aca="1" ref="D45" ca="1">INDIRECT("'Presupuesto Mensual'!"&amp;ADDRESS(25,COLUMN('Presupuesto Mensual'!$F$25)+$A45))</f>
        <v>0</v>
      </c>
      <c r="E45" s="1">
        <f t="shared" ca="1" si="0"/>
        <v>0</v>
      </c>
      <c r="F45" s="22">
        <f t="shared" ca="1" si="1"/>
        <v>0</v>
      </c>
      <c r="G45" s="23">
        <f t="shared" ca="1" si="2"/>
        <v>0</v>
      </c>
      <c r="L45" s="5"/>
      <c r="M45" s="5"/>
    </row>
    <row r="46" spans="1:13" ht="18.600000000000001" thickBot="1" x14ac:dyDescent="0.35">
      <c r="D46" s="15"/>
      <c r="G46" s="15"/>
    </row>
    <row r="47" spans="1:13" ht="27.6" customHeight="1" thickBot="1" x14ac:dyDescent="0.35">
      <c r="B47" s="20" t="s">
        <v>25</v>
      </c>
      <c r="C47" s="16">
        <f ca="1">SUM(C34:C45)</f>
        <v>0</v>
      </c>
      <c r="D47" s="16">
        <f ca="1">SUM(D34:D45)</f>
        <v>0</v>
      </c>
      <c r="E47" s="16">
        <f ca="1">SUM(E34:E45)</f>
        <v>0</v>
      </c>
    </row>
    <row r="52" spans="2:5" hidden="1" x14ac:dyDescent="0.3">
      <c r="B52" s="46" t="s">
        <v>31</v>
      </c>
      <c r="C52" s="46"/>
      <c r="D52" s="28"/>
      <c r="E52" s="28"/>
    </row>
    <row r="53" spans="2:5" hidden="1" x14ac:dyDescent="0.3">
      <c r="B53" s="29">
        <f ca="1">IFERROR(IF(D47/C47&gt;=1,1,D47/C47),0)</f>
        <v>0</v>
      </c>
      <c r="C53" s="30">
        <f ca="1">IFERROR(1-B53,0)</f>
        <v>1</v>
      </c>
    </row>
  </sheetData>
  <mergeCells count="1">
    <mergeCell ref="B52:C52"/>
  </mergeCells>
  <phoneticPr fontId="4" type="noConversion"/>
  <conditionalFormatting sqref="F34:F45">
    <cfRule type="expression" dxfId="0" priority="2">
      <formula>F34&gt;0.45</formula>
    </cfRule>
    <cfRule type="dataBar" priority="3">
      <dataBar>
        <cfvo type="num" val="0"/>
        <cfvo type="num" val="1"/>
        <color rgb="FFFC7B78"/>
      </dataBar>
      <extLst>
        <ext xmlns:x14="http://schemas.microsoft.com/office/spreadsheetml/2009/9/main" uri="{B025F937-C7B1-47D3-B67F-A62EFF666E3E}">
          <x14:id>{2B055DF8-AE9F-423E-B56B-BED80EBC9159}</x14:id>
        </ext>
      </extLst>
    </cfRule>
  </conditionalFormatting>
  <conditionalFormatting sqref="G34:G45">
    <cfRule type="iconSet" priority="1">
      <iconSet iconSet="3Flags" reverse="1">
        <cfvo type="percent" val="0"/>
        <cfvo type="num" val="0.8"/>
        <cfvo type="num" val="1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055DF8-AE9F-423E-B56B-BED80EBC91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F34:F45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EEA2-D243-4862-A113-94A6A99A1F9D}">
  <dimension ref="A2:M40"/>
  <sheetViews>
    <sheetView showGridLines="0" topLeftCell="A2" zoomScale="80" zoomScaleNormal="80" workbookViewId="0">
      <selection activeCell="M24" sqref="M24"/>
    </sheetView>
  </sheetViews>
  <sheetFormatPr baseColWidth="10" defaultColWidth="11.44140625" defaultRowHeight="14.4" x14ac:dyDescent="0.3"/>
  <cols>
    <col min="1" max="1" width="1.88671875" customWidth="1"/>
    <col min="2" max="2" width="2.6640625" customWidth="1"/>
    <col min="3" max="3" width="26.44140625" customWidth="1"/>
    <col min="4" max="5" width="27.33203125" customWidth="1"/>
    <col min="6" max="6" width="24.5546875" customWidth="1"/>
    <col min="7" max="7" width="19.33203125" customWidth="1"/>
    <col min="8" max="8" width="14.6640625" hidden="1" customWidth="1"/>
    <col min="9" max="9" width="18.88671875" hidden="1" customWidth="1"/>
    <col min="10" max="10" width="24" customWidth="1"/>
    <col min="11" max="11" width="14.44140625" customWidth="1"/>
    <col min="12" max="12" width="13" customWidth="1"/>
    <col min="13" max="13" width="14" customWidth="1"/>
    <col min="14" max="14" width="14.33203125" customWidth="1"/>
    <col min="19" max="19" width="12" bestFit="1" customWidth="1"/>
  </cols>
  <sheetData>
    <row r="2" spans="1:12" ht="71.400000000000006" customHeight="1" x14ac:dyDescent="0.3">
      <c r="A2" s="33"/>
      <c r="B2" s="19"/>
      <c r="C2" s="19"/>
      <c r="D2" s="19"/>
      <c r="E2" s="19"/>
      <c r="F2" s="19"/>
      <c r="G2" s="19"/>
      <c r="H2" s="19"/>
      <c r="I2" s="19"/>
      <c r="J2" s="19"/>
      <c r="K2" s="33"/>
      <c r="L2" s="33"/>
    </row>
    <row r="3" spans="1:12" ht="18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26.4" customHeight="1" x14ac:dyDescent="0.3"/>
    <row r="5" spans="1:12" ht="39.6" customHeight="1" thickBot="1" x14ac:dyDescent="0.35">
      <c r="C5" s="20" t="s">
        <v>32</v>
      </c>
      <c r="D5" s="27" t="s">
        <v>1</v>
      </c>
      <c r="E5" s="35" t="s">
        <v>33</v>
      </c>
    </row>
    <row r="7" spans="1:12" ht="18" x14ac:dyDescent="0.3">
      <c r="C7" s="26"/>
    </row>
    <row r="10" spans="1:12" ht="21" x14ac:dyDescent="0.4">
      <c r="J10" s="10" t="s">
        <v>27</v>
      </c>
    </row>
    <row r="11" spans="1:12" ht="21" x14ac:dyDescent="0.4">
      <c r="J11" s="11">
        <f ca="1">SUM(E27:E35)</f>
        <v>0</v>
      </c>
    </row>
    <row r="13" spans="1:12" ht="21" x14ac:dyDescent="0.4">
      <c r="J13" s="10" t="s">
        <v>15</v>
      </c>
    </row>
    <row r="14" spans="1:12" ht="21" x14ac:dyDescent="0.4">
      <c r="J14" s="11">
        <f ca="1">SUM(D27:D35)</f>
        <v>0</v>
      </c>
    </row>
    <row r="15" spans="1:12" ht="11.4" customHeight="1" x14ac:dyDescent="0.3"/>
    <row r="16" spans="1:12" ht="21" x14ac:dyDescent="0.4">
      <c r="J16" s="10" t="s">
        <v>28</v>
      </c>
    </row>
    <row r="17" spans="3:10" ht="21" x14ac:dyDescent="0.4">
      <c r="J17" s="11">
        <f ca="1">J14-J11</f>
        <v>0</v>
      </c>
    </row>
    <row r="26" spans="3:10" ht="48" customHeight="1" thickBot="1" x14ac:dyDescent="0.35">
      <c r="C26" s="36" t="s">
        <v>13</v>
      </c>
      <c r="D26" s="13" t="s">
        <v>15</v>
      </c>
      <c r="E26" s="39" t="s">
        <v>16</v>
      </c>
      <c r="F26" s="42" t="s">
        <v>29</v>
      </c>
      <c r="G26" s="14" t="s">
        <v>34</v>
      </c>
      <c r="H26" s="42" t="s">
        <v>35</v>
      </c>
      <c r="I26" s="20" t="s">
        <v>25</v>
      </c>
    </row>
    <row r="27" spans="3:10" ht="18.600000000000001" thickBot="1" x14ac:dyDescent="0.35">
      <c r="C27" s="32" t="str" cm="1">
        <f t="array" aca="1" ref="C27:C34" ca="1">Categorias</f>
        <v>SUPERMERCADO</v>
      </c>
      <c r="D27" s="40" cm="1">
        <f t="array" aca="1" ref="D27:E39" ca="1">INDIRECT(D5)</f>
        <v>0</v>
      </c>
      <c r="E27" s="40">
        <f ca="1"/>
        <v>0</v>
      </c>
      <c r="F27" s="1">
        <f ca="1">IF(C27&lt;&gt;"",D27-E27,"")</f>
        <v>0</v>
      </c>
      <c r="G27" s="41">
        <f ca="1">IF(C27="","",IFERROR(E27/D27,0))</f>
        <v>0</v>
      </c>
      <c r="H27" s="25">
        <f ca="1">IFERROR(IF(100%-G27&lt;0,0,100%-G27),"")</f>
        <v>1</v>
      </c>
      <c r="I27" s="25">
        <f ca="1">IFERROR(G27+H27,"")</f>
        <v>1</v>
      </c>
    </row>
    <row r="28" spans="3:10" ht="18.600000000000001" thickBot="1" x14ac:dyDescent="0.35">
      <c r="C28" s="32" t="str">
        <f ca="1"/>
        <v>GASTOS_FIJOS</v>
      </c>
      <c r="D28" s="40">
        <f ca="1"/>
        <v>0</v>
      </c>
      <c r="E28" s="40">
        <f ca="1"/>
        <v>0</v>
      </c>
      <c r="F28" s="1">
        <f t="shared" ref="F28:F39" ca="1" si="0">IF(C28&lt;&gt;"",D28-E28,"")</f>
        <v>0</v>
      </c>
      <c r="G28" s="41">
        <f t="shared" ref="G28:G39" ca="1" si="1">IF(C28="","",IFERROR(E28/D28,0))</f>
        <v>0</v>
      </c>
      <c r="H28" s="25">
        <f t="shared" ref="H28:H39" ca="1" si="2">IFERROR(IF(100%-G28&lt;0,0,100%-G28),"")</f>
        <v>1</v>
      </c>
      <c r="I28" s="25">
        <f t="shared" ref="I28:I39" ca="1" si="3">IFERROR(G28+H28,"")</f>
        <v>1</v>
      </c>
    </row>
    <row r="29" spans="3:10" ht="18.600000000000001" thickBot="1" x14ac:dyDescent="0.35">
      <c r="C29" s="32" t="str">
        <f ca="1"/>
        <v>FORMACIÓN</v>
      </c>
      <c r="D29" s="40">
        <f ca="1"/>
        <v>0</v>
      </c>
      <c r="E29" s="40">
        <f ca="1"/>
        <v>0</v>
      </c>
      <c r="F29" s="1">
        <f t="shared" ca="1" si="0"/>
        <v>0</v>
      </c>
      <c r="G29" s="41">
        <f t="shared" ca="1" si="1"/>
        <v>0</v>
      </c>
      <c r="H29" s="25">
        <f t="shared" ca="1" si="2"/>
        <v>1</v>
      </c>
      <c r="I29" s="25">
        <f t="shared" ca="1" si="3"/>
        <v>1</v>
      </c>
    </row>
    <row r="30" spans="3:10" ht="18.600000000000001" thickBot="1" x14ac:dyDescent="0.35">
      <c r="C30" s="32" t="str">
        <f ca="1"/>
        <v>OCIO</v>
      </c>
      <c r="D30" s="40">
        <f ca="1"/>
        <v>0</v>
      </c>
      <c r="E30" s="40">
        <f ca="1"/>
        <v>0</v>
      </c>
      <c r="F30" s="1">
        <f t="shared" ca="1" si="0"/>
        <v>0</v>
      </c>
      <c r="G30" s="41">
        <f t="shared" ca="1" si="1"/>
        <v>0</v>
      </c>
      <c r="H30" s="25">
        <f t="shared" ca="1" si="2"/>
        <v>1</v>
      </c>
      <c r="I30" s="25">
        <f t="shared" ca="1" si="3"/>
        <v>1</v>
      </c>
    </row>
    <row r="31" spans="3:10" ht="18.600000000000001" thickBot="1" x14ac:dyDescent="0.35">
      <c r="C31" s="32" t="str">
        <f ca="1"/>
        <v>TRANSPORTE</v>
      </c>
      <c r="D31" s="40">
        <f ca="1"/>
        <v>0</v>
      </c>
      <c r="E31" s="40">
        <f ca="1"/>
        <v>0</v>
      </c>
      <c r="F31" s="1">
        <f t="shared" ca="1" si="0"/>
        <v>0</v>
      </c>
      <c r="G31" s="41">
        <f t="shared" ca="1" si="1"/>
        <v>0</v>
      </c>
      <c r="H31" s="25">
        <f t="shared" ca="1" si="2"/>
        <v>1</v>
      </c>
      <c r="I31" s="25">
        <f t="shared" ca="1" si="3"/>
        <v>1</v>
      </c>
    </row>
    <row r="32" spans="3:10" ht="18.600000000000001" thickBot="1" x14ac:dyDescent="0.35">
      <c r="C32" s="32" t="str">
        <f ca="1"/>
        <v>VIVIENDA</v>
      </c>
      <c r="D32" s="40">
        <f ca="1"/>
        <v>0</v>
      </c>
      <c r="E32" s="40">
        <f ca="1"/>
        <v>0</v>
      </c>
      <c r="F32" s="1">
        <f t="shared" ca="1" si="0"/>
        <v>0</v>
      </c>
      <c r="G32" s="41">
        <f t="shared" ca="1" si="1"/>
        <v>0</v>
      </c>
      <c r="H32" s="25">
        <f t="shared" ca="1" si="2"/>
        <v>1</v>
      </c>
      <c r="I32" s="25">
        <f t="shared" ca="1" si="3"/>
        <v>1</v>
      </c>
    </row>
    <row r="33" spans="3:13" ht="18.600000000000001" thickBot="1" x14ac:dyDescent="0.35">
      <c r="C33" s="32" t="str">
        <f ca="1"/>
        <v>SALUD</v>
      </c>
      <c r="D33" s="40">
        <f ca="1"/>
        <v>0</v>
      </c>
      <c r="E33" s="40">
        <f ca="1"/>
        <v>0</v>
      </c>
      <c r="F33" s="1">
        <f t="shared" ca="1" si="0"/>
        <v>0</v>
      </c>
      <c r="G33" s="41">
        <f t="shared" ca="1" si="1"/>
        <v>0</v>
      </c>
      <c r="H33" s="25">
        <f t="shared" ca="1" si="2"/>
        <v>1</v>
      </c>
      <c r="I33" s="25">
        <f t="shared" ca="1" si="3"/>
        <v>1</v>
      </c>
    </row>
    <row r="34" spans="3:13" ht="18.600000000000001" thickBot="1" x14ac:dyDescent="0.35">
      <c r="C34" s="32" t="str">
        <f ca="1"/>
        <v>STREAMING</v>
      </c>
      <c r="D34" s="40">
        <f ca="1"/>
        <v>0</v>
      </c>
      <c r="E34" s="40">
        <f ca="1"/>
        <v>0</v>
      </c>
      <c r="F34" s="1">
        <f t="shared" ca="1" si="0"/>
        <v>0</v>
      </c>
      <c r="G34" s="41">
        <f t="shared" ca="1" si="1"/>
        <v>0</v>
      </c>
      <c r="H34" s="25">
        <f t="shared" ca="1" si="2"/>
        <v>1</v>
      </c>
      <c r="I34" s="25">
        <f t="shared" ca="1" si="3"/>
        <v>1</v>
      </c>
    </row>
    <row r="35" spans="3:13" ht="18.600000000000001" thickBot="1" x14ac:dyDescent="0.35">
      <c r="C35" s="32"/>
      <c r="D35" s="40">
        <f ca="1"/>
        <v>0</v>
      </c>
      <c r="E35" s="40">
        <f ca="1"/>
        <v>0</v>
      </c>
      <c r="F35" s="1" t="str">
        <f t="shared" si="0"/>
        <v/>
      </c>
      <c r="G35" s="41" t="str">
        <f t="shared" si="1"/>
        <v/>
      </c>
      <c r="H35" s="25" t="str">
        <f t="shared" si="2"/>
        <v/>
      </c>
      <c r="I35" s="25" t="str">
        <f t="shared" si="3"/>
        <v/>
      </c>
    </row>
    <row r="36" spans="3:13" ht="18.600000000000001" thickBot="1" x14ac:dyDescent="0.35">
      <c r="C36" s="32"/>
      <c r="D36" s="40">
        <f ca="1"/>
        <v>0</v>
      </c>
      <c r="E36" s="40">
        <f ca="1"/>
        <v>0</v>
      </c>
      <c r="F36" s="1" t="str">
        <f t="shared" si="0"/>
        <v/>
      </c>
      <c r="G36" s="41" t="str">
        <f t="shared" si="1"/>
        <v/>
      </c>
      <c r="H36" s="25" t="str">
        <f t="shared" si="2"/>
        <v/>
      </c>
      <c r="I36" s="25" t="str">
        <f t="shared" si="3"/>
        <v/>
      </c>
    </row>
    <row r="37" spans="3:13" ht="18.600000000000001" thickBot="1" x14ac:dyDescent="0.35">
      <c r="C37" s="32"/>
      <c r="D37" s="40">
        <f ca="1"/>
        <v>0</v>
      </c>
      <c r="E37" s="40">
        <f ca="1"/>
        <v>0</v>
      </c>
      <c r="F37" s="1" t="str">
        <f t="shared" si="0"/>
        <v/>
      </c>
      <c r="G37" s="41" t="str">
        <f t="shared" si="1"/>
        <v/>
      </c>
      <c r="H37" s="25" t="str">
        <f t="shared" si="2"/>
        <v/>
      </c>
      <c r="I37" s="25" t="str">
        <f t="shared" si="3"/>
        <v/>
      </c>
    </row>
    <row r="38" spans="3:13" ht="18.600000000000001" thickBot="1" x14ac:dyDescent="0.35">
      <c r="C38" s="32"/>
      <c r="D38" s="40">
        <f ca="1"/>
        <v>0</v>
      </c>
      <c r="E38" s="40">
        <f ca="1"/>
        <v>0</v>
      </c>
      <c r="F38" s="1" t="str">
        <f t="shared" si="0"/>
        <v/>
      </c>
      <c r="G38" s="41" t="str">
        <f t="shared" si="1"/>
        <v/>
      </c>
      <c r="H38" s="25" t="str">
        <f t="shared" si="2"/>
        <v/>
      </c>
      <c r="I38" s="25" t="str">
        <f t="shared" si="3"/>
        <v/>
      </c>
    </row>
    <row r="39" spans="3:13" ht="18.600000000000001" thickBot="1" x14ac:dyDescent="0.35">
      <c r="C39" s="32"/>
      <c r="D39" s="40">
        <f ca="1"/>
        <v>0</v>
      </c>
      <c r="E39" s="40">
        <f ca="1"/>
        <v>0</v>
      </c>
      <c r="F39" s="1" t="str">
        <f t="shared" si="0"/>
        <v/>
      </c>
      <c r="G39" s="41" t="str">
        <f t="shared" si="1"/>
        <v/>
      </c>
      <c r="H39" s="25" t="str">
        <f t="shared" si="2"/>
        <v/>
      </c>
      <c r="I39" s="25" t="str">
        <f t="shared" si="3"/>
        <v/>
      </c>
    </row>
    <row r="40" spans="3:13" ht="18" x14ac:dyDescent="0.3">
      <c r="M40" s="41"/>
    </row>
  </sheetData>
  <conditionalFormatting sqref="M40 G27:G39">
    <cfRule type="iconSet" priority="4">
      <iconSet iconSet="3Flags" reverse="1">
        <cfvo type="percent" val="0"/>
        <cfvo type="num" val="0.8"/>
        <cfvo type="num" val="1" gte="0"/>
      </iconSet>
    </cfRule>
  </conditionalFormatting>
  <dataValidations disablePrompts="1" count="1">
    <dataValidation type="list" allowBlank="1" showInputMessage="1" showErrorMessage="1" sqref="C7 D5" xr:uid="{8ED82F8E-5051-4FC0-A3D8-6E1562CBF6F1}">
      <formula1>Meses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9952-5858-448B-BE8C-775E87965010}">
  <dimension ref="A2:A14"/>
  <sheetViews>
    <sheetView workbookViewId="0">
      <selection activeCell="D18" sqref="D18"/>
    </sheetView>
  </sheetViews>
  <sheetFormatPr baseColWidth="10" defaultColWidth="11.44140625" defaultRowHeight="14.4" x14ac:dyDescent="0.3"/>
  <cols>
    <col min="1" max="1" width="18.6640625" customWidth="1"/>
  </cols>
  <sheetData>
    <row r="2" spans="1:1" ht="18" x14ac:dyDescent="0.3">
      <c r="A2" s="12" t="s">
        <v>36</v>
      </c>
    </row>
    <row r="3" spans="1:1" ht="18.600000000000001" thickBot="1" x14ac:dyDescent="0.35">
      <c r="A3" s="17" t="s">
        <v>1</v>
      </c>
    </row>
    <row r="4" spans="1:1" ht="18.600000000000001" thickBot="1" x14ac:dyDescent="0.35">
      <c r="A4" s="17" t="s">
        <v>2</v>
      </c>
    </row>
    <row r="5" spans="1:1" ht="18.600000000000001" thickBot="1" x14ac:dyDescent="0.35">
      <c r="A5" s="17" t="s">
        <v>3</v>
      </c>
    </row>
    <row r="6" spans="1:1" ht="18.600000000000001" thickBot="1" x14ac:dyDescent="0.35">
      <c r="A6" s="17" t="s">
        <v>4</v>
      </c>
    </row>
    <row r="7" spans="1:1" ht="18.600000000000001" thickBot="1" x14ac:dyDescent="0.35">
      <c r="A7" s="17" t="s">
        <v>5</v>
      </c>
    </row>
    <row r="8" spans="1:1" ht="18.600000000000001" thickBot="1" x14ac:dyDescent="0.35">
      <c r="A8" s="17" t="s">
        <v>6</v>
      </c>
    </row>
    <row r="9" spans="1:1" ht="18.600000000000001" thickBot="1" x14ac:dyDescent="0.35">
      <c r="A9" s="17" t="s">
        <v>7</v>
      </c>
    </row>
    <row r="10" spans="1:1" ht="18.600000000000001" thickBot="1" x14ac:dyDescent="0.35">
      <c r="A10" s="17" t="s">
        <v>8</v>
      </c>
    </row>
    <row r="11" spans="1:1" ht="18.600000000000001" thickBot="1" x14ac:dyDescent="0.35">
      <c r="A11" s="17" t="s">
        <v>9</v>
      </c>
    </row>
    <row r="12" spans="1:1" ht="18.600000000000001" thickBot="1" x14ac:dyDescent="0.35">
      <c r="A12" s="17" t="s">
        <v>10</v>
      </c>
    </row>
    <row r="13" spans="1:1" ht="18.600000000000001" thickBot="1" x14ac:dyDescent="0.35">
      <c r="A13" s="17" t="s">
        <v>11</v>
      </c>
    </row>
    <row r="14" spans="1:1" ht="18.600000000000001" thickBot="1" x14ac:dyDescent="0.35">
      <c r="A14" s="17" t="s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14</vt:i4>
      </vt:variant>
    </vt:vector>
  </HeadingPairs>
  <TitlesOfParts>
    <vt:vector size="19" baseType="lpstr">
      <vt:lpstr>- AYUDA -</vt:lpstr>
      <vt:lpstr>Presupuesto Mensual</vt:lpstr>
      <vt:lpstr>Reporte mensual</vt:lpstr>
      <vt:lpstr>Reporte_categoria</vt:lpstr>
      <vt:lpstr>Auxiliar</vt:lpstr>
      <vt:lpstr>ABRIL</vt:lpstr>
      <vt:lpstr>AGOSTO</vt:lpstr>
      <vt:lpstr>DICIEMBRE</vt:lpstr>
      <vt:lpstr>ENERO</vt:lpstr>
      <vt:lpstr>FEBRERO</vt:lpstr>
      <vt:lpstr>Gastado</vt:lpstr>
      <vt:lpstr>JULIO</vt:lpstr>
      <vt:lpstr>JUNIO</vt:lpstr>
      <vt:lpstr>MARZO</vt:lpstr>
      <vt:lpstr>MAYO</vt:lpstr>
      <vt:lpstr>Meses</vt:lpstr>
      <vt:lpstr>NOVIEMBRE</vt:lpstr>
      <vt:lpstr>OCTUBRE</vt:lpstr>
      <vt:lpstr>SEPTIEMBRE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PlanillaExcel</dc:creator>
  <cp:keywords/>
  <dc:description/>
  <cp:lastModifiedBy>Cecilia PlanillaExcel</cp:lastModifiedBy>
  <cp:revision/>
  <dcterms:created xsi:type="dcterms:W3CDTF">2023-01-16T12:30:50Z</dcterms:created>
  <dcterms:modified xsi:type="dcterms:W3CDTF">2023-02-28T15:13:53Z</dcterms:modified>
  <cp:category/>
  <cp:contentStatus/>
</cp:coreProperties>
</file>