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0FFA3951-7BC6-4C10-AFB0-D9CD2C5A0F85}" xr6:coauthVersionLast="34" xr6:coauthVersionMax="34" xr10:uidLastSave="{00000000-0000-0000-0000-000000000000}"/>
  <bookViews>
    <workbookView xWindow="0" yWindow="0" windowWidth="20490" windowHeight="6345" xr2:uid="{7C0797B7-3B39-43A6-A5C3-B2D8392236B4}"/>
  </bookViews>
  <sheets>
    <sheet name="Instrucciones" sheetId="1" r:id="rId1"/>
    <sheet name="Presupuesto de emprendimiento" sheetId="2" r:id="rId2"/>
  </sheets>
  <definedNames>
    <definedName name="_xlnm.Print_Area" localSheetId="1">'Presupuesto de emprendimiento'!$A$5:$E$75</definedName>
    <definedName name="valuevx">42.314159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0" i="2" l="1"/>
  <c r="D68" i="2"/>
  <c r="D70" i="2" s="1"/>
  <c r="C68" i="2"/>
  <c r="E67" i="2"/>
  <c r="E66" i="2"/>
  <c r="E65" i="2"/>
  <c r="E64" i="2"/>
  <c r="E63" i="2"/>
  <c r="E62" i="2"/>
  <c r="E61" i="2"/>
  <c r="E60" i="2"/>
  <c r="E59" i="2"/>
  <c r="E58" i="2"/>
  <c r="E57" i="2"/>
  <c r="E68" i="2" s="1"/>
  <c r="E70" i="2" s="1"/>
  <c r="E56" i="2"/>
  <c r="D53" i="2"/>
  <c r="C53" i="2"/>
  <c r="C72" i="2" s="1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53" i="2" s="1"/>
  <c r="D24" i="2"/>
  <c r="C24" i="2"/>
  <c r="E23" i="2"/>
  <c r="E22" i="2"/>
  <c r="E24" i="2" s="1"/>
  <c r="E20" i="2"/>
  <c r="D20" i="2"/>
  <c r="C20" i="2"/>
  <c r="E19" i="2"/>
  <c r="E18" i="2"/>
  <c r="E17" i="2"/>
  <c r="D14" i="2"/>
  <c r="D26" i="2" s="1"/>
  <c r="C14" i="2"/>
  <c r="C26" i="2" s="1"/>
  <c r="E13" i="2"/>
  <c r="E12" i="2"/>
  <c r="E11" i="2"/>
  <c r="E10" i="2"/>
  <c r="E14" i="2" s="1"/>
  <c r="E26" i="2" s="1"/>
  <c r="E9" i="2"/>
  <c r="E75" i="2" l="1"/>
  <c r="C75" i="2"/>
  <c r="E72" i="2"/>
  <c r="D72" i="2"/>
  <c r="D75" i="2" s="1"/>
</calcChain>
</file>

<file path=xl/sharedStrings.xml><?xml version="1.0" encoding="utf-8"?>
<sst xmlns="http://schemas.openxmlformats.org/spreadsheetml/2006/main" count="77" uniqueCount="71">
  <si>
    <t>Instrucciones de Uso</t>
  </si>
  <si>
    <t>Completar</t>
  </si>
  <si>
    <t>1.- La estimación de las inversiones y los diferentes tipos de gastos en la columna C.</t>
  </si>
  <si>
    <t>2.- Lo que realmente se obtuvo de inversiones y los gastos reales por única vez y mensual (promedio) en la columna D.</t>
  </si>
  <si>
    <t>3.- Completar en la celda C69 la cantidad de meses transcurridos para la comparación.</t>
  </si>
  <si>
    <t>Resultado</t>
  </si>
  <si>
    <t>En la columna E se arrojará la diferencia de estimación.</t>
  </si>
  <si>
    <t>En la fila 75 se verá el resultado general de la estimación de inversión y costos versus lo que realmente sucedió.</t>
  </si>
  <si>
    <t>Financiamiento</t>
  </si>
  <si>
    <t>Estimado</t>
  </si>
  <si>
    <t>Real</t>
  </si>
  <si>
    <t>Diferencia</t>
  </si>
  <si>
    <t>Inversores</t>
  </si>
  <si>
    <t>Co-Fundador 1</t>
  </si>
  <si>
    <t>Co-Fundador 2</t>
  </si>
  <si>
    <t>Inversor 1</t>
  </si>
  <si>
    <t>Inversor 2</t>
  </si>
  <si>
    <t>Otro</t>
  </si>
  <si>
    <t>Total Inversión</t>
  </si>
  <si>
    <t>Préstamos</t>
  </si>
  <si>
    <t>Préstamos del Banco 1</t>
  </si>
  <si>
    <t>Préstamos del Banco 2</t>
  </si>
  <si>
    <t>Préstamo no bancario</t>
  </si>
  <si>
    <t>Total Préstamos</t>
  </si>
  <si>
    <t>Otro Financiamiento</t>
  </si>
  <si>
    <t>Subvención Estado</t>
  </si>
  <si>
    <t>Otros</t>
  </si>
  <si>
    <t>Total Otro Financiamiento</t>
  </si>
  <si>
    <t>Total Financiamiento</t>
  </si>
  <si>
    <t>Costos</t>
  </si>
  <si>
    <t>Costos de única vez</t>
  </si>
  <si>
    <t>Publicidad por apertura</t>
  </si>
  <si>
    <t>Sitio online del negocio</t>
  </si>
  <si>
    <t>Desarrollo de la Marca</t>
  </si>
  <si>
    <t>Remodelaje de Inmueble</t>
  </si>
  <si>
    <t>Tarjetas de Negocio</t>
  </si>
  <si>
    <t>Licencias y permisos</t>
  </si>
  <si>
    <t xml:space="preserve">Compras de Hardware y Software </t>
  </si>
  <si>
    <t>Decoración</t>
  </si>
  <si>
    <t>Tarifas de servicios Legales</t>
  </si>
  <si>
    <t>Máquinas y equipamiento</t>
  </si>
  <si>
    <t>Muebles de oficina</t>
  </si>
  <si>
    <t>Efectivo Operativo (Capital de trabajo)</t>
  </si>
  <si>
    <t>Punto de venta de Software/Hardware (Posnet)</t>
  </si>
  <si>
    <t>Reserva por contigencias</t>
  </si>
  <si>
    <t>Instalación de sistema de seguridad</t>
  </si>
  <si>
    <t>Configuración, instalación y servicios de consultoría</t>
  </si>
  <si>
    <t>Cartel</t>
  </si>
  <si>
    <t>Inventario Inicial</t>
  </si>
  <si>
    <t>Teléfono</t>
  </si>
  <si>
    <t>Herramientas y  suministros varios</t>
  </si>
  <si>
    <t>Viajes</t>
  </si>
  <si>
    <t>Vehículo</t>
  </si>
  <si>
    <t>Otros 1</t>
  </si>
  <si>
    <t>Costos Fijos Totales</t>
  </si>
  <si>
    <t>Costo Mensual Promedio</t>
  </si>
  <si>
    <t>Salario Fundadores</t>
  </si>
  <si>
    <t>Salario Empleados</t>
  </si>
  <si>
    <t>Publicidad (internet, diarios, etc)</t>
  </si>
  <si>
    <t>Seguro de negocio</t>
  </si>
  <si>
    <t>Seguro de vehículos</t>
  </si>
  <si>
    <t>Conexión de internet</t>
  </si>
  <si>
    <t>Crédito y Préstamos intereses y monto</t>
  </si>
  <si>
    <t>Servicios legales y contables</t>
  </si>
  <si>
    <t>Suministros</t>
  </si>
  <si>
    <t>Gastos relacionados al sitio web</t>
  </si>
  <si>
    <t>Número de meses</t>
  </si>
  <si>
    <t>Total Costo mensual Promedio</t>
  </si>
  <si>
    <t>Costos Totales</t>
  </si>
  <si>
    <t>Resultado de la estimación Inversión vs Costos</t>
  </si>
  <si>
    <t>Presupuesto Inicial de Emprendimiento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</si>
</sst>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&quot;$&quot;\ \-#,##0.00"/>
    <numFmt numFmtId="164" formatCode="_(&quot;$&quot;* #,##0.00_);_(&quot;$&quot;* \(#,##0.00\);_(&quot;$&quot;* &quot;-&quot;??_);_(@_)"/>
    <numFmt numFmtId="165" formatCode="&quot;$&quot;\ #,##0.00"/>
    <numFmt numFmtId="166" formatCode="&quot;$&quot;#,##0.00"/>
    <numFmt numFmtId="167" formatCode="_(&quot;$&quot;* #,##0_);_(&quot;$&quot;* \(#,##0\);_(&quot;$&quot;* &quot;-&quot;_);_(@_)"/>
    <numFmt numFmtId="168" formatCode="_(* #,##0_);_(* \(#,##0\);_(* &quot;-&quot;_);_(@_)"/>
  </numFmts>
  <fonts count="2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7C187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 val="double"/>
      <sz val="11"/>
      <color theme="8" tint="-0.249977111117893"/>
      <name val="Calibri"/>
      <family val="2"/>
      <scheme val="minor"/>
    </font>
    <font>
      <u/>
      <sz val="10"/>
      <color indexed="12"/>
      <name val="Verdana"/>
      <family val="2"/>
    </font>
    <font>
      <i/>
      <u/>
      <sz val="11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3"/>
      <color rgb="FF00808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6"/>
      <name val="Calibri"/>
      <family val="2"/>
      <scheme val="minor"/>
    </font>
    <font>
      <sz val="10"/>
      <name val="Verdana"/>
      <family val="2"/>
    </font>
    <font>
      <b/>
      <i/>
      <sz val="1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i/>
      <sz val="12"/>
      <color rgb="FF008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9"/>
      </bottom>
      <diagonal/>
    </border>
    <border>
      <left/>
      <right/>
      <top style="thin">
        <color rgb="FF008080"/>
      </top>
      <bottom style="double">
        <color rgb="FF008080"/>
      </bottom>
      <diagonal/>
    </border>
  </borders>
  <cellStyleXfs count="6">
    <xf numFmtId="0" fontId="0" fillId="0" borderId="0"/>
    <xf numFmtId="164" fontId="18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2" borderId="0" xfId="4" applyFont="1" applyFill="1"/>
    <xf numFmtId="0" fontId="5" fillId="0" borderId="0" xfId="0" applyFont="1"/>
    <xf numFmtId="0" fontId="6" fillId="3" borderId="0" xfId="4" applyFont="1" applyFill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/>
    <xf numFmtId="0" fontId="5" fillId="0" borderId="0" xfId="0" applyFont="1" applyAlignment="1">
      <alignment wrapText="1"/>
    </xf>
    <xf numFmtId="0" fontId="10" fillId="0" borderId="0" xfId="5" applyFont="1" applyAlignment="1" applyProtection="1"/>
    <xf numFmtId="0" fontId="11" fillId="0" borderId="0" xfId="0" applyFont="1"/>
    <xf numFmtId="0" fontId="1" fillId="2" borderId="0" xfId="4" applyFont="1" applyFill="1"/>
    <xf numFmtId="0" fontId="11" fillId="0" borderId="0" xfId="0" applyFont="1" applyBorder="1" applyProtection="1"/>
    <xf numFmtId="0" fontId="13" fillId="0" borderId="0" xfId="0" applyFont="1" applyBorder="1" applyAlignment="1" applyProtection="1">
      <alignment vertical="center"/>
      <protection locked="0"/>
    </xf>
    <xf numFmtId="0" fontId="13" fillId="0" borderId="0" xfId="0" applyFont="1" applyBorder="1" applyAlignment="1" applyProtection="1">
      <alignment vertical="center"/>
    </xf>
    <xf numFmtId="0" fontId="14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protection locked="0"/>
    </xf>
    <xf numFmtId="0" fontId="11" fillId="0" borderId="0" xfId="0" applyFont="1" applyBorder="1" applyAlignment="1" applyProtection="1"/>
    <xf numFmtId="0" fontId="11" fillId="0" borderId="0" xfId="0" applyFont="1" applyBorder="1" applyProtection="1">
      <protection locked="0"/>
    </xf>
    <xf numFmtId="0" fontId="3" fillId="0" borderId="1" xfId="2" applyFill="1" applyAlignment="1" applyProtection="1">
      <alignment horizontal="left" vertical="center"/>
    </xf>
    <xf numFmtId="0" fontId="3" fillId="0" borderId="1" xfId="2" applyFill="1" applyAlignment="1" applyProtection="1">
      <alignment horizontal="center" vertical="center"/>
    </xf>
    <xf numFmtId="0" fontId="11" fillId="0" borderId="0" xfId="0" applyFont="1" applyFill="1" applyBorder="1" applyAlignment="1" applyProtection="1"/>
    <xf numFmtId="0" fontId="15" fillId="0" borderId="0" xfId="5" applyFont="1" applyBorder="1" applyAlignment="1" applyProtection="1"/>
    <xf numFmtId="0" fontId="16" fillId="0" borderId="0" xfId="0" applyFont="1" applyBorder="1" applyProtection="1"/>
    <xf numFmtId="0" fontId="11" fillId="0" borderId="0" xfId="0" applyFont="1" applyBorder="1" applyAlignment="1" applyProtection="1">
      <alignment horizontal="center"/>
    </xf>
    <xf numFmtId="0" fontId="17" fillId="0" borderId="0" xfId="0" applyFont="1" applyFill="1" applyBorder="1" applyAlignment="1" applyProtection="1">
      <alignment horizontal="center"/>
    </xf>
    <xf numFmtId="165" fontId="11" fillId="0" borderId="0" xfId="1" applyNumberFormat="1" applyFont="1" applyBorder="1" applyAlignment="1" applyProtection="1">
      <alignment horizontal="center"/>
      <protection locked="0"/>
    </xf>
    <xf numFmtId="8" fontId="11" fillId="0" borderId="0" xfId="1" applyNumberFormat="1" applyFont="1" applyFill="1" applyBorder="1" applyAlignment="1" applyProtection="1">
      <alignment horizontal="center"/>
    </xf>
    <xf numFmtId="0" fontId="19" fillId="0" borderId="0" xfId="0" applyFont="1" applyFill="1" applyBorder="1" applyAlignment="1" applyProtection="1">
      <alignment horizontal="right"/>
    </xf>
    <xf numFmtId="165" fontId="19" fillId="0" borderId="0" xfId="0" applyNumberFormat="1" applyFont="1" applyFill="1" applyBorder="1" applyAlignment="1" applyProtection="1">
      <alignment horizontal="center"/>
    </xf>
    <xf numFmtId="0" fontId="11" fillId="0" borderId="0" xfId="0" applyFont="1" applyFill="1" applyBorder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>
      <alignment horizontal="right"/>
    </xf>
    <xf numFmtId="165" fontId="16" fillId="0" borderId="0" xfId="0" applyNumberFormat="1" applyFont="1" applyFill="1" applyBorder="1" applyAlignment="1" applyProtection="1">
      <alignment horizontal="center"/>
    </xf>
    <xf numFmtId="165" fontId="20" fillId="0" borderId="1" xfId="2" applyNumberFormat="1" applyFont="1" applyFill="1" applyAlignment="1" applyProtection="1">
      <alignment horizontal="center"/>
      <protection locked="0"/>
    </xf>
    <xf numFmtId="165" fontId="20" fillId="0" borderId="1" xfId="2" applyNumberFormat="1" applyFont="1" applyFill="1" applyAlignment="1" applyProtection="1">
      <alignment horizontal="center"/>
    </xf>
    <xf numFmtId="0" fontId="11" fillId="0" borderId="0" xfId="0" applyFont="1" applyBorder="1" applyAlignment="1" applyProtection="1">
      <alignment horizontal="right"/>
    </xf>
    <xf numFmtId="0" fontId="22" fillId="0" borderId="5" xfId="2" applyFont="1" applyFill="1" applyBorder="1" applyAlignment="1" applyProtection="1">
      <alignment horizontal="left" vertical="center"/>
    </xf>
    <xf numFmtId="0" fontId="22" fillId="0" borderId="5" xfId="2" applyFont="1" applyFill="1" applyBorder="1" applyAlignment="1" applyProtection="1">
      <alignment horizontal="center" vertical="center"/>
    </xf>
    <xf numFmtId="167" fontId="11" fillId="0" borderId="0" xfId="0" applyNumberFormat="1" applyFont="1" applyBorder="1" applyProtection="1"/>
    <xf numFmtId="168" fontId="16" fillId="0" borderId="0" xfId="0" applyNumberFormat="1" applyFont="1" applyFill="1" applyBorder="1" applyProtection="1"/>
    <xf numFmtId="168" fontId="11" fillId="0" borderId="0" xfId="1" applyNumberFormat="1" applyFont="1" applyBorder="1" applyAlignment="1" applyProtection="1">
      <protection locked="0"/>
    </xf>
    <xf numFmtId="168" fontId="11" fillId="0" borderId="0" xfId="1" applyNumberFormat="1" applyFont="1" applyFill="1" applyBorder="1" applyAlignment="1" applyProtection="1">
      <alignment horizontal="right"/>
    </xf>
    <xf numFmtId="0" fontId="16" fillId="0" borderId="0" xfId="0" applyFont="1" applyBorder="1" applyAlignment="1" applyProtection="1">
      <alignment horizontal="right"/>
    </xf>
    <xf numFmtId="1" fontId="11" fillId="0" borderId="0" xfId="1" applyNumberFormat="1" applyFont="1" applyBorder="1" applyAlignment="1" applyProtection="1">
      <alignment horizontal="center"/>
      <protection locked="0"/>
    </xf>
    <xf numFmtId="165" fontId="16" fillId="0" borderId="5" xfId="0" applyNumberFormat="1" applyFont="1" applyFill="1" applyBorder="1" applyAlignment="1" applyProtection="1">
      <alignment horizontal="center"/>
    </xf>
    <xf numFmtId="165" fontId="16" fillId="0" borderId="5" xfId="1" applyNumberFormat="1" applyFont="1" applyFill="1" applyBorder="1" applyAlignment="1" applyProtection="1">
      <alignment horizontal="center"/>
    </xf>
    <xf numFmtId="0" fontId="22" fillId="0" borderId="0" xfId="2" applyFont="1" applyFill="1" applyBorder="1" applyAlignment="1" applyProtection="1">
      <alignment horizontal="left" vertical="center"/>
    </xf>
    <xf numFmtId="165" fontId="16" fillId="0" borderId="0" xfId="1" applyNumberFormat="1" applyFont="1" applyFill="1" applyBorder="1" applyAlignment="1" applyProtection="1">
      <alignment horizontal="center"/>
    </xf>
    <xf numFmtId="165" fontId="23" fillId="0" borderId="6" xfId="3" applyNumberFormat="1" applyFont="1" applyFill="1" applyBorder="1" applyAlignment="1" applyProtection="1">
      <alignment horizontal="center"/>
    </xf>
    <xf numFmtId="0" fontId="7" fillId="0" borderId="0" xfId="0" applyFont="1" applyAlignment="1">
      <alignment horizontal="center"/>
    </xf>
    <xf numFmtId="0" fontId="12" fillId="0" borderId="3" xfId="2" applyFont="1" applyBorder="1" applyAlignment="1" applyProtection="1">
      <alignment horizontal="center" vertical="center"/>
      <protection locked="0"/>
    </xf>
    <xf numFmtId="0" fontId="20" fillId="0" borderId="1" xfId="2" applyFont="1" applyFill="1" applyAlignment="1" applyProtection="1">
      <alignment horizontal="left"/>
    </xf>
    <xf numFmtId="166" fontId="21" fillId="4" borderId="4" xfId="0" applyNumberFormat="1" applyFont="1" applyFill="1" applyBorder="1" applyAlignment="1">
      <alignment horizontal="right" vertical="center"/>
    </xf>
    <xf numFmtId="0" fontId="23" fillId="0" borderId="6" xfId="3" applyFont="1" applyFill="1" applyBorder="1" applyAlignment="1" applyProtection="1">
      <alignment horizontal="left"/>
    </xf>
  </cellXfs>
  <cellStyles count="6">
    <cellStyle name="Hipervínculo" xfId="5" builtinId="8"/>
    <cellStyle name="Moneda" xfId="1" builtinId="4"/>
    <cellStyle name="Normal" xfId="0" builtinId="0"/>
    <cellStyle name="Normal 2" xfId="4" xr:uid="{7A8B05DB-C887-4DAC-BFFC-0122F1A86AAA}"/>
    <cellStyle name="Título 2" xfId="2" builtinId="17"/>
    <cellStyle name="Total" xfId="3" builtinId="2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0</xdr:rowOff>
    </xdr:from>
    <xdr:to>
      <xdr:col>9</xdr:col>
      <xdr:colOff>228600</xdr:colOff>
      <xdr:row>0</xdr:row>
      <xdr:rowOff>254000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260EB-071A-44A1-BC6A-59B2D360AAA6}"/>
            </a:ext>
          </a:extLst>
        </xdr:cNvPr>
        <xdr:cNvSpPr txBox="1"/>
      </xdr:nvSpPr>
      <xdr:spPr>
        <a:xfrm>
          <a:off x="781050" y="0"/>
          <a:ext cx="55626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b">
          <a:noAutofit/>
        </a:bodyPr>
        <a:lstStyle/>
        <a:p>
          <a:pPr algn="l"/>
          <a:r>
            <a:rPr lang="es-AR" sz="1000" b="0">
              <a:solidFill>
                <a:srgbClr val="00B050"/>
              </a:solidFill>
              <a:latin typeface="+mn-lt"/>
            </a:rPr>
            <a:t>PlanillaExcel.com</a:t>
          </a:r>
          <a:r>
            <a:rPr lang="es-AR" sz="1000" b="1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</a:t>
          </a:r>
          <a:r>
            <a:rPr lang="es-AR" sz="1100" b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Presupuesto  Inicial de emprendimiento</a:t>
          </a:r>
          <a:r>
            <a:rPr lang="es-AR" sz="1000" b="0">
              <a:solidFill>
                <a:schemeClr val="bg1">
                  <a:lumMod val="85000"/>
                </a:schemeClr>
              </a:solidFill>
              <a:latin typeface="+mn-lt"/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</a:t>
          </a:r>
          <a:r>
            <a:rPr lang="es-AR" sz="11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AYUDA </a:t>
          </a:r>
          <a:r>
            <a:rPr lang="es-AR" sz="1100" b="0" i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0</xdr:row>
      <xdr:rowOff>38100</xdr:rowOff>
    </xdr:from>
    <xdr:to>
      <xdr:col>4</xdr:col>
      <xdr:colOff>800100</xdr:colOff>
      <xdr:row>0</xdr:row>
      <xdr:rowOff>292100</xdr:rowOff>
    </xdr:to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9426A-B105-4F54-A789-2A9AE8EDFCCE}"/>
            </a:ext>
          </a:extLst>
        </xdr:cNvPr>
        <xdr:cNvSpPr txBox="1"/>
      </xdr:nvSpPr>
      <xdr:spPr>
        <a:xfrm>
          <a:off x="504825" y="38100"/>
          <a:ext cx="55626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b">
          <a:noAutofit/>
        </a:bodyPr>
        <a:lstStyle/>
        <a:p>
          <a:pPr algn="l"/>
          <a:r>
            <a:rPr lang="es-AR" sz="1000" b="0">
              <a:solidFill>
                <a:srgbClr val="00B050"/>
              </a:solidFill>
              <a:latin typeface="+mn-lt"/>
            </a:rPr>
            <a:t>PlanillaExcel.com</a:t>
          </a:r>
          <a:r>
            <a:rPr lang="es-AR" sz="1000" b="1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</a:t>
          </a:r>
          <a:r>
            <a:rPr lang="es-AR" sz="1100" b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Presupuesto  Inicial de emprendimiento</a:t>
          </a:r>
          <a:r>
            <a:rPr lang="es-AR" sz="1000" b="0">
              <a:solidFill>
                <a:schemeClr val="bg1">
                  <a:lumMod val="85000"/>
                </a:schemeClr>
              </a:solidFill>
              <a:latin typeface="+mn-lt"/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</a:t>
          </a:r>
          <a:r>
            <a:rPr lang="es-AR" sz="11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AYUDA </a:t>
          </a:r>
          <a:r>
            <a:rPr lang="es-AR" sz="1100" b="0" i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88DB-D439-4A2A-A172-9836B9D81739}">
  <dimension ref="B1:L19"/>
  <sheetViews>
    <sheetView showGridLines="0" tabSelected="1" workbookViewId="0">
      <selection activeCell="E19" sqref="E19"/>
    </sheetView>
  </sheetViews>
  <sheetFormatPr baseColWidth="10" defaultRowHeight="12.75" x14ac:dyDescent="0.2"/>
  <cols>
    <col min="1" max="1" width="11.42578125" style="8"/>
    <col min="2" max="2" width="0.28515625" style="8" customWidth="1"/>
    <col min="3" max="10" width="11.42578125" style="8"/>
    <col min="11" max="11" width="15.85546875" style="8" customWidth="1"/>
    <col min="12" max="12" width="0.28515625" style="8" customWidth="1"/>
    <col min="13" max="257" width="11.42578125" style="8"/>
    <col min="258" max="258" width="0.28515625" style="8" customWidth="1"/>
    <col min="259" max="266" width="11.42578125" style="8"/>
    <col min="267" max="267" width="15.85546875" style="8" customWidth="1"/>
    <col min="268" max="268" width="0.28515625" style="8" customWidth="1"/>
    <col min="269" max="513" width="11.42578125" style="8"/>
    <col min="514" max="514" width="0.28515625" style="8" customWidth="1"/>
    <col min="515" max="522" width="11.42578125" style="8"/>
    <col min="523" max="523" width="15.85546875" style="8" customWidth="1"/>
    <col min="524" max="524" width="0.28515625" style="8" customWidth="1"/>
    <col min="525" max="769" width="11.42578125" style="8"/>
    <col min="770" max="770" width="0.28515625" style="8" customWidth="1"/>
    <col min="771" max="778" width="11.42578125" style="8"/>
    <col min="779" max="779" width="15.85546875" style="8" customWidth="1"/>
    <col min="780" max="780" width="0.28515625" style="8" customWidth="1"/>
    <col min="781" max="1025" width="11.42578125" style="8"/>
    <col min="1026" max="1026" width="0.28515625" style="8" customWidth="1"/>
    <col min="1027" max="1034" width="11.42578125" style="8"/>
    <col min="1035" max="1035" width="15.85546875" style="8" customWidth="1"/>
    <col min="1036" max="1036" width="0.28515625" style="8" customWidth="1"/>
    <col min="1037" max="1281" width="11.42578125" style="8"/>
    <col min="1282" max="1282" width="0.28515625" style="8" customWidth="1"/>
    <col min="1283" max="1290" width="11.42578125" style="8"/>
    <col min="1291" max="1291" width="15.85546875" style="8" customWidth="1"/>
    <col min="1292" max="1292" width="0.28515625" style="8" customWidth="1"/>
    <col min="1293" max="1537" width="11.42578125" style="8"/>
    <col min="1538" max="1538" width="0.28515625" style="8" customWidth="1"/>
    <col min="1539" max="1546" width="11.42578125" style="8"/>
    <col min="1547" max="1547" width="15.85546875" style="8" customWidth="1"/>
    <col min="1548" max="1548" width="0.28515625" style="8" customWidth="1"/>
    <col min="1549" max="1793" width="11.42578125" style="8"/>
    <col min="1794" max="1794" width="0.28515625" style="8" customWidth="1"/>
    <col min="1795" max="1802" width="11.42578125" style="8"/>
    <col min="1803" max="1803" width="15.85546875" style="8" customWidth="1"/>
    <col min="1804" max="1804" width="0.28515625" style="8" customWidth="1"/>
    <col min="1805" max="2049" width="11.42578125" style="8"/>
    <col min="2050" max="2050" width="0.28515625" style="8" customWidth="1"/>
    <col min="2051" max="2058" width="11.42578125" style="8"/>
    <col min="2059" max="2059" width="15.85546875" style="8" customWidth="1"/>
    <col min="2060" max="2060" width="0.28515625" style="8" customWidth="1"/>
    <col min="2061" max="2305" width="11.42578125" style="8"/>
    <col min="2306" max="2306" width="0.28515625" style="8" customWidth="1"/>
    <col min="2307" max="2314" width="11.42578125" style="8"/>
    <col min="2315" max="2315" width="15.85546875" style="8" customWidth="1"/>
    <col min="2316" max="2316" width="0.28515625" style="8" customWidth="1"/>
    <col min="2317" max="2561" width="11.42578125" style="8"/>
    <col min="2562" max="2562" width="0.28515625" style="8" customWidth="1"/>
    <col min="2563" max="2570" width="11.42578125" style="8"/>
    <col min="2571" max="2571" width="15.85546875" style="8" customWidth="1"/>
    <col min="2572" max="2572" width="0.28515625" style="8" customWidth="1"/>
    <col min="2573" max="2817" width="11.42578125" style="8"/>
    <col min="2818" max="2818" width="0.28515625" style="8" customWidth="1"/>
    <col min="2819" max="2826" width="11.42578125" style="8"/>
    <col min="2827" max="2827" width="15.85546875" style="8" customWidth="1"/>
    <col min="2828" max="2828" width="0.28515625" style="8" customWidth="1"/>
    <col min="2829" max="3073" width="11.42578125" style="8"/>
    <col min="3074" max="3074" width="0.28515625" style="8" customWidth="1"/>
    <col min="3075" max="3082" width="11.42578125" style="8"/>
    <col min="3083" max="3083" width="15.85546875" style="8" customWidth="1"/>
    <col min="3084" max="3084" width="0.28515625" style="8" customWidth="1"/>
    <col min="3085" max="3329" width="11.42578125" style="8"/>
    <col min="3330" max="3330" width="0.28515625" style="8" customWidth="1"/>
    <col min="3331" max="3338" width="11.42578125" style="8"/>
    <col min="3339" max="3339" width="15.85546875" style="8" customWidth="1"/>
    <col min="3340" max="3340" width="0.28515625" style="8" customWidth="1"/>
    <col min="3341" max="3585" width="11.42578125" style="8"/>
    <col min="3586" max="3586" width="0.28515625" style="8" customWidth="1"/>
    <col min="3587" max="3594" width="11.42578125" style="8"/>
    <col min="3595" max="3595" width="15.85546875" style="8" customWidth="1"/>
    <col min="3596" max="3596" width="0.28515625" style="8" customWidth="1"/>
    <col min="3597" max="3841" width="11.42578125" style="8"/>
    <col min="3842" max="3842" width="0.28515625" style="8" customWidth="1"/>
    <col min="3843" max="3850" width="11.42578125" style="8"/>
    <col min="3851" max="3851" width="15.85546875" style="8" customWidth="1"/>
    <col min="3852" max="3852" width="0.28515625" style="8" customWidth="1"/>
    <col min="3853" max="4097" width="11.42578125" style="8"/>
    <col min="4098" max="4098" width="0.28515625" style="8" customWidth="1"/>
    <col min="4099" max="4106" width="11.42578125" style="8"/>
    <col min="4107" max="4107" width="15.85546875" style="8" customWidth="1"/>
    <col min="4108" max="4108" width="0.28515625" style="8" customWidth="1"/>
    <col min="4109" max="4353" width="11.42578125" style="8"/>
    <col min="4354" max="4354" width="0.28515625" style="8" customWidth="1"/>
    <col min="4355" max="4362" width="11.42578125" style="8"/>
    <col min="4363" max="4363" width="15.85546875" style="8" customWidth="1"/>
    <col min="4364" max="4364" width="0.28515625" style="8" customWidth="1"/>
    <col min="4365" max="4609" width="11.42578125" style="8"/>
    <col min="4610" max="4610" width="0.28515625" style="8" customWidth="1"/>
    <col min="4611" max="4618" width="11.42578125" style="8"/>
    <col min="4619" max="4619" width="15.85546875" style="8" customWidth="1"/>
    <col min="4620" max="4620" width="0.28515625" style="8" customWidth="1"/>
    <col min="4621" max="4865" width="11.42578125" style="8"/>
    <col min="4866" max="4866" width="0.28515625" style="8" customWidth="1"/>
    <col min="4867" max="4874" width="11.42578125" style="8"/>
    <col min="4875" max="4875" width="15.85546875" style="8" customWidth="1"/>
    <col min="4876" max="4876" width="0.28515625" style="8" customWidth="1"/>
    <col min="4877" max="5121" width="11.42578125" style="8"/>
    <col min="5122" max="5122" width="0.28515625" style="8" customWidth="1"/>
    <col min="5123" max="5130" width="11.42578125" style="8"/>
    <col min="5131" max="5131" width="15.85546875" style="8" customWidth="1"/>
    <col min="5132" max="5132" width="0.28515625" style="8" customWidth="1"/>
    <col min="5133" max="5377" width="11.42578125" style="8"/>
    <col min="5378" max="5378" width="0.28515625" style="8" customWidth="1"/>
    <col min="5379" max="5386" width="11.42578125" style="8"/>
    <col min="5387" max="5387" width="15.85546875" style="8" customWidth="1"/>
    <col min="5388" max="5388" width="0.28515625" style="8" customWidth="1"/>
    <col min="5389" max="5633" width="11.42578125" style="8"/>
    <col min="5634" max="5634" width="0.28515625" style="8" customWidth="1"/>
    <col min="5635" max="5642" width="11.42578125" style="8"/>
    <col min="5643" max="5643" width="15.85546875" style="8" customWidth="1"/>
    <col min="5644" max="5644" width="0.28515625" style="8" customWidth="1"/>
    <col min="5645" max="5889" width="11.42578125" style="8"/>
    <col min="5890" max="5890" width="0.28515625" style="8" customWidth="1"/>
    <col min="5891" max="5898" width="11.42578125" style="8"/>
    <col min="5899" max="5899" width="15.85546875" style="8" customWidth="1"/>
    <col min="5900" max="5900" width="0.28515625" style="8" customWidth="1"/>
    <col min="5901" max="6145" width="11.42578125" style="8"/>
    <col min="6146" max="6146" width="0.28515625" style="8" customWidth="1"/>
    <col min="6147" max="6154" width="11.42578125" style="8"/>
    <col min="6155" max="6155" width="15.85546875" style="8" customWidth="1"/>
    <col min="6156" max="6156" width="0.28515625" style="8" customWidth="1"/>
    <col min="6157" max="6401" width="11.42578125" style="8"/>
    <col min="6402" max="6402" width="0.28515625" style="8" customWidth="1"/>
    <col min="6403" max="6410" width="11.42578125" style="8"/>
    <col min="6411" max="6411" width="15.85546875" style="8" customWidth="1"/>
    <col min="6412" max="6412" width="0.28515625" style="8" customWidth="1"/>
    <col min="6413" max="6657" width="11.42578125" style="8"/>
    <col min="6658" max="6658" width="0.28515625" style="8" customWidth="1"/>
    <col min="6659" max="6666" width="11.42578125" style="8"/>
    <col min="6667" max="6667" width="15.85546875" style="8" customWidth="1"/>
    <col min="6668" max="6668" width="0.28515625" style="8" customWidth="1"/>
    <col min="6669" max="6913" width="11.42578125" style="8"/>
    <col min="6914" max="6914" width="0.28515625" style="8" customWidth="1"/>
    <col min="6915" max="6922" width="11.42578125" style="8"/>
    <col min="6923" max="6923" width="15.85546875" style="8" customWidth="1"/>
    <col min="6924" max="6924" width="0.28515625" style="8" customWidth="1"/>
    <col min="6925" max="7169" width="11.42578125" style="8"/>
    <col min="7170" max="7170" width="0.28515625" style="8" customWidth="1"/>
    <col min="7171" max="7178" width="11.42578125" style="8"/>
    <col min="7179" max="7179" width="15.85546875" style="8" customWidth="1"/>
    <col min="7180" max="7180" width="0.28515625" style="8" customWidth="1"/>
    <col min="7181" max="7425" width="11.42578125" style="8"/>
    <col min="7426" max="7426" width="0.28515625" style="8" customWidth="1"/>
    <col min="7427" max="7434" width="11.42578125" style="8"/>
    <col min="7435" max="7435" width="15.85546875" style="8" customWidth="1"/>
    <col min="7436" max="7436" width="0.28515625" style="8" customWidth="1"/>
    <col min="7437" max="7681" width="11.42578125" style="8"/>
    <col min="7682" max="7682" width="0.28515625" style="8" customWidth="1"/>
    <col min="7683" max="7690" width="11.42578125" style="8"/>
    <col min="7691" max="7691" width="15.85546875" style="8" customWidth="1"/>
    <col min="7692" max="7692" width="0.28515625" style="8" customWidth="1"/>
    <col min="7693" max="7937" width="11.42578125" style="8"/>
    <col min="7938" max="7938" width="0.28515625" style="8" customWidth="1"/>
    <col min="7939" max="7946" width="11.42578125" style="8"/>
    <col min="7947" max="7947" width="15.85546875" style="8" customWidth="1"/>
    <col min="7948" max="7948" width="0.28515625" style="8" customWidth="1"/>
    <col min="7949" max="8193" width="11.42578125" style="8"/>
    <col min="8194" max="8194" width="0.28515625" style="8" customWidth="1"/>
    <col min="8195" max="8202" width="11.42578125" style="8"/>
    <col min="8203" max="8203" width="15.85546875" style="8" customWidth="1"/>
    <col min="8204" max="8204" width="0.28515625" style="8" customWidth="1"/>
    <col min="8205" max="8449" width="11.42578125" style="8"/>
    <col min="8450" max="8450" width="0.28515625" style="8" customWidth="1"/>
    <col min="8451" max="8458" width="11.42578125" style="8"/>
    <col min="8459" max="8459" width="15.85546875" style="8" customWidth="1"/>
    <col min="8460" max="8460" width="0.28515625" style="8" customWidth="1"/>
    <col min="8461" max="8705" width="11.42578125" style="8"/>
    <col min="8706" max="8706" width="0.28515625" style="8" customWidth="1"/>
    <col min="8707" max="8714" width="11.42578125" style="8"/>
    <col min="8715" max="8715" width="15.85546875" style="8" customWidth="1"/>
    <col min="8716" max="8716" width="0.28515625" style="8" customWidth="1"/>
    <col min="8717" max="8961" width="11.42578125" style="8"/>
    <col min="8962" max="8962" width="0.28515625" style="8" customWidth="1"/>
    <col min="8963" max="8970" width="11.42578125" style="8"/>
    <col min="8971" max="8971" width="15.85546875" style="8" customWidth="1"/>
    <col min="8972" max="8972" width="0.28515625" style="8" customWidth="1"/>
    <col min="8973" max="9217" width="11.42578125" style="8"/>
    <col min="9218" max="9218" width="0.28515625" style="8" customWidth="1"/>
    <col min="9219" max="9226" width="11.42578125" style="8"/>
    <col min="9227" max="9227" width="15.85546875" style="8" customWidth="1"/>
    <col min="9228" max="9228" width="0.28515625" style="8" customWidth="1"/>
    <col min="9229" max="9473" width="11.42578125" style="8"/>
    <col min="9474" max="9474" width="0.28515625" style="8" customWidth="1"/>
    <col min="9475" max="9482" width="11.42578125" style="8"/>
    <col min="9483" max="9483" width="15.85546875" style="8" customWidth="1"/>
    <col min="9484" max="9484" width="0.28515625" style="8" customWidth="1"/>
    <col min="9485" max="9729" width="11.42578125" style="8"/>
    <col min="9730" max="9730" width="0.28515625" style="8" customWidth="1"/>
    <col min="9731" max="9738" width="11.42578125" style="8"/>
    <col min="9739" max="9739" width="15.85546875" style="8" customWidth="1"/>
    <col min="9740" max="9740" width="0.28515625" style="8" customWidth="1"/>
    <col min="9741" max="9985" width="11.42578125" style="8"/>
    <col min="9986" max="9986" width="0.28515625" style="8" customWidth="1"/>
    <col min="9987" max="9994" width="11.42578125" style="8"/>
    <col min="9995" max="9995" width="15.85546875" style="8" customWidth="1"/>
    <col min="9996" max="9996" width="0.28515625" style="8" customWidth="1"/>
    <col min="9997" max="10241" width="11.42578125" style="8"/>
    <col min="10242" max="10242" width="0.28515625" style="8" customWidth="1"/>
    <col min="10243" max="10250" width="11.42578125" style="8"/>
    <col min="10251" max="10251" width="15.85546875" style="8" customWidth="1"/>
    <col min="10252" max="10252" width="0.28515625" style="8" customWidth="1"/>
    <col min="10253" max="10497" width="11.42578125" style="8"/>
    <col min="10498" max="10498" width="0.28515625" style="8" customWidth="1"/>
    <col min="10499" max="10506" width="11.42578125" style="8"/>
    <col min="10507" max="10507" width="15.85546875" style="8" customWidth="1"/>
    <col min="10508" max="10508" width="0.28515625" style="8" customWidth="1"/>
    <col min="10509" max="10753" width="11.42578125" style="8"/>
    <col min="10754" max="10754" width="0.28515625" style="8" customWidth="1"/>
    <col min="10755" max="10762" width="11.42578125" style="8"/>
    <col min="10763" max="10763" width="15.85546875" style="8" customWidth="1"/>
    <col min="10764" max="10764" width="0.28515625" style="8" customWidth="1"/>
    <col min="10765" max="11009" width="11.42578125" style="8"/>
    <col min="11010" max="11010" width="0.28515625" style="8" customWidth="1"/>
    <col min="11011" max="11018" width="11.42578125" style="8"/>
    <col min="11019" max="11019" width="15.85546875" style="8" customWidth="1"/>
    <col min="11020" max="11020" width="0.28515625" style="8" customWidth="1"/>
    <col min="11021" max="11265" width="11.42578125" style="8"/>
    <col min="11266" max="11266" width="0.28515625" style="8" customWidth="1"/>
    <col min="11267" max="11274" width="11.42578125" style="8"/>
    <col min="11275" max="11275" width="15.85546875" style="8" customWidth="1"/>
    <col min="11276" max="11276" width="0.28515625" style="8" customWidth="1"/>
    <col min="11277" max="11521" width="11.42578125" style="8"/>
    <col min="11522" max="11522" width="0.28515625" style="8" customWidth="1"/>
    <col min="11523" max="11530" width="11.42578125" style="8"/>
    <col min="11531" max="11531" width="15.85546875" style="8" customWidth="1"/>
    <col min="11532" max="11532" width="0.28515625" style="8" customWidth="1"/>
    <col min="11533" max="11777" width="11.42578125" style="8"/>
    <col min="11778" max="11778" width="0.28515625" style="8" customWidth="1"/>
    <col min="11779" max="11786" width="11.42578125" style="8"/>
    <col min="11787" max="11787" width="15.85546875" style="8" customWidth="1"/>
    <col min="11788" max="11788" width="0.28515625" style="8" customWidth="1"/>
    <col min="11789" max="12033" width="11.42578125" style="8"/>
    <col min="12034" max="12034" width="0.28515625" style="8" customWidth="1"/>
    <col min="12035" max="12042" width="11.42578125" style="8"/>
    <col min="12043" max="12043" width="15.85546875" style="8" customWidth="1"/>
    <col min="12044" max="12044" width="0.28515625" style="8" customWidth="1"/>
    <col min="12045" max="12289" width="11.42578125" style="8"/>
    <col min="12290" max="12290" width="0.28515625" style="8" customWidth="1"/>
    <col min="12291" max="12298" width="11.42578125" style="8"/>
    <col min="12299" max="12299" width="15.85546875" style="8" customWidth="1"/>
    <col min="12300" max="12300" width="0.28515625" style="8" customWidth="1"/>
    <col min="12301" max="12545" width="11.42578125" style="8"/>
    <col min="12546" max="12546" width="0.28515625" style="8" customWidth="1"/>
    <col min="12547" max="12554" width="11.42578125" style="8"/>
    <col min="12555" max="12555" width="15.85546875" style="8" customWidth="1"/>
    <col min="12556" max="12556" width="0.28515625" style="8" customWidth="1"/>
    <col min="12557" max="12801" width="11.42578125" style="8"/>
    <col min="12802" max="12802" width="0.28515625" style="8" customWidth="1"/>
    <col min="12803" max="12810" width="11.42578125" style="8"/>
    <col min="12811" max="12811" width="15.85546875" style="8" customWidth="1"/>
    <col min="12812" max="12812" width="0.28515625" style="8" customWidth="1"/>
    <col min="12813" max="13057" width="11.42578125" style="8"/>
    <col min="13058" max="13058" width="0.28515625" style="8" customWidth="1"/>
    <col min="13059" max="13066" width="11.42578125" style="8"/>
    <col min="13067" max="13067" width="15.85546875" style="8" customWidth="1"/>
    <col min="13068" max="13068" width="0.28515625" style="8" customWidth="1"/>
    <col min="13069" max="13313" width="11.42578125" style="8"/>
    <col min="13314" max="13314" width="0.28515625" style="8" customWidth="1"/>
    <col min="13315" max="13322" width="11.42578125" style="8"/>
    <col min="13323" max="13323" width="15.85546875" style="8" customWidth="1"/>
    <col min="13324" max="13324" width="0.28515625" style="8" customWidth="1"/>
    <col min="13325" max="13569" width="11.42578125" style="8"/>
    <col min="13570" max="13570" width="0.28515625" style="8" customWidth="1"/>
    <col min="13571" max="13578" width="11.42578125" style="8"/>
    <col min="13579" max="13579" width="15.85546875" style="8" customWidth="1"/>
    <col min="13580" max="13580" width="0.28515625" style="8" customWidth="1"/>
    <col min="13581" max="13825" width="11.42578125" style="8"/>
    <col min="13826" max="13826" width="0.28515625" style="8" customWidth="1"/>
    <col min="13827" max="13834" width="11.42578125" style="8"/>
    <col min="13835" max="13835" width="15.85546875" style="8" customWidth="1"/>
    <col min="13836" max="13836" width="0.28515625" style="8" customWidth="1"/>
    <col min="13837" max="14081" width="11.42578125" style="8"/>
    <col min="14082" max="14082" width="0.28515625" style="8" customWidth="1"/>
    <col min="14083" max="14090" width="11.42578125" style="8"/>
    <col min="14091" max="14091" width="15.85546875" style="8" customWidth="1"/>
    <col min="14092" max="14092" width="0.28515625" style="8" customWidth="1"/>
    <col min="14093" max="14337" width="11.42578125" style="8"/>
    <col min="14338" max="14338" width="0.28515625" style="8" customWidth="1"/>
    <col min="14339" max="14346" width="11.42578125" style="8"/>
    <col min="14347" max="14347" width="15.85546875" style="8" customWidth="1"/>
    <col min="14348" max="14348" width="0.28515625" style="8" customWidth="1"/>
    <col min="14349" max="14593" width="11.42578125" style="8"/>
    <col min="14594" max="14594" width="0.28515625" style="8" customWidth="1"/>
    <col min="14595" max="14602" width="11.42578125" style="8"/>
    <col min="14603" max="14603" width="15.85546875" style="8" customWidth="1"/>
    <col min="14604" max="14604" width="0.28515625" style="8" customWidth="1"/>
    <col min="14605" max="14849" width="11.42578125" style="8"/>
    <col min="14850" max="14850" width="0.28515625" style="8" customWidth="1"/>
    <col min="14851" max="14858" width="11.42578125" style="8"/>
    <col min="14859" max="14859" width="15.85546875" style="8" customWidth="1"/>
    <col min="14860" max="14860" width="0.28515625" style="8" customWidth="1"/>
    <col min="14861" max="15105" width="11.42578125" style="8"/>
    <col min="15106" max="15106" width="0.28515625" style="8" customWidth="1"/>
    <col min="15107" max="15114" width="11.42578125" style="8"/>
    <col min="15115" max="15115" width="15.85546875" style="8" customWidth="1"/>
    <col min="15116" max="15116" width="0.28515625" style="8" customWidth="1"/>
    <col min="15117" max="15361" width="11.42578125" style="8"/>
    <col min="15362" max="15362" width="0.28515625" style="8" customWidth="1"/>
    <col min="15363" max="15370" width="11.42578125" style="8"/>
    <col min="15371" max="15371" width="15.85546875" style="8" customWidth="1"/>
    <col min="15372" max="15372" width="0.28515625" style="8" customWidth="1"/>
    <col min="15373" max="15617" width="11.42578125" style="8"/>
    <col min="15618" max="15618" width="0.28515625" style="8" customWidth="1"/>
    <col min="15619" max="15626" width="11.42578125" style="8"/>
    <col min="15627" max="15627" width="15.85546875" style="8" customWidth="1"/>
    <col min="15628" max="15628" width="0.28515625" style="8" customWidth="1"/>
    <col min="15629" max="15873" width="11.42578125" style="8"/>
    <col min="15874" max="15874" width="0.28515625" style="8" customWidth="1"/>
    <col min="15875" max="15882" width="11.42578125" style="8"/>
    <col min="15883" max="15883" width="15.85546875" style="8" customWidth="1"/>
    <col min="15884" max="15884" width="0.28515625" style="8" customWidth="1"/>
    <col min="15885" max="16129" width="11.42578125" style="8"/>
    <col min="16130" max="16130" width="0.28515625" style="8" customWidth="1"/>
    <col min="16131" max="16138" width="11.42578125" style="8"/>
    <col min="16139" max="16139" width="15.85546875" style="8" customWidth="1"/>
    <col min="16140" max="16140" width="0.28515625" style="8" customWidth="1"/>
    <col min="16141" max="16384" width="11.42578125" style="8"/>
  </cols>
  <sheetData>
    <row r="1" spans="2:12" s="1" customFormat="1" ht="27.6" customHeight="1" x14ac:dyDescent="0.25"/>
    <row r="2" spans="2:12" s="2" customFormat="1" ht="15" x14ac:dyDescent="0.25"/>
    <row r="3" spans="2:12" s="2" customFormat="1" ht="2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s="2" customFormat="1" ht="15" x14ac:dyDescent="0.25">
      <c r="B4" s="3"/>
      <c r="C4" s="48" t="s">
        <v>0</v>
      </c>
      <c r="D4" s="48"/>
      <c r="E4" s="48"/>
      <c r="F4" s="48"/>
      <c r="G4" s="48"/>
      <c r="H4" s="48"/>
      <c r="I4" s="48"/>
      <c r="J4" s="48"/>
      <c r="K4" s="48"/>
      <c r="L4" s="3"/>
    </row>
    <row r="5" spans="2:12" s="2" customFormat="1" ht="15" x14ac:dyDescent="0.25">
      <c r="B5" s="3"/>
      <c r="C5" s="4" t="s">
        <v>1</v>
      </c>
      <c r="L5" s="3"/>
    </row>
    <row r="6" spans="2:12" s="2" customFormat="1" ht="4.5" customHeight="1" x14ac:dyDescent="0.25">
      <c r="B6" s="3"/>
      <c r="C6" s="4"/>
      <c r="L6" s="3"/>
    </row>
    <row r="7" spans="2:12" s="2" customFormat="1" ht="15" x14ac:dyDescent="0.25">
      <c r="B7" s="3"/>
      <c r="C7" s="5" t="s">
        <v>2</v>
      </c>
      <c r="D7" s="5"/>
      <c r="E7" s="6"/>
      <c r="F7" s="6"/>
      <c r="G7" s="6"/>
      <c r="H7" s="6"/>
      <c r="I7" s="6"/>
      <c r="J7" s="6"/>
      <c r="K7" s="6"/>
      <c r="L7" s="3"/>
    </row>
    <row r="8" spans="2:12" s="2" customFormat="1" ht="15" x14ac:dyDescent="0.25">
      <c r="B8" s="3"/>
      <c r="C8" s="5" t="s">
        <v>3</v>
      </c>
      <c r="D8" s="6"/>
      <c r="E8" s="6"/>
      <c r="F8" s="6"/>
      <c r="G8" s="6"/>
      <c r="H8" s="6"/>
      <c r="I8" s="6"/>
      <c r="J8" s="6"/>
      <c r="K8" s="6"/>
      <c r="L8" s="3"/>
    </row>
    <row r="9" spans="2:12" s="2" customFormat="1" ht="15" x14ac:dyDescent="0.25">
      <c r="B9" s="3"/>
      <c r="C9" s="5" t="s">
        <v>4</v>
      </c>
      <c r="L9" s="3"/>
    </row>
    <row r="10" spans="2:12" s="2" customFormat="1" ht="15" x14ac:dyDescent="0.25">
      <c r="B10" s="3"/>
      <c r="C10" s="5"/>
      <c r="L10" s="3"/>
    </row>
    <row r="11" spans="2:12" s="2" customFormat="1" ht="15" x14ac:dyDescent="0.25">
      <c r="B11" s="3"/>
      <c r="C11" s="4" t="s">
        <v>5</v>
      </c>
      <c r="L11" s="3"/>
    </row>
    <row r="12" spans="2:12" s="2" customFormat="1" ht="3.75" customHeight="1" x14ac:dyDescent="0.25">
      <c r="B12" s="3"/>
      <c r="C12" s="4"/>
      <c r="L12" s="3"/>
    </row>
    <row r="13" spans="2:12" s="2" customFormat="1" ht="15" x14ac:dyDescent="0.25">
      <c r="B13" s="3"/>
      <c r="C13" s="5" t="s">
        <v>6</v>
      </c>
      <c r="L13" s="3"/>
    </row>
    <row r="14" spans="2:12" s="2" customFormat="1" ht="15" x14ac:dyDescent="0.25">
      <c r="B14" s="3"/>
      <c r="C14" s="5" t="s">
        <v>7</v>
      </c>
      <c r="L14" s="3"/>
    </row>
    <row r="15" spans="2:12" s="2" customFormat="1" ht="15" x14ac:dyDescent="0.25">
      <c r="B15" s="3"/>
      <c r="C15" s="7"/>
      <c r="L15" s="3"/>
    </row>
    <row r="16" spans="2:12" s="2" customFormat="1" ht="2.25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3:3" s="2" customFormat="1" ht="15" customHeight="1" x14ac:dyDescent="0.25">
      <c r="C17" s="7"/>
    </row>
    <row r="18" spans="3:3" s="2" customFormat="1" ht="15" x14ac:dyDescent="0.25"/>
    <row r="19" spans="3:3" s="2" customFormat="1" ht="15" x14ac:dyDescent="0.25"/>
  </sheetData>
  <mergeCells count="1">
    <mergeCell ref="C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196C-C078-41EC-9C77-6EDD3433F666}">
  <sheetPr>
    <pageSetUpPr fitToPage="1"/>
  </sheetPr>
  <dimension ref="A1:G76"/>
  <sheetViews>
    <sheetView showGridLines="0" zoomScaleNormal="100" workbookViewId="0">
      <selection activeCell="G6" sqref="G6"/>
    </sheetView>
  </sheetViews>
  <sheetFormatPr baseColWidth="10" defaultColWidth="9.140625" defaultRowHeight="12.75" x14ac:dyDescent="0.2"/>
  <cols>
    <col min="1" max="1" width="7" style="10" customWidth="1"/>
    <col min="2" max="2" width="39.42578125" style="10" bestFit="1" customWidth="1"/>
    <col min="3" max="5" width="16.28515625" style="10" customWidth="1"/>
    <col min="6" max="6" width="5.85546875" style="10" customWidth="1"/>
    <col min="7" max="7" width="14.7109375" style="10" customWidth="1"/>
    <col min="8" max="256" width="9.140625" style="10"/>
    <col min="257" max="257" width="7" style="10" customWidth="1"/>
    <col min="258" max="258" width="39.42578125" style="10" bestFit="1" customWidth="1"/>
    <col min="259" max="261" width="16.28515625" style="10" customWidth="1"/>
    <col min="262" max="262" width="5.85546875" style="10" customWidth="1"/>
    <col min="263" max="263" width="14.7109375" style="10" customWidth="1"/>
    <col min="264" max="512" width="9.140625" style="10"/>
    <col min="513" max="513" width="7" style="10" customWidth="1"/>
    <col min="514" max="514" width="39.42578125" style="10" bestFit="1" customWidth="1"/>
    <col min="515" max="517" width="16.28515625" style="10" customWidth="1"/>
    <col min="518" max="518" width="5.85546875" style="10" customWidth="1"/>
    <col min="519" max="519" width="14.7109375" style="10" customWidth="1"/>
    <col min="520" max="768" width="9.140625" style="10"/>
    <col min="769" max="769" width="7" style="10" customWidth="1"/>
    <col min="770" max="770" width="39.42578125" style="10" bestFit="1" customWidth="1"/>
    <col min="771" max="773" width="16.28515625" style="10" customWidth="1"/>
    <col min="774" max="774" width="5.85546875" style="10" customWidth="1"/>
    <col min="775" max="775" width="14.7109375" style="10" customWidth="1"/>
    <col min="776" max="1024" width="9.140625" style="10"/>
    <col min="1025" max="1025" width="7" style="10" customWidth="1"/>
    <col min="1026" max="1026" width="39.42578125" style="10" bestFit="1" customWidth="1"/>
    <col min="1027" max="1029" width="16.28515625" style="10" customWidth="1"/>
    <col min="1030" max="1030" width="5.85546875" style="10" customWidth="1"/>
    <col min="1031" max="1031" width="14.7109375" style="10" customWidth="1"/>
    <col min="1032" max="1280" width="9.140625" style="10"/>
    <col min="1281" max="1281" width="7" style="10" customWidth="1"/>
    <col min="1282" max="1282" width="39.42578125" style="10" bestFit="1" customWidth="1"/>
    <col min="1283" max="1285" width="16.28515625" style="10" customWidth="1"/>
    <col min="1286" max="1286" width="5.85546875" style="10" customWidth="1"/>
    <col min="1287" max="1287" width="14.7109375" style="10" customWidth="1"/>
    <col min="1288" max="1536" width="9.140625" style="10"/>
    <col min="1537" max="1537" width="7" style="10" customWidth="1"/>
    <col min="1538" max="1538" width="39.42578125" style="10" bestFit="1" customWidth="1"/>
    <col min="1539" max="1541" width="16.28515625" style="10" customWidth="1"/>
    <col min="1542" max="1542" width="5.85546875" style="10" customWidth="1"/>
    <col min="1543" max="1543" width="14.7109375" style="10" customWidth="1"/>
    <col min="1544" max="1792" width="9.140625" style="10"/>
    <col min="1793" max="1793" width="7" style="10" customWidth="1"/>
    <col min="1794" max="1794" width="39.42578125" style="10" bestFit="1" customWidth="1"/>
    <col min="1795" max="1797" width="16.28515625" style="10" customWidth="1"/>
    <col min="1798" max="1798" width="5.85546875" style="10" customWidth="1"/>
    <col min="1799" max="1799" width="14.7109375" style="10" customWidth="1"/>
    <col min="1800" max="2048" width="9.140625" style="10"/>
    <col min="2049" max="2049" width="7" style="10" customWidth="1"/>
    <col min="2050" max="2050" width="39.42578125" style="10" bestFit="1" customWidth="1"/>
    <col min="2051" max="2053" width="16.28515625" style="10" customWidth="1"/>
    <col min="2054" max="2054" width="5.85546875" style="10" customWidth="1"/>
    <col min="2055" max="2055" width="14.7109375" style="10" customWidth="1"/>
    <col min="2056" max="2304" width="9.140625" style="10"/>
    <col min="2305" max="2305" width="7" style="10" customWidth="1"/>
    <col min="2306" max="2306" width="39.42578125" style="10" bestFit="1" customWidth="1"/>
    <col min="2307" max="2309" width="16.28515625" style="10" customWidth="1"/>
    <col min="2310" max="2310" width="5.85546875" style="10" customWidth="1"/>
    <col min="2311" max="2311" width="14.7109375" style="10" customWidth="1"/>
    <col min="2312" max="2560" width="9.140625" style="10"/>
    <col min="2561" max="2561" width="7" style="10" customWidth="1"/>
    <col min="2562" max="2562" width="39.42578125" style="10" bestFit="1" customWidth="1"/>
    <col min="2563" max="2565" width="16.28515625" style="10" customWidth="1"/>
    <col min="2566" max="2566" width="5.85546875" style="10" customWidth="1"/>
    <col min="2567" max="2567" width="14.7109375" style="10" customWidth="1"/>
    <col min="2568" max="2816" width="9.140625" style="10"/>
    <col min="2817" max="2817" width="7" style="10" customWidth="1"/>
    <col min="2818" max="2818" width="39.42578125" style="10" bestFit="1" customWidth="1"/>
    <col min="2819" max="2821" width="16.28515625" style="10" customWidth="1"/>
    <col min="2822" max="2822" width="5.85546875" style="10" customWidth="1"/>
    <col min="2823" max="2823" width="14.7109375" style="10" customWidth="1"/>
    <col min="2824" max="3072" width="9.140625" style="10"/>
    <col min="3073" max="3073" width="7" style="10" customWidth="1"/>
    <col min="3074" max="3074" width="39.42578125" style="10" bestFit="1" customWidth="1"/>
    <col min="3075" max="3077" width="16.28515625" style="10" customWidth="1"/>
    <col min="3078" max="3078" width="5.85546875" style="10" customWidth="1"/>
    <col min="3079" max="3079" width="14.7109375" style="10" customWidth="1"/>
    <col min="3080" max="3328" width="9.140625" style="10"/>
    <col min="3329" max="3329" width="7" style="10" customWidth="1"/>
    <col min="3330" max="3330" width="39.42578125" style="10" bestFit="1" customWidth="1"/>
    <col min="3331" max="3333" width="16.28515625" style="10" customWidth="1"/>
    <col min="3334" max="3334" width="5.85546875" style="10" customWidth="1"/>
    <col min="3335" max="3335" width="14.7109375" style="10" customWidth="1"/>
    <col min="3336" max="3584" width="9.140625" style="10"/>
    <col min="3585" max="3585" width="7" style="10" customWidth="1"/>
    <col min="3586" max="3586" width="39.42578125" style="10" bestFit="1" customWidth="1"/>
    <col min="3587" max="3589" width="16.28515625" style="10" customWidth="1"/>
    <col min="3590" max="3590" width="5.85546875" style="10" customWidth="1"/>
    <col min="3591" max="3591" width="14.7109375" style="10" customWidth="1"/>
    <col min="3592" max="3840" width="9.140625" style="10"/>
    <col min="3841" max="3841" width="7" style="10" customWidth="1"/>
    <col min="3842" max="3842" width="39.42578125" style="10" bestFit="1" customWidth="1"/>
    <col min="3843" max="3845" width="16.28515625" style="10" customWidth="1"/>
    <col min="3846" max="3846" width="5.85546875" style="10" customWidth="1"/>
    <col min="3847" max="3847" width="14.7109375" style="10" customWidth="1"/>
    <col min="3848" max="4096" width="9.140625" style="10"/>
    <col min="4097" max="4097" width="7" style="10" customWidth="1"/>
    <col min="4098" max="4098" width="39.42578125" style="10" bestFit="1" customWidth="1"/>
    <col min="4099" max="4101" width="16.28515625" style="10" customWidth="1"/>
    <col min="4102" max="4102" width="5.85546875" style="10" customWidth="1"/>
    <col min="4103" max="4103" width="14.7109375" style="10" customWidth="1"/>
    <col min="4104" max="4352" width="9.140625" style="10"/>
    <col min="4353" max="4353" width="7" style="10" customWidth="1"/>
    <col min="4354" max="4354" width="39.42578125" style="10" bestFit="1" customWidth="1"/>
    <col min="4355" max="4357" width="16.28515625" style="10" customWidth="1"/>
    <col min="4358" max="4358" width="5.85546875" style="10" customWidth="1"/>
    <col min="4359" max="4359" width="14.7109375" style="10" customWidth="1"/>
    <col min="4360" max="4608" width="9.140625" style="10"/>
    <col min="4609" max="4609" width="7" style="10" customWidth="1"/>
    <col min="4610" max="4610" width="39.42578125" style="10" bestFit="1" customWidth="1"/>
    <col min="4611" max="4613" width="16.28515625" style="10" customWidth="1"/>
    <col min="4614" max="4614" width="5.85546875" style="10" customWidth="1"/>
    <col min="4615" max="4615" width="14.7109375" style="10" customWidth="1"/>
    <col min="4616" max="4864" width="9.140625" style="10"/>
    <col min="4865" max="4865" width="7" style="10" customWidth="1"/>
    <col min="4866" max="4866" width="39.42578125" style="10" bestFit="1" customWidth="1"/>
    <col min="4867" max="4869" width="16.28515625" style="10" customWidth="1"/>
    <col min="4870" max="4870" width="5.85546875" style="10" customWidth="1"/>
    <col min="4871" max="4871" width="14.7109375" style="10" customWidth="1"/>
    <col min="4872" max="5120" width="9.140625" style="10"/>
    <col min="5121" max="5121" width="7" style="10" customWidth="1"/>
    <col min="5122" max="5122" width="39.42578125" style="10" bestFit="1" customWidth="1"/>
    <col min="5123" max="5125" width="16.28515625" style="10" customWidth="1"/>
    <col min="5126" max="5126" width="5.85546875" style="10" customWidth="1"/>
    <col min="5127" max="5127" width="14.7109375" style="10" customWidth="1"/>
    <col min="5128" max="5376" width="9.140625" style="10"/>
    <col min="5377" max="5377" width="7" style="10" customWidth="1"/>
    <col min="5378" max="5378" width="39.42578125" style="10" bestFit="1" customWidth="1"/>
    <col min="5379" max="5381" width="16.28515625" style="10" customWidth="1"/>
    <col min="5382" max="5382" width="5.85546875" style="10" customWidth="1"/>
    <col min="5383" max="5383" width="14.7109375" style="10" customWidth="1"/>
    <col min="5384" max="5632" width="9.140625" style="10"/>
    <col min="5633" max="5633" width="7" style="10" customWidth="1"/>
    <col min="5634" max="5634" width="39.42578125" style="10" bestFit="1" customWidth="1"/>
    <col min="5635" max="5637" width="16.28515625" style="10" customWidth="1"/>
    <col min="5638" max="5638" width="5.85546875" style="10" customWidth="1"/>
    <col min="5639" max="5639" width="14.7109375" style="10" customWidth="1"/>
    <col min="5640" max="5888" width="9.140625" style="10"/>
    <col min="5889" max="5889" width="7" style="10" customWidth="1"/>
    <col min="5890" max="5890" width="39.42578125" style="10" bestFit="1" customWidth="1"/>
    <col min="5891" max="5893" width="16.28515625" style="10" customWidth="1"/>
    <col min="5894" max="5894" width="5.85546875" style="10" customWidth="1"/>
    <col min="5895" max="5895" width="14.7109375" style="10" customWidth="1"/>
    <col min="5896" max="6144" width="9.140625" style="10"/>
    <col min="6145" max="6145" width="7" style="10" customWidth="1"/>
    <col min="6146" max="6146" width="39.42578125" style="10" bestFit="1" customWidth="1"/>
    <col min="6147" max="6149" width="16.28515625" style="10" customWidth="1"/>
    <col min="6150" max="6150" width="5.85546875" style="10" customWidth="1"/>
    <col min="6151" max="6151" width="14.7109375" style="10" customWidth="1"/>
    <col min="6152" max="6400" width="9.140625" style="10"/>
    <col min="6401" max="6401" width="7" style="10" customWidth="1"/>
    <col min="6402" max="6402" width="39.42578125" style="10" bestFit="1" customWidth="1"/>
    <col min="6403" max="6405" width="16.28515625" style="10" customWidth="1"/>
    <col min="6406" max="6406" width="5.85546875" style="10" customWidth="1"/>
    <col min="6407" max="6407" width="14.7109375" style="10" customWidth="1"/>
    <col min="6408" max="6656" width="9.140625" style="10"/>
    <col min="6657" max="6657" width="7" style="10" customWidth="1"/>
    <col min="6658" max="6658" width="39.42578125" style="10" bestFit="1" customWidth="1"/>
    <col min="6659" max="6661" width="16.28515625" style="10" customWidth="1"/>
    <col min="6662" max="6662" width="5.85546875" style="10" customWidth="1"/>
    <col min="6663" max="6663" width="14.7109375" style="10" customWidth="1"/>
    <col min="6664" max="6912" width="9.140625" style="10"/>
    <col min="6913" max="6913" width="7" style="10" customWidth="1"/>
    <col min="6914" max="6914" width="39.42578125" style="10" bestFit="1" customWidth="1"/>
    <col min="6915" max="6917" width="16.28515625" style="10" customWidth="1"/>
    <col min="6918" max="6918" width="5.85546875" style="10" customWidth="1"/>
    <col min="6919" max="6919" width="14.7109375" style="10" customWidth="1"/>
    <col min="6920" max="7168" width="9.140625" style="10"/>
    <col min="7169" max="7169" width="7" style="10" customWidth="1"/>
    <col min="7170" max="7170" width="39.42578125" style="10" bestFit="1" customWidth="1"/>
    <col min="7171" max="7173" width="16.28515625" style="10" customWidth="1"/>
    <col min="7174" max="7174" width="5.85546875" style="10" customWidth="1"/>
    <col min="7175" max="7175" width="14.7109375" style="10" customWidth="1"/>
    <col min="7176" max="7424" width="9.140625" style="10"/>
    <col min="7425" max="7425" width="7" style="10" customWidth="1"/>
    <col min="7426" max="7426" width="39.42578125" style="10" bestFit="1" customWidth="1"/>
    <col min="7427" max="7429" width="16.28515625" style="10" customWidth="1"/>
    <col min="7430" max="7430" width="5.85546875" style="10" customWidth="1"/>
    <col min="7431" max="7431" width="14.7109375" style="10" customWidth="1"/>
    <col min="7432" max="7680" width="9.140625" style="10"/>
    <col min="7681" max="7681" width="7" style="10" customWidth="1"/>
    <col min="7682" max="7682" width="39.42578125" style="10" bestFit="1" customWidth="1"/>
    <col min="7683" max="7685" width="16.28515625" style="10" customWidth="1"/>
    <col min="7686" max="7686" width="5.85546875" style="10" customWidth="1"/>
    <col min="7687" max="7687" width="14.7109375" style="10" customWidth="1"/>
    <col min="7688" max="7936" width="9.140625" style="10"/>
    <col min="7937" max="7937" width="7" style="10" customWidth="1"/>
    <col min="7938" max="7938" width="39.42578125" style="10" bestFit="1" customWidth="1"/>
    <col min="7939" max="7941" width="16.28515625" style="10" customWidth="1"/>
    <col min="7942" max="7942" width="5.85546875" style="10" customWidth="1"/>
    <col min="7943" max="7943" width="14.7109375" style="10" customWidth="1"/>
    <col min="7944" max="8192" width="9.140625" style="10"/>
    <col min="8193" max="8193" width="7" style="10" customWidth="1"/>
    <col min="8194" max="8194" width="39.42578125" style="10" bestFit="1" customWidth="1"/>
    <col min="8195" max="8197" width="16.28515625" style="10" customWidth="1"/>
    <col min="8198" max="8198" width="5.85546875" style="10" customWidth="1"/>
    <col min="8199" max="8199" width="14.7109375" style="10" customWidth="1"/>
    <col min="8200" max="8448" width="9.140625" style="10"/>
    <col min="8449" max="8449" width="7" style="10" customWidth="1"/>
    <col min="8450" max="8450" width="39.42578125" style="10" bestFit="1" customWidth="1"/>
    <col min="8451" max="8453" width="16.28515625" style="10" customWidth="1"/>
    <col min="8454" max="8454" width="5.85546875" style="10" customWidth="1"/>
    <col min="8455" max="8455" width="14.7109375" style="10" customWidth="1"/>
    <col min="8456" max="8704" width="9.140625" style="10"/>
    <col min="8705" max="8705" width="7" style="10" customWidth="1"/>
    <col min="8706" max="8706" width="39.42578125" style="10" bestFit="1" customWidth="1"/>
    <col min="8707" max="8709" width="16.28515625" style="10" customWidth="1"/>
    <col min="8710" max="8710" width="5.85546875" style="10" customWidth="1"/>
    <col min="8711" max="8711" width="14.7109375" style="10" customWidth="1"/>
    <col min="8712" max="8960" width="9.140625" style="10"/>
    <col min="8961" max="8961" width="7" style="10" customWidth="1"/>
    <col min="8962" max="8962" width="39.42578125" style="10" bestFit="1" customWidth="1"/>
    <col min="8963" max="8965" width="16.28515625" style="10" customWidth="1"/>
    <col min="8966" max="8966" width="5.85546875" style="10" customWidth="1"/>
    <col min="8967" max="8967" width="14.7109375" style="10" customWidth="1"/>
    <col min="8968" max="9216" width="9.140625" style="10"/>
    <col min="9217" max="9217" width="7" style="10" customWidth="1"/>
    <col min="9218" max="9218" width="39.42578125" style="10" bestFit="1" customWidth="1"/>
    <col min="9219" max="9221" width="16.28515625" style="10" customWidth="1"/>
    <col min="9222" max="9222" width="5.85546875" style="10" customWidth="1"/>
    <col min="9223" max="9223" width="14.7109375" style="10" customWidth="1"/>
    <col min="9224" max="9472" width="9.140625" style="10"/>
    <col min="9473" max="9473" width="7" style="10" customWidth="1"/>
    <col min="9474" max="9474" width="39.42578125" style="10" bestFit="1" customWidth="1"/>
    <col min="9475" max="9477" width="16.28515625" style="10" customWidth="1"/>
    <col min="9478" max="9478" width="5.85546875" style="10" customWidth="1"/>
    <col min="9479" max="9479" width="14.7109375" style="10" customWidth="1"/>
    <col min="9480" max="9728" width="9.140625" style="10"/>
    <col min="9729" max="9729" width="7" style="10" customWidth="1"/>
    <col min="9730" max="9730" width="39.42578125" style="10" bestFit="1" customWidth="1"/>
    <col min="9731" max="9733" width="16.28515625" style="10" customWidth="1"/>
    <col min="9734" max="9734" width="5.85546875" style="10" customWidth="1"/>
    <col min="9735" max="9735" width="14.7109375" style="10" customWidth="1"/>
    <col min="9736" max="9984" width="9.140625" style="10"/>
    <col min="9985" max="9985" width="7" style="10" customWidth="1"/>
    <col min="9986" max="9986" width="39.42578125" style="10" bestFit="1" customWidth="1"/>
    <col min="9987" max="9989" width="16.28515625" style="10" customWidth="1"/>
    <col min="9990" max="9990" width="5.85546875" style="10" customWidth="1"/>
    <col min="9991" max="9991" width="14.7109375" style="10" customWidth="1"/>
    <col min="9992" max="10240" width="9.140625" style="10"/>
    <col min="10241" max="10241" width="7" style="10" customWidth="1"/>
    <col min="10242" max="10242" width="39.42578125" style="10" bestFit="1" customWidth="1"/>
    <col min="10243" max="10245" width="16.28515625" style="10" customWidth="1"/>
    <col min="10246" max="10246" width="5.85546875" style="10" customWidth="1"/>
    <col min="10247" max="10247" width="14.7109375" style="10" customWidth="1"/>
    <col min="10248" max="10496" width="9.140625" style="10"/>
    <col min="10497" max="10497" width="7" style="10" customWidth="1"/>
    <col min="10498" max="10498" width="39.42578125" style="10" bestFit="1" customWidth="1"/>
    <col min="10499" max="10501" width="16.28515625" style="10" customWidth="1"/>
    <col min="10502" max="10502" width="5.85546875" style="10" customWidth="1"/>
    <col min="10503" max="10503" width="14.7109375" style="10" customWidth="1"/>
    <col min="10504" max="10752" width="9.140625" style="10"/>
    <col min="10753" max="10753" width="7" style="10" customWidth="1"/>
    <col min="10754" max="10754" width="39.42578125" style="10" bestFit="1" customWidth="1"/>
    <col min="10755" max="10757" width="16.28515625" style="10" customWidth="1"/>
    <col min="10758" max="10758" width="5.85546875" style="10" customWidth="1"/>
    <col min="10759" max="10759" width="14.7109375" style="10" customWidth="1"/>
    <col min="10760" max="11008" width="9.140625" style="10"/>
    <col min="11009" max="11009" width="7" style="10" customWidth="1"/>
    <col min="11010" max="11010" width="39.42578125" style="10" bestFit="1" customWidth="1"/>
    <col min="11011" max="11013" width="16.28515625" style="10" customWidth="1"/>
    <col min="11014" max="11014" width="5.85546875" style="10" customWidth="1"/>
    <col min="11015" max="11015" width="14.7109375" style="10" customWidth="1"/>
    <col min="11016" max="11264" width="9.140625" style="10"/>
    <col min="11265" max="11265" width="7" style="10" customWidth="1"/>
    <col min="11266" max="11266" width="39.42578125" style="10" bestFit="1" customWidth="1"/>
    <col min="11267" max="11269" width="16.28515625" style="10" customWidth="1"/>
    <col min="11270" max="11270" width="5.85546875" style="10" customWidth="1"/>
    <col min="11271" max="11271" width="14.7109375" style="10" customWidth="1"/>
    <col min="11272" max="11520" width="9.140625" style="10"/>
    <col min="11521" max="11521" width="7" style="10" customWidth="1"/>
    <col min="11522" max="11522" width="39.42578125" style="10" bestFit="1" customWidth="1"/>
    <col min="11523" max="11525" width="16.28515625" style="10" customWidth="1"/>
    <col min="11526" max="11526" width="5.85546875" style="10" customWidth="1"/>
    <col min="11527" max="11527" width="14.7109375" style="10" customWidth="1"/>
    <col min="11528" max="11776" width="9.140625" style="10"/>
    <col min="11777" max="11777" width="7" style="10" customWidth="1"/>
    <col min="11778" max="11778" width="39.42578125" style="10" bestFit="1" customWidth="1"/>
    <col min="11779" max="11781" width="16.28515625" style="10" customWidth="1"/>
    <col min="11782" max="11782" width="5.85546875" style="10" customWidth="1"/>
    <col min="11783" max="11783" width="14.7109375" style="10" customWidth="1"/>
    <col min="11784" max="12032" width="9.140625" style="10"/>
    <col min="12033" max="12033" width="7" style="10" customWidth="1"/>
    <col min="12034" max="12034" width="39.42578125" style="10" bestFit="1" customWidth="1"/>
    <col min="12035" max="12037" width="16.28515625" style="10" customWidth="1"/>
    <col min="12038" max="12038" width="5.85546875" style="10" customWidth="1"/>
    <col min="12039" max="12039" width="14.7109375" style="10" customWidth="1"/>
    <col min="12040" max="12288" width="9.140625" style="10"/>
    <col min="12289" max="12289" width="7" style="10" customWidth="1"/>
    <col min="12290" max="12290" width="39.42578125" style="10" bestFit="1" customWidth="1"/>
    <col min="12291" max="12293" width="16.28515625" style="10" customWidth="1"/>
    <col min="12294" max="12294" width="5.85546875" style="10" customWidth="1"/>
    <col min="12295" max="12295" width="14.7109375" style="10" customWidth="1"/>
    <col min="12296" max="12544" width="9.140625" style="10"/>
    <col min="12545" max="12545" width="7" style="10" customWidth="1"/>
    <col min="12546" max="12546" width="39.42578125" style="10" bestFit="1" customWidth="1"/>
    <col min="12547" max="12549" width="16.28515625" style="10" customWidth="1"/>
    <col min="12550" max="12550" width="5.85546875" style="10" customWidth="1"/>
    <col min="12551" max="12551" width="14.7109375" style="10" customWidth="1"/>
    <col min="12552" max="12800" width="9.140625" style="10"/>
    <col min="12801" max="12801" width="7" style="10" customWidth="1"/>
    <col min="12802" max="12802" width="39.42578125" style="10" bestFit="1" customWidth="1"/>
    <col min="12803" max="12805" width="16.28515625" style="10" customWidth="1"/>
    <col min="12806" max="12806" width="5.85546875" style="10" customWidth="1"/>
    <col min="12807" max="12807" width="14.7109375" style="10" customWidth="1"/>
    <col min="12808" max="13056" width="9.140625" style="10"/>
    <col min="13057" max="13057" width="7" style="10" customWidth="1"/>
    <col min="13058" max="13058" width="39.42578125" style="10" bestFit="1" customWidth="1"/>
    <col min="13059" max="13061" width="16.28515625" style="10" customWidth="1"/>
    <col min="13062" max="13062" width="5.85546875" style="10" customWidth="1"/>
    <col min="13063" max="13063" width="14.7109375" style="10" customWidth="1"/>
    <col min="13064" max="13312" width="9.140625" style="10"/>
    <col min="13313" max="13313" width="7" style="10" customWidth="1"/>
    <col min="13314" max="13314" width="39.42578125" style="10" bestFit="1" customWidth="1"/>
    <col min="13315" max="13317" width="16.28515625" style="10" customWidth="1"/>
    <col min="13318" max="13318" width="5.85546875" style="10" customWidth="1"/>
    <col min="13319" max="13319" width="14.7109375" style="10" customWidth="1"/>
    <col min="13320" max="13568" width="9.140625" style="10"/>
    <col min="13569" max="13569" width="7" style="10" customWidth="1"/>
    <col min="13570" max="13570" width="39.42578125" style="10" bestFit="1" customWidth="1"/>
    <col min="13571" max="13573" width="16.28515625" style="10" customWidth="1"/>
    <col min="13574" max="13574" width="5.85546875" style="10" customWidth="1"/>
    <col min="13575" max="13575" width="14.7109375" style="10" customWidth="1"/>
    <col min="13576" max="13824" width="9.140625" style="10"/>
    <col min="13825" max="13825" width="7" style="10" customWidth="1"/>
    <col min="13826" max="13826" width="39.42578125" style="10" bestFit="1" customWidth="1"/>
    <col min="13827" max="13829" width="16.28515625" style="10" customWidth="1"/>
    <col min="13830" max="13830" width="5.85546875" style="10" customWidth="1"/>
    <col min="13831" max="13831" width="14.7109375" style="10" customWidth="1"/>
    <col min="13832" max="14080" width="9.140625" style="10"/>
    <col min="14081" max="14081" width="7" style="10" customWidth="1"/>
    <col min="14082" max="14082" width="39.42578125" style="10" bestFit="1" customWidth="1"/>
    <col min="14083" max="14085" width="16.28515625" style="10" customWidth="1"/>
    <col min="14086" max="14086" width="5.85546875" style="10" customWidth="1"/>
    <col min="14087" max="14087" width="14.7109375" style="10" customWidth="1"/>
    <col min="14088" max="14336" width="9.140625" style="10"/>
    <col min="14337" max="14337" width="7" style="10" customWidth="1"/>
    <col min="14338" max="14338" width="39.42578125" style="10" bestFit="1" customWidth="1"/>
    <col min="14339" max="14341" width="16.28515625" style="10" customWidth="1"/>
    <col min="14342" max="14342" width="5.85546875" style="10" customWidth="1"/>
    <col min="14343" max="14343" width="14.7109375" style="10" customWidth="1"/>
    <col min="14344" max="14592" width="9.140625" style="10"/>
    <col min="14593" max="14593" width="7" style="10" customWidth="1"/>
    <col min="14594" max="14594" width="39.42578125" style="10" bestFit="1" customWidth="1"/>
    <col min="14595" max="14597" width="16.28515625" style="10" customWidth="1"/>
    <col min="14598" max="14598" width="5.85546875" style="10" customWidth="1"/>
    <col min="14599" max="14599" width="14.7109375" style="10" customWidth="1"/>
    <col min="14600" max="14848" width="9.140625" style="10"/>
    <col min="14849" max="14849" width="7" style="10" customWidth="1"/>
    <col min="14850" max="14850" width="39.42578125" style="10" bestFit="1" customWidth="1"/>
    <col min="14851" max="14853" width="16.28515625" style="10" customWidth="1"/>
    <col min="14854" max="14854" width="5.85546875" style="10" customWidth="1"/>
    <col min="14855" max="14855" width="14.7109375" style="10" customWidth="1"/>
    <col min="14856" max="15104" width="9.140625" style="10"/>
    <col min="15105" max="15105" width="7" style="10" customWidth="1"/>
    <col min="15106" max="15106" width="39.42578125" style="10" bestFit="1" customWidth="1"/>
    <col min="15107" max="15109" width="16.28515625" style="10" customWidth="1"/>
    <col min="15110" max="15110" width="5.85546875" style="10" customWidth="1"/>
    <col min="15111" max="15111" width="14.7109375" style="10" customWidth="1"/>
    <col min="15112" max="15360" width="9.140625" style="10"/>
    <col min="15361" max="15361" width="7" style="10" customWidth="1"/>
    <col min="15362" max="15362" width="39.42578125" style="10" bestFit="1" customWidth="1"/>
    <col min="15363" max="15365" width="16.28515625" style="10" customWidth="1"/>
    <col min="15366" max="15366" width="5.85546875" style="10" customWidth="1"/>
    <col min="15367" max="15367" width="14.7109375" style="10" customWidth="1"/>
    <col min="15368" max="15616" width="9.140625" style="10"/>
    <col min="15617" max="15617" width="7" style="10" customWidth="1"/>
    <col min="15618" max="15618" width="39.42578125" style="10" bestFit="1" customWidth="1"/>
    <col min="15619" max="15621" width="16.28515625" style="10" customWidth="1"/>
    <col min="15622" max="15622" width="5.85546875" style="10" customWidth="1"/>
    <col min="15623" max="15623" width="14.7109375" style="10" customWidth="1"/>
    <col min="15624" max="15872" width="9.140625" style="10"/>
    <col min="15873" max="15873" width="7" style="10" customWidth="1"/>
    <col min="15874" max="15874" width="39.42578125" style="10" bestFit="1" customWidth="1"/>
    <col min="15875" max="15877" width="16.28515625" style="10" customWidth="1"/>
    <col min="15878" max="15878" width="5.85546875" style="10" customWidth="1"/>
    <col min="15879" max="15879" width="14.7109375" style="10" customWidth="1"/>
    <col min="15880" max="16128" width="9.140625" style="10"/>
    <col min="16129" max="16129" width="7" style="10" customWidth="1"/>
    <col min="16130" max="16130" width="39.42578125" style="10" bestFit="1" customWidth="1"/>
    <col min="16131" max="16133" width="16.28515625" style="10" customWidth="1"/>
    <col min="16134" max="16134" width="5.85546875" style="10" customWidth="1"/>
    <col min="16135" max="16135" width="14.7109375" style="10" customWidth="1"/>
    <col min="16136" max="16384" width="9.140625" style="10"/>
  </cols>
  <sheetData>
    <row r="1" spans="1:7" s="9" customFormat="1" ht="27.6" customHeight="1" x14ac:dyDescent="0.25"/>
    <row r="4" spans="1:7" ht="18" thickBot="1" x14ac:dyDescent="0.25">
      <c r="A4" s="49" t="s">
        <v>70</v>
      </c>
      <c r="B4" s="49"/>
      <c r="C4" s="49"/>
      <c r="D4" s="49"/>
      <c r="E4" s="49"/>
    </row>
    <row r="5" spans="1:7" ht="9" customHeight="1" thickTop="1" x14ac:dyDescent="0.2">
      <c r="A5" s="11"/>
      <c r="B5" s="12"/>
      <c r="C5" s="13"/>
    </row>
    <row r="6" spans="1:7" x14ac:dyDescent="0.2">
      <c r="A6" s="14"/>
      <c r="B6" s="15"/>
      <c r="D6" s="15"/>
      <c r="E6" s="16"/>
      <c r="F6" s="15"/>
      <c r="G6" s="15"/>
    </row>
    <row r="7" spans="1:7" ht="18" thickBot="1" x14ac:dyDescent="0.25">
      <c r="A7" s="17" t="s">
        <v>8</v>
      </c>
      <c r="B7" s="17"/>
      <c r="C7" s="18" t="s">
        <v>9</v>
      </c>
      <c r="D7" s="18" t="s">
        <v>10</v>
      </c>
      <c r="E7" s="18" t="s">
        <v>11</v>
      </c>
      <c r="F7" s="19"/>
      <c r="G7" s="20"/>
    </row>
    <row r="8" spans="1:7" ht="13.5" thickTop="1" x14ac:dyDescent="0.2">
      <c r="A8" s="21" t="s">
        <v>12</v>
      </c>
      <c r="C8" s="22"/>
      <c r="D8" s="22"/>
      <c r="E8" s="23"/>
    </row>
    <row r="9" spans="1:7" x14ac:dyDescent="0.2">
      <c r="B9" s="14" t="s">
        <v>13</v>
      </c>
      <c r="C9" s="24">
        <v>25000</v>
      </c>
      <c r="D9" s="24">
        <v>25000</v>
      </c>
      <c r="E9" s="25">
        <f>IF(D9="","-",D9-C9)</f>
        <v>0</v>
      </c>
      <c r="F9" s="15"/>
      <c r="G9" s="15"/>
    </row>
    <row r="10" spans="1:7" x14ac:dyDescent="0.2">
      <c r="B10" s="14" t="s">
        <v>14</v>
      </c>
      <c r="C10" s="24">
        <v>25000</v>
      </c>
      <c r="D10" s="24">
        <v>25000</v>
      </c>
      <c r="E10" s="25">
        <f>IF(D10="","-",D10-C10)</f>
        <v>0</v>
      </c>
      <c r="F10" s="15"/>
      <c r="G10" s="15"/>
    </row>
    <row r="11" spans="1:7" x14ac:dyDescent="0.2">
      <c r="B11" s="14" t="s">
        <v>15</v>
      </c>
      <c r="C11" s="24">
        <v>150000</v>
      </c>
      <c r="D11" s="24">
        <v>200000</v>
      </c>
      <c r="E11" s="25">
        <f>IF(D11="","-",D11-C11)</f>
        <v>50000</v>
      </c>
      <c r="F11" s="15"/>
      <c r="G11" s="15"/>
    </row>
    <row r="12" spans="1:7" x14ac:dyDescent="0.2">
      <c r="B12" s="14" t="s">
        <v>16</v>
      </c>
      <c r="C12" s="24">
        <v>320000</v>
      </c>
      <c r="D12" s="24">
        <v>290000</v>
      </c>
      <c r="E12" s="25">
        <f>IF(D12="","-",D12-C12)</f>
        <v>-30000</v>
      </c>
      <c r="F12" s="15"/>
      <c r="G12" s="15"/>
    </row>
    <row r="13" spans="1:7" x14ac:dyDescent="0.2">
      <c r="B13" s="14" t="s">
        <v>17</v>
      </c>
      <c r="C13" s="24">
        <v>0</v>
      </c>
      <c r="D13" s="24">
        <v>0</v>
      </c>
      <c r="E13" s="25">
        <f>IF(D13="","-",C13-D13)</f>
        <v>0</v>
      </c>
      <c r="F13" s="15"/>
      <c r="G13" s="15"/>
    </row>
    <row r="14" spans="1:7" x14ac:dyDescent="0.2">
      <c r="B14" s="26" t="s">
        <v>18</v>
      </c>
      <c r="C14" s="27">
        <f>SUM(C8:C13)</f>
        <v>520000</v>
      </c>
      <c r="D14" s="27">
        <f>SUM(D8:D13)</f>
        <v>540000</v>
      </c>
      <c r="E14" s="27">
        <f>SUM(E9:E13)</f>
        <v>20000</v>
      </c>
    </row>
    <row r="15" spans="1:7" x14ac:dyDescent="0.2">
      <c r="E15" s="28"/>
    </row>
    <row r="16" spans="1:7" x14ac:dyDescent="0.2">
      <c r="A16" s="29" t="s">
        <v>19</v>
      </c>
      <c r="C16" s="15"/>
      <c r="D16" s="15"/>
      <c r="E16" s="19"/>
      <c r="F16" s="15"/>
      <c r="G16" s="15"/>
    </row>
    <row r="17" spans="1:7" x14ac:dyDescent="0.2">
      <c r="B17" s="14" t="s">
        <v>20</v>
      </c>
      <c r="C17" s="24">
        <v>15000</v>
      </c>
      <c r="D17" s="24">
        <v>25000</v>
      </c>
      <c r="E17" s="25">
        <f>IF(D17="","-",D17-C17)</f>
        <v>10000</v>
      </c>
      <c r="F17" s="15"/>
      <c r="G17" s="15"/>
    </row>
    <row r="18" spans="1:7" x14ac:dyDescent="0.2">
      <c r="B18" s="14" t="s">
        <v>21</v>
      </c>
      <c r="C18" s="24">
        <v>20000</v>
      </c>
      <c r="D18" s="24">
        <v>5000</v>
      </c>
      <c r="E18" s="25">
        <f>IF(D18="","-",D18-C18)</f>
        <v>-15000</v>
      </c>
      <c r="F18" s="15"/>
      <c r="G18" s="15"/>
    </row>
    <row r="19" spans="1:7" x14ac:dyDescent="0.2">
      <c r="B19" s="14" t="s">
        <v>22</v>
      </c>
      <c r="C19" s="24">
        <v>3000</v>
      </c>
      <c r="D19" s="24">
        <v>1000</v>
      </c>
      <c r="E19" s="25">
        <f>IF(D19="","-",D19-C19)</f>
        <v>-2000</v>
      </c>
      <c r="F19" s="15"/>
      <c r="G19" s="15"/>
    </row>
    <row r="20" spans="1:7" x14ac:dyDescent="0.2">
      <c r="B20" s="30" t="s">
        <v>23</v>
      </c>
      <c r="C20" s="31">
        <f>SUM(C16:C19)</f>
        <v>38000</v>
      </c>
      <c r="D20" s="31">
        <f>SUM(D16:D19)</f>
        <v>31000</v>
      </c>
      <c r="E20" s="27">
        <f>IF(D20="","-",D20-C20)</f>
        <v>-7000</v>
      </c>
    </row>
    <row r="21" spans="1:7" x14ac:dyDescent="0.2">
      <c r="A21" s="29" t="s">
        <v>24</v>
      </c>
      <c r="C21" s="15"/>
      <c r="D21" s="15"/>
      <c r="E21" s="19"/>
      <c r="F21" s="15"/>
      <c r="G21" s="15"/>
    </row>
    <row r="22" spans="1:7" x14ac:dyDescent="0.2">
      <c r="B22" s="14" t="s">
        <v>25</v>
      </c>
      <c r="C22" s="24">
        <v>1000</v>
      </c>
      <c r="D22" s="24">
        <v>5000</v>
      </c>
      <c r="E22" s="25">
        <f>IF(D22="","-",D22-C22)</f>
        <v>4000</v>
      </c>
      <c r="F22" s="15"/>
      <c r="G22" s="15"/>
    </row>
    <row r="23" spans="1:7" x14ac:dyDescent="0.2">
      <c r="B23" s="14" t="s">
        <v>26</v>
      </c>
      <c r="C23" s="24">
        <v>0</v>
      </c>
      <c r="D23" s="24">
        <v>0</v>
      </c>
      <c r="E23" s="25">
        <f>IF(D23="","-",D23-C23)</f>
        <v>0</v>
      </c>
      <c r="F23" s="15"/>
      <c r="G23" s="15"/>
    </row>
    <row r="24" spans="1:7" x14ac:dyDescent="0.2">
      <c r="B24" s="30" t="s">
        <v>27</v>
      </c>
      <c r="C24" s="31">
        <f>SUM(C21:C23)</f>
        <v>1000</v>
      </c>
      <c r="D24" s="31">
        <f>SUM(D21:D23)</f>
        <v>5000</v>
      </c>
      <c r="E24" s="27">
        <f>SUM(E21:E23)</f>
        <v>4000</v>
      </c>
    </row>
    <row r="25" spans="1:7" x14ac:dyDescent="0.2">
      <c r="E25" s="28"/>
    </row>
    <row r="26" spans="1:7" ht="13.5" thickBot="1" x14ac:dyDescent="0.25">
      <c r="A26" s="50" t="s">
        <v>28</v>
      </c>
      <c r="B26" s="50"/>
      <c r="C26" s="32">
        <f>C14+C20+C24</f>
        <v>559000</v>
      </c>
      <c r="D26" s="32">
        <f>D14+D20+D24</f>
        <v>576000</v>
      </c>
      <c r="E26" s="33">
        <f>E14+E20+E24</f>
        <v>17000</v>
      </c>
      <c r="G26" s="51"/>
    </row>
    <row r="27" spans="1:7" ht="13.5" thickTop="1" x14ac:dyDescent="0.2">
      <c r="C27" s="34"/>
      <c r="E27" s="34"/>
      <c r="G27" s="51"/>
    </row>
    <row r="28" spans="1:7" ht="18" thickBot="1" x14ac:dyDescent="0.25">
      <c r="A28" s="35" t="s">
        <v>29</v>
      </c>
      <c r="B28" s="35"/>
      <c r="C28" s="36" t="s">
        <v>9</v>
      </c>
      <c r="D28" s="36" t="s">
        <v>10</v>
      </c>
      <c r="E28" s="36" t="s">
        <v>11</v>
      </c>
      <c r="F28" s="19"/>
      <c r="G28" s="19"/>
    </row>
    <row r="29" spans="1:7" ht="13.5" thickTop="1" x14ac:dyDescent="0.2">
      <c r="A29" s="21" t="s">
        <v>30</v>
      </c>
      <c r="E29" s="28"/>
      <c r="G29" s="21"/>
    </row>
    <row r="30" spans="1:7" x14ac:dyDescent="0.2">
      <c r="B30" s="16" t="s">
        <v>31</v>
      </c>
      <c r="C30" s="24">
        <v>1000</v>
      </c>
      <c r="D30" s="24">
        <v>2500</v>
      </c>
      <c r="E30" s="25">
        <f>IF(D30="","-",D30-C30)</f>
        <v>1500</v>
      </c>
      <c r="F30" s="15"/>
      <c r="G30" s="15"/>
    </row>
    <row r="31" spans="1:7" x14ac:dyDescent="0.2">
      <c r="B31" s="14" t="s">
        <v>32</v>
      </c>
      <c r="C31" s="24">
        <v>3200</v>
      </c>
      <c r="D31" s="24">
        <v>3200</v>
      </c>
      <c r="E31" s="25">
        <f t="shared" ref="E31:E52" si="0">IF(D31="","-",D31-C31)</f>
        <v>0</v>
      </c>
      <c r="F31" s="15"/>
      <c r="G31" s="15"/>
    </row>
    <row r="32" spans="1:7" x14ac:dyDescent="0.2">
      <c r="B32" s="14" t="s">
        <v>33</v>
      </c>
      <c r="C32" s="24">
        <v>1000</v>
      </c>
      <c r="D32" s="24">
        <v>2100</v>
      </c>
      <c r="E32" s="25">
        <f t="shared" si="0"/>
        <v>1100</v>
      </c>
      <c r="F32" s="15"/>
      <c r="G32" s="15"/>
    </row>
    <row r="33" spans="2:7" x14ac:dyDescent="0.2">
      <c r="B33" s="14" t="s">
        <v>34</v>
      </c>
      <c r="C33" s="24">
        <v>1000</v>
      </c>
      <c r="D33" s="24">
        <v>0</v>
      </c>
      <c r="E33" s="25">
        <f t="shared" si="0"/>
        <v>-1000</v>
      </c>
      <c r="F33" s="15"/>
      <c r="G33" s="15"/>
    </row>
    <row r="34" spans="2:7" x14ac:dyDescent="0.2">
      <c r="B34" s="14" t="s">
        <v>35</v>
      </c>
      <c r="C34" s="24">
        <v>1000</v>
      </c>
      <c r="D34" s="24">
        <v>0</v>
      </c>
      <c r="E34" s="25">
        <f t="shared" si="0"/>
        <v>-1000</v>
      </c>
      <c r="F34" s="15"/>
      <c r="G34" s="15"/>
    </row>
    <row r="35" spans="2:7" x14ac:dyDescent="0.2">
      <c r="B35" s="14" t="s">
        <v>36</v>
      </c>
      <c r="C35" s="24">
        <v>1000</v>
      </c>
      <c r="D35" s="24">
        <v>1200</v>
      </c>
      <c r="E35" s="25">
        <f t="shared" si="0"/>
        <v>200</v>
      </c>
      <c r="F35" s="15"/>
      <c r="G35" s="15"/>
    </row>
    <row r="36" spans="2:7" x14ac:dyDescent="0.2">
      <c r="B36" s="14" t="s">
        <v>37</v>
      </c>
      <c r="C36" s="24">
        <v>1000</v>
      </c>
      <c r="D36" s="24">
        <v>2000</v>
      </c>
      <c r="E36" s="25">
        <f t="shared" si="0"/>
        <v>1000</v>
      </c>
      <c r="F36" s="15"/>
      <c r="G36" s="15"/>
    </row>
    <row r="37" spans="2:7" x14ac:dyDescent="0.2">
      <c r="B37" s="14" t="s">
        <v>38</v>
      </c>
      <c r="C37" s="24">
        <v>5000</v>
      </c>
      <c r="D37" s="24">
        <v>500</v>
      </c>
      <c r="E37" s="25">
        <f t="shared" si="0"/>
        <v>-4500</v>
      </c>
      <c r="F37" s="15"/>
      <c r="G37" s="15"/>
    </row>
    <row r="38" spans="2:7" x14ac:dyDescent="0.2">
      <c r="B38" s="16" t="s">
        <v>39</v>
      </c>
      <c r="C38" s="24">
        <v>3000</v>
      </c>
      <c r="D38" s="24">
        <v>3200</v>
      </c>
      <c r="E38" s="25">
        <f t="shared" si="0"/>
        <v>200</v>
      </c>
      <c r="F38" s="37"/>
    </row>
    <row r="39" spans="2:7" x14ac:dyDescent="0.2">
      <c r="B39" s="14" t="s">
        <v>40</v>
      </c>
      <c r="C39" s="24">
        <v>5500</v>
      </c>
      <c r="D39" s="24">
        <v>5000</v>
      </c>
      <c r="E39" s="25">
        <f t="shared" si="0"/>
        <v>-500</v>
      </c>
      <c r="F39" s="15"/>
      <c r="G39" s="15"/>
    </row>
    <row r="40" spans="2:7" x14ac:dyDescent="0.2">
      <c r="B40" s="14" t="s">
        <v>41</v>
      </c>
      <c r="C40" s="24">
        <v>1900</v>
      </c>
      <c r="D40" s="24">
        <v>2100</v>
      </c>
      <c r="E40" s="25">
        <f t="shared" si="0"/>
        <v>200</v>
      </c>
      <c r="F40" s="15"/>
      <c r="G40" s="15"/>
    </row>
    <row r="41" spans="2:7" x14ac:dyDescent="0.2">
      <c r="B41" s="14" t="s">
        <v>42</v>
      </c>
      <c r="C41" s="24">
        <v>1000</v>
      </c>
      <c r="D41" s="24">
        <v>900</v>
      </c>
      <c r="E41" s="25">
        <f t="shared" si="0"/>
        <v>-100</v>
      </c>
      <c r="F41" s="15"/>
      <c r="G41" s="15"/>
    </row>
    <row r="42" spans="2:7" x14ac:dyDescent="0.2">
      <c r="B42" s="14" t="s">
        <v>43</v>
      </c>
      <c r="C42" s="24">
        <v>0</v>
      </c>
      <c r="D42" s="24">
        <v>200</v>
      </c>
      <c r="E42" s="25">
        <f t="shared" si="0"/>
        <v>200</v>
      </c>
      <c r="F42" s="15"/>
      <c r="G42" s="15"/>
    </row>
    <row r="43" spans="2:7" x14ac:dyDescent="0.2">
      <c r="B43" s="14" t="s">
        <v>44</v>
      </c>
      <c r="C43" s="24">
        <v>5000</v>
      </c>
      <c r="D43" s="24">
        <v>1000</v>
      </c>
      <c r="E43" s="25">
        <f t="shared" si="0"/>
        <v>-4000</v>
      </c>
      <c r="F43" s="15"/>
      <c r="G43" s="15"/>
    </row>
    <row r="44" spans="2:7" x14ac:dyDescent="0.2">
      <c r="B44" s="14" t="s">
        <v>45</v>
      </c>
      <c r="C44" s="24">
        <v>2500</v>
      </c>
      <c r="D44" s="24">
        <v>2500</v>
      </c>
      <c r="E44" s="25">
        <f t="shared" si="0"/>
        <v>0</v>
      </c>
      <c r="F44" s="15"/>
    </row>
    <row r="45" spans="2:7" x14ac:dyDescent="0.2">
      <c r="B45" s="14" t="s">
        <v>46</v>
      </c>
      <c r="C45" s="24">
        <v>1200</v>
      </c>
      <c r="D45" s="24">
        <v>1400</v>
      </c>
      <c r="E45" s="25">
        <f t="shared" si="0"/>
        <v>200</v>
      </c>
      <c r="F45" s="15"/>
    </row>
    <row r="46" spans="2:7" x14ac:dyDescent="0.2">
      <c r="B46" s="14" t="s">
        <v>47</v>
      </c>
      <c r="C46" s="24">
        <v>1000</v>
      </c>
      <c r="D46" s="24">
        <v>5000</v>
      </c>
      <c r="E46" s="25">
        <f t="shared" si="0"/>
        <v>4000</v>
      </c>
      <c r="F46" s="15"/>
      <c r="G46" s="15"/>
    </row>
    <row r="47" spans="2:7" x14ac:dyDescent="0.2">
      <c r="B47" s="14" t="s">
        <v>48</v>
      </c>
      <c r="C47" s="24">
        <v>5000</v>
      </c>
      <c r="D47" s="24">
        <v>5000</v>
      </c>
      <c r="E47" s="25">
        <f t="shared" si="0"/>
        <v>0</v>
      </c>
      <c r="F47" s="15"/>
      <c r="G47" s="15"/>
    </row>
    <row r="48" spans="2:7" x14ac:dyDescent="0.2">
      <c r="B48" s="14" t="s">
        <v>49</v>
      </c>
      <c r="C48" s="24">
        <v>500</v>
      </c>
      <c r="D48" s="24">
        <v>500</v>
      </c>
      <c r="E48" s="25">
        <f t="shared" si="0"/>
        <v>0</v>
      </c>
      <c r="F48" s="15"/>
      <c r="G48" s="15"/>
    </row>
    <row r="49" spans="1:7" x14ac:dyDescent="0.2">
      <c r="B49" s="14" t="s">
        <v>50</v>
      </c>
      <c r="C49" s="24">
        <v>900</v>
      </c>
      <c r="D49" s="24">
        <v>900</v>
      </c>
      <c r="E49" s="25">
        <f t="shared" si="0"/>
        <v>0</v>
      </c>
      <c r="F49" s="15"/>
      <c r="G49" s="15"/>
    </row>
    <row r="50" spans="1:7" x14ac:dyDescent="0.2">
      <c r="B50" s="14" t="s">
        <v>51</v>
      </c>
      <c r="C50" s="24">
        <v>500</v>
      </c>
      <c r="D50" s="24">
        <v>200</v>
      </c>
      <c r="E50" s="25">
        <f t="shared" si="0"/>
        <v>-300</v>
      </c>
      <c r="F50" s="15"/>
      <c r="G50" s="15"/>
    </row>
    <row r="51" spans="1:7" x14ac:dyDescent="0.2">
      <c r="B51" s="14" t="s">
        <v>52</v>
      </c>
      <c r="C51" s="24">
        <v>0</v>
      </c>
      <c r="D51" s="24">
        <v>0</v>
      </c>
      <c r="E51" s="25">
        <f t="shared" si="0"/>
        <v>0</v>
      </c>
      <c r="F51" s="15"/>
      <c r="G51" s="15"/>
    </row>
    <row r="52" spans="1:7" x14ac:dyDescent="0.2">
      <c r="B52" s="14" t="s">
        <v>53</v>
      </c>
      <c r="C52" s="24">
        <v>0</v>
      </c>
      <c r="D52" s="24">
        <v>0</v>
      </c>
      <c r="E52" s="25">
        <f t="shared" si="0"/>
        <v>0</v>
      </c>
      <c r="F52" s="15"/>
      <c r="G52" s="15"/>
    </row>
    <row r="53" spans="1:7" x14ac:dyDescent="0.2">
      <c r="B53" s="30" t="s">
        <v>54</v>
      </c>
      <c r="C53" s="31">
        <f>SUM(C29:C52)</f>
        <v>42200</v>
      </c>
      <c r="D53" s="31">
        <f>SUM(D29:D52)</f>
        <v>39400</v>
      </c>
      <c r="E53" s="27">
        <f>SUM(E29:E52)</f>
        <v>-2800</v>
      </c>
    </row>
    <row r="54" spans="1:7" x14ac:dyDescent="0.2">
      <c r="B54" s="30"/>
      <c r="C54" s="38"/>
      <c r="D54" s="38"/>
      <c r="E54" s="38"/>
    </row>
    <row r="55" spans="1:7" x14ac:dyDescent="0.2">
      <c r="A55" s="21" t="s">
        <v>55</v>
      </c>
      <c r="E55" s="28"/>
    </row>
    <row r="56" spans="1:7" x14ac:dyDescent="0.2">
      <c r="B56" s="10" t="s">
        <v>56</v>
      </c>
      <c r="C56" s="24">
        <v>100000</v>
      </c>
      <c r="D56" s="24">
        <v>100000</v>
      </c>
      <c r="E56" s="25">
        <f t="shared" ref="E56:E67" si="1">IF(D56="","-",C56-D56)</f>
        <v>0</v>
      </c>
      <c r="F56" s="15"/>
      <c r="G56" s="15"/>
    </row>
    <row r="57" spans="1:7" x14ac:dyDescent="0.2">
      <c r="B57" s="10" t="s">
        <v>57</v>
      </c>
      <c r="C57" s="24">
        <v>25000</v>
      </c>
      <c r="D57" s="24">
        <v>25000</v>
      </c>
      <c r="E57" s="25">
        <f t="shared" si="1"/>
        <v>0</v>
      </c>
      <c r="F57" s="15"/>
      <c r="G57" s="15"/>
    </row>
    <row r="58" spans="1:7" x14ac:dyDescent="0.2">
      <c r="B58" s="14" t="s">
        <v>58</v>
      </c>
      <c r="C58" s="24">
        <v>1500</v>
      </c>
      <c r="D58" s="24">
        <v>1000</v>
      </c>
      <c r="E58" s="25">
        <f t="shared" si="1"/>
        <v>500</v>
      </c>
      <c r="F58" s="15"/>
      <c r="G58" s="15"/>
    </row>
    <row r="59" spans="1:7" x14ac:dyDescent="0.2">
      <c r="B59" s="14" t="s">
        <v>59</v>
      </c>
      <c r="C59" s="24">
        <v>250</v>
      </c>
      <c r="D59" s="24">
        <v>250</v>
      </c>
      <c r="E59" s="25">
        <f t="shared" si="1"/>
        <v>0</v>
      </c>
      <c r="F59" s="15"/>
      <c r="G59" s="15"/>
    </row>
    <row r="60" spans="1:7" x14ac:dyDescent="0.2">
      <c r="B60" s="14" t="s">
        <v>60</v>
      </c>
      <c r="C60" s="24">
        <v>1200</v>
      </c>
      <c r="D60" s="24">
        <v>1200</v>
      </c>
      <c r="E60" s="25">
        <f t="shared" si="1"/>
        <v>0</v>
      </c>
      <c r="F60" s="15"/>
      <c r="G60" s="15"/>
    </row>
    <row r="61" spans="1:7" x14ac:dyDescent="0.2">
      <c r="B61" s="14" t="s">
        <v>61</v>
      </c>
      <c r="C61" s="24">
        <v>700</v>
      </c>
      <c r="D61" s="24">
        <v>900</v>
      </c>
      <c r="E61" s="25">
        <f t="shared" si="1"/>
        <v>-200</v>
      </c>
      <c r="F61" s="15"/>
      <c r="G61" s="15"/>
    </row>
    <row r="62" spans="1:7" x14ac:dyDescent="0.2">
      <c r="B62" s="14" t="s">
        <v>62</v>
      </c>
      <c r="C62" s="24">
        <v>5300</v>
      </c>
      <c r="D62" s="24">
        <v>5300</v>
      </c>
      <c r="E62" s="25">
        <f t="shared" si="1"/>
        <v>0</v>
      </c>
      <c r="F62" s="15"/>
      <c r="G62" s="15"/>
    </row>
    <row r="63" spans="1:7" x14ac:dyDescent="0.2">
      <c r="B63" s="14" t="s">
        <v>63</v>
      </c>
      <c r="C63" s="24">
        <v>3700</v>
      </c>
      <c r="D63" s="24">
        <v>3900</v>
      </c>
      <c r="E63" s="25">
        <f t="shared" si="1"/>
        <v>-200</v>
      </c>
      <c r="F63" s="15"/>
      <c r="G63" s="15"/>
    </row>
    <row r="64" spans="1:7" x14ac:dyDescent="0.2">
      <c r="B64" s="14" t="s">
        <v>64</v>
      </c>
      <c r="C64" s="24">
        <v>2100</v>
      </c>
      <c r="D64" s="24">
        <v>1800</v>
      </c>
      <c r="E64" s="25">
        <f t="shared" si="1"/>
        <v>300</v>
      </c>
      <c r="F64" s="15"/>
      <c r="G64" s="15"/>
    </row>
    <row r="65" spans="1:7" x14ac:dyDescent="0.2">
      <c r="B65" s="14" t="s">
        <v>49</v>
      </c>
      <c r="C65" s="24">
        <v>700</v>
      </c>
      <c r="D65" s="24">
        <v>700</v>
      </c>
      <c r="E65" s="25">
        <f t="shared" si="1"/>
        <v>0</v>
      </c>
      <c r="F65" s="15"/>
      <c r="G65" s="15"/>
    </row>
    <row r="66" spans="1:7" x14ac:dyDescent="0.2">
      <c r="B66" s="14" t="s">
        <v>65</v>
      </c>
      <c r="C66" s="24">
        <v>1000</v>
      </c>
      <c r="D66" s="24">
        <v>1000</v>
      </c>
      <c r="E66" s="25">
        <f t="shared" si="1"/>
        <v>0</v>
      </c>
      <c r="F66" s="15"/>
      <c r="G66" s="15"/>
    </row>
    <row r="67" spans="1:7" x14ac:dyDescent="0.2">
      <c r="B67" s="14" t="s">
        <v>53</v>
      </c>
      <c r="C67" s="39"/>
      <c r="D67" s="39"/>
      <c r="E67" s="40" t="str">
        <f t="shared" si="1"/>
        <v>-</v>
      </c>
      <c r="F67" s="15"/>
      <c r="G67" s="21"/>
    </row>
    <row r="68" spans="1:7" x14ac:dyDescent="0.2">
      <c r="B68" s="30" t="s">
        <v>55</v>
      </c>
      <c r="C68" s="31">
        <f>SUM(C55:C67)</f>
        <v>141450</v>
      </c>
      <c r="D68" s="31">
        <f>SUM(D55:D67)</f>
        <v>141050</v>
      </c>
      <c r="E68" s="27">
        <f>SUM(E55:E67)</f>
        <v>400</v>
      </c>
    </row>
    <row r="69" spans="1:7" x14ac:dyDescent="0.2">
      <c r="B69" s="41" t="s">
        <v>66</v>
      </c>
      <c r="C69" s="42">
        <v>4</v>
      </c>
      <c r="D69" s="38"/>
      <c r="E69" s="38"/>
    </row>
    <row r="70" spans="1:7" x14ac:dyDescent="0.2">
      <c r="B70" s="30" t="s">
        <v>67</v>
      </c>
      <c r="C70" s="31">
        <f>C68*$C$69</f>
        <v>565800</v>
      </c>
      <c r="D70" s="31">
        <f>D68*$C$69</f>
        <v>564200</v>
      </c>
      <c r="E70" s="27">
        <f>E68*$C$69</f>
        <v>1600</v>
      </c>
    </row>
    <row r="72" spans="1:7" ht="18" thickBot="1" x14ac:dyDescent="0.25">
      <c r="A72" s="35" t="s">
        <v>68</v>
      </c>
      <c r="B72" s="35"/>
      <c r="C72" s="43">
        <f>C53+C70</f>
        <v>608000</v>
      </c>
      <c r="D72" s="43">
        <f>D53+D70</f>
        <v>603600</v>
      </c>
      <c r="E72" s="44">
        <f>E53+E70</f>
        <v>-1200</v>
      </c>
    </row>
    <row r="73" spans="1:7" ht="9" customHeight="1" thickTop="1" x14ac:dyDescent="0.2">
      <c r="A73" s="45"/>
      <c r="B73" s="45"/>
      <c r="C73" s="31"/>
      <c r="D73" s="31"/>
      <c r="E73" s="46"/>
    </row>
    <row r="74" spans="1:7" x14ac:dyDescent="0.2">
      <c r="E74" s="28"/>
    </row>
    <row r="75" spans="1:7" ht="16.5" thickBot="1" x14ac:dyDescent="0.3">
      <c r="A75" s="52" t="s">
        <v>69</v>
      </c>
      <c r="B75" s="52"/>
      <c r="C75" s="47">
        <f>C26-C72</f>
        <v>-49000</v>
      </c>
      <c r="D75" s="47">
        <f>D26-D72</f>
        <v>-27600</v>
      </c>
      <c r="E75" s="47">
        <f>E26-E72</f>
        <v>18200</v>
      </c>
    </row>
    <row r="76" spans="1:7" ht="13.5" thickTop="1" x14ac:dyDescent="0.2"/>
  </sheetData>
  <sheetProtection formatCells="0" formatColumns="0" formatRows="0" insertColumns="0" insertRows="0" insertHyperlinks="0" deleteColumns="0" deleteRows="0" sort="0"/>
  <mergeCells count="4">
    <mergeCell ref="A4:E4"/>
    <mergeCell ref="A26:B26"/>
    <mergeCell ref="G26:G27"/>
    <mergeCell ref="A75:B75"/>
  </mergeCells>
  <conditionalFormatting sqref="E26">
    <cfRule type="iconSet" priority="5">
      <iconSet iconSet="3Arrows">
        <cfvo type="percent" val="0"/>
        <cfvo type="percent" val="33"/>
        <cfvo type="percent" val="67"/>
      </iconSet>
    </cfRule>
    <cfRule type="expression" dxfId="2" priority="11" stopIfTrue="1">
      <formula>E26&lt;0</formula>
    </cfRule>
  </conditionalFormatting>
  <conditionalFormatting sqref="E72:E73">
    <cfRule type="iconSet" priority="1">
      <iconSet iconSet="3Arrows">
        <cfvo type="percent" val="0"/>
        <cfvo type="num" val="0"/>
        <cfvo type="num" val="0" gte="0"/>
      </iconSet>
    </cfRule>
    <cfRule type="expression" dxfId="1" priority="10" stopIfTrue="1">
      <formula>E72&lt;0</formula>
    </cfRule>
  </conditionalFormatting>
  <conditionalFormatting sqref="E75">
    <cfRule type="expression" dxfId="0" priority="9" stopIfTrue="1">
      <formula>E75&lt;0</formula>
    </cfRule>
  </conditionalFormatting>
  <conditionalFormatting sqref="E14">
    <cfRule type="iconSet" priority="8">
      <iconSet iconSet="3Arrows">
        <cfvo type="percent" val="0"/>
        <cfvo type="num" val="0"/>
        <cfvo type="num" val="0" gte="0"/>
      </iconSet>
    </cfRule>
  </conditionalFormatting>
  <conditionalFormatting sqref="E20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E24">
    <cfRule type="iconSet" priority="6">
      <iconSet iconSet="3Arrows">
        <cfvo type="percent" val="0"/>
        <cfvo type="num" val="0"/>
        <cfvo type="num" val="0" gte="0"/>
      </iconSet>
    </cfRule>
  </conditionalFormatting>
  <conditionalFormatting sqref="E53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E68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E70">
    <cfRule type="iconSet" priority="2">
      <iconSet iconSet="3Arrows">
        <cfvo type="percent" val="0"/>
        <cfvo type="num" val="0"/>
        <cfvo type="num" val="0" gte="0"/>
      </iconSet>
    </cfRule>
  </conditionalFormatting>
  <pageMargins left="0.75" right="0.75" top="0.5" bottom="0.5" header="0.5" footer="0.25"/>
  <pageSetup scale="96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Instrucciones</vt:lpstr>
      <vt:lpstr>Presupuesto de emprendimiento</vt:lpstr>
      <vt:lpstr>'Presupuesto de emprendimiento'!Área_de_impresión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Santiago</cp:lastModifiedBy>
  <dcterms:created xsi:type="dcterms:W3CDTF">2018-08-10T11:08:48Z</dcterms:created>
  <dcterms:modified xsi:type="dcterms:W3CDTF">2018-08-10T11:21:51Z</dcterms:modified>
</cp:coreProperties>
</file>