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91893f00e1865b/Escritorio/5 Plantillas de finanzas personales/"/>
    </mc:Choice>
  </mc:AlternateContent>
  <xr:revisionPtr revIDLastSave="0" documentId="14_{3A42D313-19DF-444B-889A-233C46833ED0}" xr6:coauthVersionLast="47" xr6:coauthVersionMax="47" xr10:uidLastSave="{00000000-0000-0000-0000-000000000000}"/>
  <bookViews>
    <workbookView xWindow="22250" yWindow="-1290" windowWidth="23020" windowHeight="12340" activeTab="1" xr2:uid="{D6A00280-0D7A-4075-B78F-65C11E6FFCC1}"/>
  </bookViews>
  <sheets>
    <sheet name="- AYUDA -" sheetId="3" r:id="rId1"/>
    <sheet name="Fondo de emergencia" sheetId="1" r:id="rId2"/>
    <sheet name="Progreso" sheetId="2" r:id="rId3"/>
  </sheets>
  <definedNames>
    <definedName name="_Fill" hidden="1">#REF!</definedName>
    <definedName name="AHORRO_ACTUAL">'Fondo de emergencia'!$C$8</definedName>
    <definedName name="AHORRO_MENSUAL">'Fondo de emergencia'!$C$9</definedName>
    <definedName name="COBERTURA_MESES">'Fondo de emergencia'!$C$10</definedName>
    <definedName name="GASTO_MENSUAL">'Fondo de emergencia'!$C$30</definedName>
    <definedName name="INFLACION">'Fondo de emergencia'!$G$7</definedName>
    <definedName name="INTERÉS">'Fondo de emergencia'!$G$8</definedName>
    <definedName name="MES_ACTUAL">'Fondo de emergencia'!$C$7</definedName>
    <definedName name="MONTO_PENDIENTE">'Fondo de emergencia'!$I$13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C30" i="1" l="1"/>
  <c r="E13" i="1" s="1"/>
  <c r="C5" i="2" l="1"/>
  <c r="G7" i="2" s="1"/>
  <c r="I13" i="1" l="1"/>
  <c r="K13" i="1" l="1"/>
  <c r="M13" i="1" s="1"/>
  <c r="H7" i="2"/>
  <c r="I7" i="2" s="1"/>
  <c r="K7" i="2" l="1"/>
  <c r="L7" i="2" s="1"/>
  <c r="F4" i="2"/>
</calcChain>
</file>

<file path=xl/sharedStrings.xml><?xml version="1.0" encoding="utf-8"?>
<sst xmlns="http://schemas.openxmlformats.org/spreadsheetml/2006/main" count="29" uniqueCount="29">
  <si>
    <t>Ahorro Actual</t>
  </si>
  <si>
    <t>Ahorro Mensual</t>
  </si>
  <si>
    <t>Mes Actual</t>
  </si>
  <si>
    <t>TOTAL</t>
  </si>
  <si>
    <t>MONTO NECESARIO</t>
  </si>
  <si>
    <t>MONTO AHORRADO</t>
  </si>
  <si>
    <t>FECHA DE LOGRO DE OBJETIVO</t>
  </si>
  <si>
    <t>CATEGORÍA</t>
  </si>
  <si>
    <t>Nº de meses a cubrir</t>
  </si>
  <si>
    <t>Auxiliar</t>
  </si>
  <si>
    <t xml:space="preserve">TOTAL AHORRO </t>
  </si>
  <si>
    <t>TIEMPO QUE LLEVA</t>
  </si>
  <si>
    <t>AHORRO ACTUAL</t>
  </si>
  <si>
    <t>META</t>
  </si>
  <si>
    <t>% COMPLETADO</t>
  </si>
  <si>
    <t>COMPLETO</t>
  </si>
  <si>
    <t>INCOMPLETO</t>
  </si>
  <si>
    <t>SIN USAR</t>
  </si>
  <si>
    <t>FECHA</t>
  </si>
  <si>
    <t>AHORRO</t>
  </si>
  <si>
    <t>Ayuda</t>
  </si>
  <si>
    <t>MONTO PENDIENTE (META)</t>
  </si>
  <si>
    <t>MONTO MENSUAL</t>
  </si>
  <si>
    <t xml:space="preserve">Inflación mensual </t>
  </si>
  <si>
    <t xml:space="preserve">Interés mensual </t>
  </si>
  <si>
    <t>Alquiler</t>
  </si>
  <si>
    <t>Gastos Fijos</t>
  </si>
  <si>
    <t>Seguro de salud</t>
  </si>
  <si>
    <t>Supermercado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</si>
</sst>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mmmm\ yyyy"/>
    <numFmt numFmtId="165" formatCode="&quot;$&quot;\ #,##0"/>
    <numFmt numFmtId="166" formatCode="mmm\ yy"/>
    <numFmt numFmtId="167" formatCode="&quot;$&quot;\ #,##0.00"/>
    <numFmt numFmtId="168" formatCode="_ * #,##0.00_ ;_ * \-#,##0.00_ ;_ * &quot;-&quot;??_ ;_ @_ "/>
    <numFmt numFmtId="169" formatCode="_ &quot;$&quot;\ * #,##0.00_ ;_ &quot;$&quot;\ * \-#,##0.00_ ;_ &quot;$&quot;\ * &quot;-&quot;??_ ;_ @_ "/>
    <numFmt numFmtId="170" formatCode="_-* #,##0_-;\-* #,##0_-;_-* &quot;-&quot;??_-;_-@_-"/>
  </numFmts>
  <fonts count="17" x14ac:knownFonts="1">
    <font>
      <sz val="11"/>
      <color theme="1"/>
      <name val="Calibri"/>
      <family val="2"/>
    </font>
    <font>
      <sz val="11"/>
      <color theme="0"/>
      <name val="Calibri"/>
      <family val="2"/>
    </font>
    <font>
      <b/>
      <sz val="14"/>
      <color theme="1" tint="0.1499984740745262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 tint="0.34998626667073579"/>
      <name val="Calibri"/>
      <family val="2"/>
      <scheme val="minor"/>
    </font>
    <font>
      <sz val="16"/>
      <color theme="0" tint="-0.499984740745262"/>
      <name val="Calibri"/>
      <family val="2"/>
    </font>
    <font>
      <b/>
      <sz val="20"/>
      <color rgb="FF01B1A3"/>
      <name val="Calibri"/>
      <family val="2"/>
    </font>
    <font>
      <b/>
      <sz val="16"/>
      <color theme="0" tint="-0.499984740745262"/>
      <name val="Calibri"/>
      <family val="2"/>
    </font>
    <font>
      <b/>
      <sz val="14"/>
      <color theme="1" tint="0.34998626667073579"/>
      <name val="Calibri"/>
      <family val="2"/>
      <scheme val="minor"/>
    </font>
    <font>
      <sz val="11"/>
      <color theme="1"/>
      <name val="Calibri"/>
      <family val="2"/>
    </font>
    <font>
      <sz val="16"/>
      <color theme="1"/>
      <name val="Calibri"/>
      <family val="2"/>
    </font>
    <font>
      <sz val="16"/>
      <color theme="1" tint="0.34998626667073579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1" tint="0.249977111117893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ourie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1B1A3"/>
        <bgColor indexed="64"/>
      </patternFill>
    </fill>
    <fill>
      <patternFill patternType="solid">
        <fgColor rgb="FFF4FD8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10">
    <xf numFmtId="0" fontId="0" fillId="0" borderId="0"/>
    <xf numFmtId="9" fontId="9" fillId="0" borderId="0" applyFont="0" applyFill="0" applyBorder="0" applyAlignment="0" applyProtection="0"/>
    <xf numFmtId="0" fontId="12" fillId="0" borderId="0"/>
    <xf numFmtId="43" fontId="9" fillId="0" borderId="0" applyFont="0" applyFill="0" applyBorder="0" applyAlignment="0" applyProtection="0"/>
    <xf numFmtId="0" fontId="15" fillId="0" borderId="0"/>
    <xf numFmtId="16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16" fillId="0" borderId="0"/>
    <xf numFmtId="169" fontId="15" fillId="0" borderId="0" applyFont="0" applyFill="0" applyBorder="0" applyAlignment="0" applyProtection="0"/>
    <xf numFmtId="44" fontId="16" fillId="0" borderId="0" applyFont="0" applyFill="0" applyBorder="0" applyAlignment="0" applyProtection="0"/>
  </cellStyleXfs>
  <cellXfs count="39">
    <xf numFmtId="0" fontId="0" fillId="0" borderId="0" xfId="0"/>
    <xf numFmtId="0" fontId="2" fillId="2" borderId="1" xfId="0" applyFont="1" applyFill="1" applyBorder="1" applyAlignment="1">
      <alignment horizontal="left" vertical="center" indent="1"/>
    </xf>
    <xf numFmtId="165" fontId="4" fillId="0" borderId="3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vertical="distributed" wrapText="1"/>
    </xf>
    <xf numFmtId="0" fontId="5" fillId="0" borderId="0" xfId="0" applyFont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6" fontId="3" fillId="3" borderId="4" xfId="0" applyNumberFormat="1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Continuous" vertical="center" wrapText="1"/>
    </xf>
    <xf numFmtId="167" fontId="8" fillId="4" borderId="2" xfId="0" applyNumberFormat="1" applyFont="1" applyFill="1" applyBorder="1" applyAlignment="1">
      <alignment horizontal="centerContinuous" vertical="center" wrapText="1"/>
    </xf>
    <xf numFmtId="14" fontId="2" fillId="2" borderId="1" xfId="0" applyNumberFormat="1" applyFont="1" applyFill="1" applyBorder="1" applyAlignment="1">
      <alignment horizontal="left" vertical="center" indent="1"/>
    </xf>
    <xf numFmtId="0" fontId="1" fillId="0" borderId="0" xfId="0" applyFont="1"/>
    <xf numFmtId="9" fontId="4" fillId="0" borderId="3" xfId="1" applyFont="1" applyBorder="1" applyAlignment="1">
      <alignment horizontal="center" vertical="center"/>
    </xf>
    <xf numFmtId="9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9" fontId="1" fillId="0" borderId="0" xfId="1" applyFont="1"/>
    <xf numFmtId="164" fontId="10" fillId="0" borderId="0" xfId="0" applyNumberFormat="1" applyFont="1" applyAlignment="1">
      <alignment horizontal="center"/>
    </xf>
    <xf numFmtId="0" fontId="12" fillId="0" borderId="0" xfId="2"/>
    <xf numFmtId="0" fontId="2" fillId="2" borderId="0" xfId="0" applyFont="1" applyFill="1" applyAlignment="1">
      <alignment horizontal="left" vertical="center" indent="1"/>
    </xf>
    <xf numFmtId="0" fontId="13" fillId="0" borderId="0" xfId="2" applyFont="1" applyAlignment="1">
      <alignment vertical="center"/>
    </xf>
    <xf numFmtId="0" fontId="13" fillId="0" borderId="0" xfId="2" applyFont="1" applyAlignment="1">
      <alignment vertical="top"/>
    </xf>
    <xf numFmtId="166" fontId="14" fillId="3" borderId="4" xfId="0" applyNumberFormat="1" applyFont="1" applyFill="1" applyBorder="1" applyAlignment="1">
      <alignment horizontal="center" vertical="center" wrapText="1"/>
    </xf>
    <xf numFmtId="165" fontId="11" fillId="0" borderId="6" xfId="0" applyNumberFormat="1" applyFont="1" applyBorder="1" applyAlignment="1">
      <alignment horizontal="center" vertical="center"/>
    </xf>
    <xf numFmtId="1" fontId="11" fillId="0" borderId="6" xfId="0" applyNumberFormat="1" applyFont="1" applyBorder="1" applyAlignment="1">
      <alignment horizontal="center" vertical="center"/>
    </xf>
    <xf numFmtId="0" fontId="10" fillId="2" borderId="5" xfId="0" applyFont="1" applyFill="1" applyBorder="1"/>
    <xf numFmtId="9" fontId="11" fillId="0" borderId="6" xfId="1" applyFont="1" applyBorder="1" applyAlignment="1">
      <alignment horizontal="center" vertical="center"/>
    </xf>
    <xf numFmtId="167" fontId="0" fillId="0" borderId="0" xfId="0" applyNumberFormat="1"/>
    <xf numFmtId="8" fontId="0" fillId="0" borderId="0" xfId="0" applyNumberFormat="1"/>
    <xf numFmtId="165" fontId="0" fillId="0" borderId="0" xfId="0" applyNumberFormat="1"/>
    <xf numFmtId="43" fontId="0" fillId="0" borderId="0" xfId="3" applyFont="1"/>
    <xf numFmtId="14" fontId="0" fillId="0" borderId="0" xfId="0" applyNumberFormat="1"/>
    <xf numFmtId="1" fontId="0" fillId="0" borderId="0" xfId="3" applyNumberFormat="1" applyFont="1"/>
    <xf numFmtId="2" fontId="0" fillId="0" borderId="0" xfId="0" applyNumberFormat="1"/>
    <xf numFmtId="170" fontId="0" fillId="0" borderId="0" xfId="3" applyNumberFormat="1" applyFont="1"/>
    <xf numFmtId="165" fontId="6" fillId="2" borderId="0" xfId="0" applyNumberFormat="1" applyFont="1" applyFill="1" applyAlignment="1">
      <alignment horizontal="center" vertical="distributed" wrapText="1"/>
    </xf>
    <xf numFmtId="165" fontId="6" fillId="2" borderId="0" xfId="0" applyNumberFormat="1" applyFont="1" applyFill="1" applyAlignment="1">
      <alignment horizontal="center" vertical="center" wrapText="1"/>
    </xf>
    <xf numFmtId="2" fontId="6" fillId="2" borderId="0" xfId="0" applyNumberFormat="1" applyFont="1" applyFill="1" applyAlignment="1">
      <alignment horizontal="center" vertical="center" wrapText="1"/>
    </xf>
    <xf numFmtId="164" fontId="6" fillId="2" borderId="0" xfId="0" applyNumberFormat="1" applyFont="1" applyFill="1" applyAlignment="1">
      <alignment horizontal="center" vertical="center" wrapText="1"/>
    </xf>
  </cellXfs>
  <cellStyles count="10">
    <cellStyle name="Millares" xfId="3" builtinId="3"/>
    <cellStyle name="Millares 2" xfId="5" xr:uid="{1BB7C3E7-C9E8-41DF-83F3-4B6F8A9D0593}"/>
    <cellStyle name="Moneda 2" xfId="8" xr:uid="{FBB8BCBD-E791-4FE9-A647-6A2487C88812}"/>
    <cellStyle name="Moneda 3" xfId="9" xr:uid="{1B562B81-FEBC-4F0A-AFFD-DA7B7A1F2853}"/>
    <cellStyle name="Normal" xfId="0" builtinId="0"/>
    <cellStyle name="Normal 2" xfId="4" xr:uid="{723BB74A-86EE-43B6-8018-4BC99A16493D}"/>
    <cellStyle name="Normal 3" xfId="2" xr:uid="{73E12B18-63EC-4BBA-818B-C9F6F2EDD5DC}"/>
    <cellStyle name="Normal 4" xfId="7" xr:uid="{70BAD487-E692-4F30-95C2-51AACF189B75}"/>
    <cellStyle name="Porcentaje" xfId="1" builtinId="5"/>
    <cellStyle name="Porcentaje 2" xfId="6" xr:uid="{763C798B-7ED1-4E84-9806-78FFC314F272}"/>
  </cellStyles>
  <dxfs count="0"/>
  <tableStyles count="0" defaultTableStyle="TableStyleMedium2" defaultPivotStyle="PivotStyleLight16"/>
  <colors>
    <mruColors>
      <color rgb="FF01B1A3"/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1B1A3"/>
              </a:solidFill>
              <a:ln w="19050"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70E-4C1D-9B62-4133232FB3E1}"/>
              </c:ext>
            </c:extLst>
          </c:dPt>
          <c:dPt>
            <c:idx val="1"/>
            <c:bubble3D val="0"/>
            <c:spPr>
              <a:solidFill>
                <a:schemeClr val="bg2"/>
              </a:solidFill>
              <a:ln w="19050" cap="flat" cmpd="sng">
                <a:solidFill>
                  <a:schemeClr val="bg2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70E-4C1D-9B62-4133232FB3E1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70E-4C1D-9B62-4133232FB3E1}"/>
              </c:ext>
            </c:extLst>
          </c:dPt>
          <c:val>
            <c:numRef>
              <c:f>Progreso!$K$7:$M$7</c:f>
              <c:numCache>
                <c:formatCode>0%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0E-4C1D-9B62-4133232FB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planillaexcel.com/plantillas?ref=spreadsheet" TargetMode="External"/><Relationship Id="rId1" Type="http://schemas.openxmlformats.org/officeDocument/2006/relationships/hyperlink" Target="https://www.planillaexcel.com/ayuda/plantillas?ref=spreadsheet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257810</xdr:colOff>
      <xdr:row>4</xdr:row>
      <xdr:rowOff>152400</xdr:rowOff>
    </xdr:from>
    <xdr:to>
      <xdr:col>7</xdr:col>
      <xdr:colOff>448310</xdr:colOff>
      <xdr:row>55</xdr:row>
      <xdr:rowOff>120650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4B724E4A-1D2A-4489-B36F-853EC904F357}"/>
            </a:ext>
          </a:extLst>
        </xdr:cNvPr>
        <xdr:cNvSpPr txBox="1"/>
      </xdr:nvSpPr>
      <xdr:spPr>
        <a:xfrm>
          <a:off x="259080" y="1803400"/>
          <a:ext cx="8089900" cy="99999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600">
              <a:solidFill>
                <a:schemeClr val="tx1">
                  <a:lumMod val="65000"/>
                  <a:lumOff val="35000"/>
                </a:schemeClr>
              </a:solidFill>
            </a:rPr>
            <a:t>En la plantilla de excel de cálculo de fondo</a:t>
          </a:r>
          <a:r>
            <a:rPr lang="es-ES" sz="1600" baseline="0">
              <a:solidFill>
                <a:schemeClr val="tx1">
                  <a:lumMod val="65000"/>
                  <a:lumOff val="35000"/>
                </a:schemeClr>
              </a:solidFill>
            </a:rPr>
            <a:t> de emergencia le permite saber cuánto debe ahorrar y cuánto le va a llevar constituír un fondo de emergencia</a:t>
          </a:r>
          <a:endParaRPr lang="es-ES" sz="1600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es-ES" sz="160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>
              <a:solidFill>
                <a:schemeClr val="tx1">
                  <a:lumMod val="65000"/>
                  <a:lumOff val="35000"/>
                </a:schemeClr>
              </a:solidFill>
            </a:rPr>
            <a:t>Para usarla,</a:t>
          </a:r>
          <a:r>
            <a:rPr lang="en-US" sz="1600" baseline="0">
              <a:solidFill>
                <a:schemeClr val="tx1">
                  <a:lumMod val="65000"/>
                  <a:lumOff val="35000"/>
                </a:schemeClr>
              </a:solidFill>
            </a:rPr>
            <a:t> sigue estos pasos:</a:t>
          </a:r>
        </a:p>
        <a:p>
          <a:endParaRPr lang="en-U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1. </a:t>
          </a:r>
          <a:r>
            <a:rPr lang="es-ES" sz="1600" b="0" baseline="0">
              <a:solidFill>
                <a:schemeClr val="tx1">
                  <a:lumMod val="65000"/>
                  <a:lumOff val="35000"/>
                </a:schemeClr>
              </a:solidFill>
            </a:rPr>
            <a:t>En la hoja "Fondo de emergencia" debe detallar:</a:t>
          </a:r>
        </a:p>
        <a:p>
          <a:r>
            <a:rPr lang="es-ES" sz="1600" b="0" baseline="0">
              <a:solidFill>
                <a:schemeClr val="tx1">
                  <a:lumMod val="65000"/>
                  <a:lumOff val="35000"/>
                </a:schemeClr>
              </a:solidFill>
            </a:rPr>
            <a:t>		- En la celda C7 la fecha en la que empezará a ahorrar. Debe escribirla en formato dd/mm/aaaa por ejemplo 15/03/2023.  Se mostrará como mes y año.</a:t>
          </a:r>
        </a:p>
        <a:p>
          <a:endParaRPr lang="es-ES" sz="1600" b="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s-ES" sz="1600" b="0" baseline="0">
              <a:solidFill>
                <a:schemeClr val="tx1">
                  <a:lumMod val="65000"/>
                  <a:lumOff val="35000"/>
                </a:schemeClr>
              </a:solidFill>
            </a:rPr>
            <a:t>		- En la celda C8 especifique si ya cuenta con un ahorro previo. Sino, deje la celda en blanco.</a:t>
          </a:r>
        </a:p>
        <a:p>
          <a:endParaRPr lang="es-ES" sz="1600" b="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s-ES" sz="1600" b="0" baseline="0">
              <a:solidFill>
                <a:schemeClr val="tx1">
                  <a:lumMod val="65000"/>
                  <a:lumOff val="35000"/>
                </a:schemeClr>
              </a:solidFill>
            </a:rPr>
            <a:t>		</a:t>
          </a:r>
          <a:r>
            <a:rPr lang="es-ES" sz="1600" b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- En la celda C9 especifique el ahorro mensual que se compromete a realizar.</a:t>
          </a:r>
        </a:p>
        <a:p>
          <a:r>
            <a:rPr lang="es-ES" sz="1600" b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		- En la celda C10 especifique la cantidad de meses que quiere cubrir sus gastos esenciales con el ahorro de emergencia.</a:t>
          </a:r>
        </a:p>
        <a:p>
          <a:endParaRPr lang="es-ES" sz="1600" b="0" baseline="0">
            <a:solidFill>
              <a:schemeClr val="tx1">
                <a:lumMod val="65000"/>
                <a:lumOff val="35000"/>
              </a:schemeClr>
            </a:solidFill>
            <a:latin typeface="+mn-lt"/>
            <a:ea typeface="+mn-ea"/>
            <a:cs typeface="+mn-cs"/>
          </a:endParaRPr>
        </a:p>
        <a:p>
          <a:r>
            <a:rPr lang="es-ES" sz="1600" b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		- En la celda G7 escriba el % de inflación mensual estimada. </a:t>
          </a:r>
        </a:p>
        <a:p>
          <a:endParaRPr lang="es-ES" sz="1600" b="0" baseline="0">
            <a:solidFill>
              <a:schemeClr val="tx1">
                <a:lumMod val="65000"/>
                <a:lumOff val="35000"/>
              </a:schemeClr>
            </a:solidFill>
            <a:latin typeface="+mn-lt"/>
            <a:ea typeface="+mn-ea"/>
            <a:cs typeface="+mn-cs"/>
          </a:endParaRPr>
        </a:p>
        <a:p>
          <a:r>
            <a:rPr lang="es-ES" sz="1600" b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		- En la celda G8 escriba el % de interés mensual del ahorro (si invierte sus ahorros)</a:t>
          </a:r>
        </a:p>
        <a:p>
          <a:endParaRPr lang="es-ES" sz="1600" b="0" baseline="0">
            <a:solidFill>
              <a:schemeClr val="tx1">
                <a:lumMod val="65000"/>
                <a:lumOff val="35000"/>
              </a:schemeClr>
            </a:solidFill>
            <a:latin typeface="+mn-lt"/>
            <a:ea typeface="+mn-ea"/>
            <a:cs typeface="+mn-cs"/>
          </a:endParaRPr>
        </a:p>
        <a:p>
          <a:r>
            <a:rPr lang="es-ES" sz="1600" b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		- Complete en la tabla los gastos esenciales que debe cubrir si o si ante cualquier imponderable. Por ejemplo la hipoteca o alquiler, el seguro de salud, escuela, etc.</a:t>
          </a:r>
          <a:endParaRPr lang="es-ES" sz="1600" b="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es-ES" sz="1600" b="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es-ES" sz="1600" b="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s-E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2. </a:t>
          </a:r>
          <a:r>
            <a:rPr lang="es-ES" sz="1600" b="0" baseline="0">
              <a:solidFill>
                <a:schemeClr val="tx1">
                  <a:lumMod val="65000"/>
                  <a:lumOff val="35000"/>
                </a:schemeClr>
              </a:solidFill>
            </a:rPr>
            <a:t>En la hoja "Progreso" complete en la tabla la fecha y los ahorros que destinados al fondo.</a:t>
          </a:r>
        </a:p>
        <a:p>
          <a:r>
            <a:rPr lang="es-ES" sz="1600" b="0" baseline="0">
              <a:solidFill>
                <a:schemeClr val="tx1">
                  <a:lumMod val="65000"/>
                  <a:lumOff val="35000"/>
                </a:schemeClr>
              </a:solidFill>
            </a:rPr>
            <a:t>		</a:t>
          </a:r>
          <a:endParaRPr lang="en-U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en-US" sz="1600" b="1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RESULTADOS</a:t>
          </a:r>
        </a:p>
        <a:p>
          <a:endParaRPr lang="en-US" sz="1600" b="1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 b="1" baseline="0">
              <a:solidFill>
                <a:schemeClr val="tx1">
                  <a:lumMod val="65000"/>
                  <a:lumOff val="35000"/>
                </a:schemeClr>
              </a:solidFill>
            </a:rPr>
            <a:t>1. </a:t>
          </a:r>
          <a:r>
            <a:rPr lang="en-US" sz="1600" b="0" baseline="0">
              <a:solidFill>
                <a:schemeClr val="tx1">
                  <a:lumMod val="65000"/>
                  <a:lumOff val="35000"/>
                </a:schemeClr>
              </a:solidFill>
            </a:rPr>
            <a:t>En la hoja "Fondo de emergencia" verá a partir de la columna E el monto necesario a ahorrar, el ahorro previo, la nueva meta de ahorro, el mes y el año que lograría cumplirlo y la cantidad de tiempo que le llevaría</a:t>
          </a:r>
        </a:p>
        <a:p>
          <a:endParaRPr lang="en-US" sz="1600" b="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 b="0" baseline="0">
              <a:solidFill>
                <a:schemeClr val="tx1">
                  <a:lumMod val="65000"/>
                  <a:lumOff val="35000"/>
                </a:schemeClr>
              </a:solidFill>
            </a:rPr>
            <a:t>2. En la hoja Progreso podra visualizar  qué % del ahorro va con una tabla y un gráfico</a:t>
          </a:r>
        </a:p>
        <a:p>
          <a:r>
            <a:rPr lang="en-US" sz="1600" b="0" baseline="0">
              <a:solidFill>
                <a:schemeClr val="tx1">
                  <a:lumMod val="65000"/>
                  <a:lumOff val="35000"/>
                </a:schemeClr>
              </a:solidFill>
            </a:rPr>
            <a:t>		</a:t>
          </a:r>
          <a:endParaRPr lang="es-ES" sz="1600" baseline="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  <xdr:twoCellAnchor>
    <xdr:from>
      <xdr:col>7</xdr:col>
      <xdr:colOff>635000</xdr:colOff>
      <xdr:row>4</xdr:row>
      <xdr:rowOff>152400</xdr:rowOff>
    </xdr:from>
    <xdr:to>
      <xdr:col>10</xdr:col>
      <xdr:colOff>1231900</xdr:colOff>
      <xdr:row>25</xdr:row>
      <xdr:rowOff>165100</xdr:rowOff>
    </xdr:to>
    <xdr:sp macro="" textlink="">
      <xdr:nvSpPr>
        <xdr:cNvPr id="3" name="TextBox 5">
          <a:extLst>
            <a:ext uri="{FF2B5EF4-FFF2-40B4-BE49-F238E27FC236}">
              <a16:creationId xmlns:a16="http://schemas.microsoft.com/office/drawing/2014/main" id="{F50F4ECF-2A8A-4D2F-A074-9FC8B70457ED}"/>
            </a:ext>
          </a:extLst>
        </xdr:cNvPr>
        <xdr:cNvSpPr txBox="1"/>
      </xdr:nvSpPr>
      <xdr:spPr>
        <a:xfrm>
          <a:off x="8536940" y="1803400"/>
          <a:ext cx="4401820" cy="4137660"/>
        </a:xfrm>
        <a:prstGeom prst="rect">
          <a:avLst/>
        </a:prstGeom>
        <a:solidFill>
          <a:srgbClr val="FBFBFB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74320" tIns="274320" rIns="274320" bIns="274320" rtlCol="0" anchor="t"/>
        <a:lstStyle/>
        <a:p>
          <a:r>
            <a:rPr lang="en-US" sz="1800" b="1">
              <a:solidFill>
                <a:schemeClr val="tx1">
                  <a:lumMod val="65000"/>
                  <a:lumOff val="35000"/>
                </a:schemeClr>
              </a:solidFill>
            </a:rPr>
            <a:t>Más ayuda</a:t>
          </a:r>
        </a:p>
        <a:p>
          <a:endParaRPr lang="en-US" sz="800" b="1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>
              <a:solidFill>
                <a:schemeClr val="tx1">
                  <a:lumMod val="65000"/>
                  <a:lumOff val="35000"/>
                </a:schemeClr>
              </a:solidFill>
            </a:rPr>
            <a:t>Si quieres saber más sobre cómo usar esta plantilla,</a:t>
          </a:r>
          <a:r>
            <a:rPr lang="en-US" sz="1600" baseline="0">
              <a:solidFill>
                <a:schemeClr val="tx1">
                  <a:lumMod val="65000"/>
                  <a:lumOff val="35000"/>
                </a:schemeClr>
              </a:solidFill>
            </a:rPr>
            <a:t> o adaptarla, extenderla o corregir algún error, sigue este link:</a:t>
          </a:r>
        </a:p>
        <a:p>
          <a:endParaRPr lang="en-US" sz="1600" baseline="0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en-US" sz="1600">
            <a:solidFill>
              <a:schemeClr val="tx1">
                <a:lumMod val="65000"/>
                <a:lumOff val="35000"/>
              </a:schemeClr>
            </a:solidFill>
          </a:endParaRPr>
        </a:p>
        <a:p>
          <a:endParaRPr lang="en-US" sz="160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800" b="1">
              <a:solidFill>
                <a:schemeClr val="tx1">
                  <a:lumMod val="65000"/>
                  <a:lumOff val="35000"/>
                </a:schemeClr>
              </a:solidFill>
            </a:rPr>
            <a:t>Otras plantillas</a:t>
          </a:r>
        </a:p>
        <a:p>
          <a:endParaRPr lang="en-US" sz="800">
            <a:solidFill>
              <a:schemeClr val="tx1">
                <a:lumMod val="65000"/>
                <a:lumOff val="35000"/>
              </a:schemeClr>
            </a:solidFill>
          </a:endParaRPr>
        </a:p>
        <a:p>
          <a:r>
            <a:rPr lang="en-US" sz="1600">
              <a:solidFill>
                <a:schemeClr val="tx1">
                  <a:lumMod val="65000"/>
                  <a:lumOff val="35000"/>
                </a:schemeClr>
              </a:solidFill>
            </a:rPr>
            <a:t>Si esta plantilla</a:t>
          </a:r>
          <a:r>
            <a:rPr lang="en-US" sz="1600" baseline="0">
              <a:solidFill>
                <a:schemeClr val="tx1">
                  <a:lumMod val="65000"/>
                  <a:lumOff val="35000"/>
                </a:schemeClr>
              </a:solidFill>
            </a:rPr>
            <a:t> no es lo que necesitas, es posible que tengamos otra que se ajuste mejor. Aquí puedes acceder a muchas otras más:</a:t>
          </a:r>
        </a:p>
      </xdr:txBody>
    </xdr:sp>
    <xdr:clientData/>
  </xdr:twoCellAnchor>
  <xdr:twoCellAnchor editAs="absolute">
    <xdr:from>
      <xdr:col>8</xdr:col>
      <xdr:colOff>916940</xdr:colOff>
      <xdr:row>1</xdr:row>
      <xdr:rowOff>8890</xdr:rowOff>
    </xdr:from>
    <xdr:to>
      <xdr:col>10</xdr:col>
      <xdr:colOff>408940</xdr:colOff>
      <xdr:row>2</xdr:row>
      <xdr:rowOff>66040</xdr:rowOff>
    </xdr:to>
    <xdr:sp macro="" textlink="">
      <xdr:nvSpPr>
        <xdr:cNvPr id="4" name="TextBox 13">
          <a:extLst>
            <a:ext uri="{FF2B5EF4-FFF2-40B4-BE49-F238E27FC236}">
              <a16:creationId xmlns:a16="http://schemas.microsoft.com/office/drawing/2014/main" id="{BFCE8AB4-8963-4237-93AC-B5BD1B51E357}"/>
            </a:ext>
          </a:extLst>
        </xdr:cNvPr>
        <xdr:cNvSpPr txBox="1"/>
      </xdr:nvSpPr>
      <xdr:spPr>
        <a:xfrm>
          <a:off x="10086340" y="129540"/>
          <a:ext cx="2032000" cy="749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 b="1">
              <a:solidFill>
                <a:srgbClr val="01B1A3"/>
              </a:solidFill>
              <a:latin typeface="Arial Rounded MT Bold" panose="020F0704030504030204" pitchFamily="34" charset="77"/>
              <a:ea typeface="Apple Symbols" panose="02000000000000000000" pitchFamily="2" charset="-79"/>
              <a:cs typeface="Apple Symbols" panose="02000000000000000000" pitchFamily="2" charset="-79"/>
            </a:rPr>
            <a:t>PlanillaExcel.com</a:t>
          </a:r>
        </a:p>
      </xdr:txBody>
    </xdr:sp>
    <xdr:clientData/>
  </xdr:twoCellAnchor>
  <xdr:twoCellAnchor editAs="absolute">
    <xdr:from>
      <xdr:col>1</xdr:col>
      <xdr:colOff>30480</xdr:colOff>
      <xdr:row>1</xdr:row>
      <xdr:rowOff>77153</xdr:rowOff>
    </xdr:from>
    <xdr:to>
      <xdr:col>4</xdr:col>
      <xdr:colOff>1134110</xdr:colOff>
      <xdr:row>1</xdr:row>
      <xdr:rowOff>689928</xdr:rowOff>
    </xdr:to>
    <xdr:sp macro="" textlink="">
      <xdr:nvSpPr>
        <xdr:cNvPr id="5" name="TextBox 2">
          <a:extLst>
            <a:ext uri="{FF2B5EF4-FFF2-40B4-BE49-F238E27FC236}">
              <a16:creationId xmlns:a16="http://schemas.microsoft.com/office/drawing/2014/main" id="{3701823B-4108-442A-BF9D-8AC67E3276E3}"/>
            </a:ext>
          </a:extLst>
        </xdr:cNvPr>
        <xdr:cNvSpPr txBox="1"/>
      </xdr:nvSpPr>
      <xdr:spPr>
        <a:xfrm>
          <a:off x="309880" y="197803"/>
          <a:ext cx="4913630" cy="612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400" b="1">
              <a:solidFill>
                <a:srgbClr val="01B1A3"/>
              </a:solidFill>
            </a:rPr>
            <a:t>Cálculo de fondo de emergencia</a:t>
          </a:r>
        </a:p>
      </xdr:txBody>
    </xdr:sp>
    <xdr:clientData/>
  </xdr:twoCellAnchor>
  <xdr:twoCellAnchor>
    <xdr:from>
      <xdr:col>7</xdr:col>
      <xdr:colOff>671830</xdr:colOff>
      <xdr:row>12</xdr:row>
      <xdr:rowOff>15240</xdr:rowOff>
    </xdr:from>
    <xdr:to>
      <xdr:col>10</xdr:col>
      <xdr:colOff>1181798</xdr:colOff>
      <xdr:row>14</xdr:row>
      <xdr:rowOff>41626</xdr:rowOff>
    </xdr:to>
    <xdr:sp macro="" textlink="">
      <xdr:nvSpPr>
        <xdr:cNvPr id="6" name="TextBox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07BC06-A21F-4474-B180-7F223A7AEBD2}"/>
            </a:ext>
          </a:extLst>
        </xdr:cNvPr>
        <xdr:cNvSpPr txBox="1"/>
      </xdr:nvSpPr>
      <xdr:spPr>
        <a:xfrm>
          <a:off x="8573770" y="3232150"/>
          <a:ext cx="4317428" cy="4226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74320" tIns="0" rIns="274320" bIns="0" rtlCol="0" anchor="ctr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rgbClr val="12A779"/>
              </a:solidFill>
              <a:effectLst/>
              <a:latin typeface="+mn-lt"/>
              <a:ea typeface="+mn-ea"/>
              <a:cs typeface="+mn-cs"/>
            </a:rPr>
            <a:t>www.planillaexcel.com/ayuda/plantillas</a:t>
          </a:r>
          <a:endParaRPr lang="es-AR" sz="1600">
            <a:solidFill>
              <a:srgbClr val="12A779"/>
            </a:solidFill>
            <a:effectLst/>
          </a:endParaRPr>
        </a:p>
      </xdr:txBody>
    </xdr:sp>
    <xdr:clientData/>
  </xdr:twoCellAnchor>
  <xdr:twoCellAnchor>
    <xdr:from>
      <xdr:col>7</xdr:col>
      <xdr:colOff>675586</xdr:colOff>
      <xdr:row>23</xdr:row>
      <xdr:rowOff>96720</xdr:rowOff>
    </xdr:from>
    <xdr:to>
      <xdr:col>10</xdr:col>
      <xdr:colOff>1184299</xdr:colOff>
      <xdr:row>25</xdr:row>
      <xdr:rowOff>87829</xdr:rowOff>
    </xdr:to>
    <xdr:sp macro="" textlink="">
      <xdr:nvSpPr>
        <xdr:cNvPr id="7" name="TextBox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697AE71-76FC-4536-8BFC-16AB806B67C6}"/>
            </a:ext>
          </a:extLst>
        </xdr:cNvPr>
        <xdr:cNvSpPr txBox="1"/>
      </xdr:nvSpPr>
      <xdr:spPr>
        <a:xfrm>
          <a:off x="8576256" y="5484060"/>
          <a:ext cx="4317443" cy="3797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74320" tIns="0" rIns="274320" bIns="0" rtlCol="0" anchor="ctr"/>
        <a:lstStyle/>
        <a:p>
          <a:r>
            <a:rPr lang="en-US" sz="1600" b="1">
              <a:solidFill>
                <a:srgbClr val="12A779"/>
              </a:solidFill>
            </a:rPr>
            <a:t>www.planillaexcel.com/plantillas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2129790</xdr:colOff>
      <xdr:row>1</xdr:row>
      <xdr:rowOff>-1</xdr:rowOff>
    </xdr:from>
    <xdr:to>
      <xdr:col>12</xdr:col>
      <xdr:colOff>1184592</xdr:colOff>
      <xdr:row>2</xdr:row>
      <xdr:rowOff>70802</xdr:rowOff>
    </xdr:to>
    <xdr:sp macro="" textlink="">
      <xdr:nvSpPr>
        <xdr:cNvPr id="2" name="TextBox 13">
          <a:extLst>
            <a:ext uri="{FF2B5EF4-FFF2-40B4-BE49-F238E27FC236}">
              <a16:creationId xmlns:a16="http://schemas.microsoft.com/office/drawing/2014/main" id="{5F3AB667-AB86-434C-B706-522E95B181AC}"/>
            </a:ext>
          </a:extLst>
        </xdr:cNvPr>
        <xdr:cNvSpPr txBox="1"/>
      </xdr:nvSpPr>
      <xdr:spPr>
        <a:xfrm>
          <a:off x="11400790" y="172402"/>
          <a:ext cx="1987550" cy="7667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 b="1">
              <a:solidFill>
                <a:srgbClr val="01B1A3"/>
              </a:solidFill>
              <a:latin typeface="Arial Rounded MT Bold" panose="020F0704030504030204" pitchFamily="34" charset="77"/>
              <a:ea typeface="Apple Symbols" panose="02000000000000000000" pitchFamily="2" charset="-79"/>
              <a:cs typeface="Apple Symbols" panose="02000000000000000000" pitchFamily="2" charset="-79"/>
            </a:rPr>
            <a:t>PlanillaExcel.com</a:t>
          </a:r>
        </a:p>
      </xdr:txBody>
    </xdr:sp>
    <xdr:clientData/>
  </xdr:twoCellAnchor>
  <xdr:twoCellAnchor editAs="absolute">
    <xdr:from>
      <xdr:col>1</xdr:col>
      <xdr:colOff>40640</xdr:colOff>
      <xdr:row>1</xdr:row>
      <xdr:rowOff>41593</xdr:rowOff>
    </xdr:from>
    <xdr:to>
      <xdr:col>4</xdr:col>
      <xdr:colOff>916940</xdr:colOff>
      <xdr:row>1</xdr:row>
      <xdr:rowOff>650558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3F9C925-6757-4A39-B7D3-BB5AD7081CA4}"/>
            </a:ext>
          </a:extLst>
        </xdr:cNvPr>
        <xdr:cNvSpPr txBox="1"/>
      </xdr:nvSpPr>
      <xdr:spPr>
        <a:xfrm>
          <a:off x="237490" y="225743"/>
          <a:ext cx="4904740" cy="6089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400" b="1">
              <a:solidFill>
                <a:srgbClr val="01B1A3"/>
              </a:solidFill>
            </a:rPr>
            <a:t>Cálculo de fondo de emergencia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742950</xdr:colOff>
      <xdr:row>8</xdr:row>
      <xdr:rowOff>33337</xdr:rowOff>
    </xdr:from>
    <xdr:to>
      <xdr:col>14</xdr:col>
      <xdr:colOff>152401</xdr:colOff>
      <xdr:row>24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6E63912-368A-8038-7EC5-30225B63D8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266700</xdr:colOff>
      <xdr:row>14</xdr:row>
      <xdr:rowOff>238125</xdr:rowOff>
    </xdr:from>
    <xdr:to>
      <xdr:col>5</xdr:col>
      <xdr:colOff>742950</xdr:colOff>
      <xdr:row>16</xdr:row>
      <xdr:rowOff>66675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32FDA77-C711-176C-6841-81712B448E10}"/>
            </a:ext>
          </a:extLst>
        </xdr:cNvPr>
        <xdr:cNvSpPr txBox="1"/>
      </xdr:nvSpPr>
      <xdr:spPr>
        <a:xfrm>
          <a:off x="5029200" y="3695700"/>
          <a:ext cx="47625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600" b="1">
              <a:solidFill>
                <a:srgbClr val="595959"/>
              </a:solidFill>
            </a:rPr>
            <a:t>0%</a:t>
          </a:r>
        </a:p>
      </xdr:txBody>
    </xdr:sp>
    <xdr:clientData/>
  </xdr:twoCellAnchor>
  <xdr:twoCellAnchor>
    <xdr:from>
      <xdr:col>9</xdr:col>
      <xdr:colOff>133350</xdr:colOff>
      <xdr:row>14</xdr:row>
      <xdr:rowOff>228600</xdr:rowOff>
    </xdr:from>
    <xdr:to>
      <xdr:col>13</xdr:col>
      <xdr:colOff>19050</xdr:colOff>
      <xdr:row>16</xdr:row>
      <xdr:rowOff>57150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455ADBAA-3DCD-4826-BEE2-FABC849C393E}"/>
            </a:ext>
          </a:extLst>
        </xdr:cNvPr>
        <xdr:cNvSpPr txBox="1"/>
      </xdr:nvSpPr>
      <xdr:spPr>
        <a:xfrm>
          <a:off x="9248775" y="3686175"/>
          <a:ext cx="64770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L" sz="1600" b="1">
              <a:solidFill>
                <a:srgbClr val="595959"/>
              </a:solidFill>
            </a:rPr>
            <a:t>100%</a:t>
          </a:r>
        </a:p>
      </xdr:txBody>
    </xdr:sp>
    <xdr:clientData/>
  </xdr:twoCellAnchor>
  <xdr:twoCellAnchor>
    <xdr:from>
      <xdr:col>6</xdr:col>
      <xdr:colOff>19049</xdr:colOff>
      <xdr:row>14</xdr:row>
      <xdr:rowOff>152400</xdr:rowOff>
    </xdr:from>
    <xdr:to>
      <xdr:col>6</xdr:col>
      <xdr:colOff>790574</xdr:colOff>
      <xdr:row>15</xdr:row>
      <xdr:rowOff>228600</xdr:rowOff>
    </xdr:to>
    <xdr:sp macro="" textlink="$F$4">
      <xdr:nvSpPr>
        <xdr:cNvPr id="5" name="CuadroTexto 4">
          <a:extLst>
            <a:ext uri="{FF2B5EF4-FFF2-40B4-BE49-F238E27FC236}">
              <a16:creationId xmlns:a16="http://schemas.microsoft.com/office/drawing/2014/main" id="{16CAF750-36FE-4C7E-A227-17170AAC4BD7}"/>
            </a:ext>
          </a:extLst>
        </xdr:cNvPr>
        <xdr:cNvSpPr txBox="1"/>
      </xdr:nvSpPr>
      <xdr:spPr>
        <a:xfrm>
          <a:off x="5543549" y="3609975"/>
          <a:ext cx="77152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740DC5FD-8C97-498B-9070-C0D880AC693E}" type="TxLink">
            <a:rPr lang="en-US" sz="16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0%</a:t>
          </a:fld>
          <a:endParaRPr lang="es-CL" sz="28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9</xdr:col>
      <xdr:colOff>110490</xdr:colOff>
      <xdr:row>1</xdr:row>
      <xdr:rowOff>0</xdr:rowOff>
    </xdr:from>
    <xdr:to>
      <xdr:col>14</xdr:col>
      <xdr:colOff>535940</xdr:colOff>
      <xdr:row>2</xdr:row>
      <xdr:rowOff>72390</xdr:rowOff>
    </xdr:to>
    <xdr:sp macro="" textlink="">
      <xdr:nvSpPr>
        <xdr:cNvPr id="6" name="TextBox 13">
          <a:extLst>
            <a:ext uri="{FF2B5EF4-FFF2-40B4-BE49-F238E27FC236}">
              <a16:creationId xmlns:a16="http://schemas.microsoft.com/office/drawing/2014/main" id="{7B863C19-7358-42EE-A954-B454AC98EE0F}"/>
            </a:ext>
          </a:extLst>
        </xdr:cNvPr>
        <xdr:cNvSpPr txBox="1"/>
      </xdr:nvSpPr>
      <xdr:spPr>
        <a:xfrm>
          <a:off x="9502140" y="182880"/>
          <a:ext cx="2021840" cy="763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r"/>
          <a:r>
            <a:rPr lang="en-US" sz="1400" b="1">
              <a:solidFill>
                <a:srgbClr val="01B1A3"/>
              </a:solidFill>
              <a:latin typeface="Arial Rounded MT Bold" panose="020F0704030504030204" pitchFamily="34" charset="77"/>
              <a:ea typeface="Apple Symbols" panose="02000000000000000000" pitchFamily="2" charset="-79"/>
              <a:cs typeface="Apple Symbols" panose="02000000000000000000" pitchFamily="2" charset="-79"/>
            </a:rPr>
            <a:t>PlanillaExcel.com</a:t>
          </a:r>
        </a:p>
      </xdr:txBody>
    </xdr:sp>
    <xdr:clientData/>
  </xdr:twoCellAnchor>
  <xdr:twoCellAnchor editAs="absolute">
    <xdr:from>
      <xdr:col>1</xdr:col>
      <xdr:colOff>0</xdr:colOff>
      <xdr:row>1</xdr:row>
      <xdr:rowOff>73343</xdr:rowOff>
    </xdr:from>
    <xdr:to>
      <xdr:col>5</xdr:col>
      <xdr:colOff>377190</xdr:colOff>
      <xdr:row>1</xdr:row>
      <xdr:rowOff>682308</xdr:rowOff>
    </xdr:to>
    <xdr:sp macro="" textlink="">
      <xdr:nvSpPr>
        <xdr:cNvPr id="7" name="TextBox 2">
          <a:extLst>
            <a:ext uri="{FF2B5EF4-FFF2-40B4-BE49-F238E27FC236}">
              <a16:creationId xmlns:a16="http://schemas.microsoft.com/office/drawing/2014/main" id="{98086D93-E00F-43C5-BC1F-6A3955961A83}"/>
            </a:ext>
          </a:extLst>
        </xdr:cNvPr>
        <xdr:cNvSpPr txBox="1"/>
      </xdr:nvSpPr>
      <xdr:spPr>
        <a:xfrm>
          <a:off x="387350" y="243523"/>
          <a:ext cx="4904740" cy="6089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400" b="1">
              <a:solidFill>
                <a:srgbClr val="01B1A3"/>
              </a:solidFill>
            </a:rPr>
            <a:t>Cálculo de fondo de emergencia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AE928-98C1-42FC-A0B9-DB17E09485FC}">
  <dimension ref="B1:K5"/>
  <sheetViews>
    <sheetView showGridLines="0" workbookViewId="0">
      <selection activeCell="J39" sqref="J39"/>
    </sheetView>
  </sheetViews>
  <sheetFormatPr baseColWidth="10" defaultColWidth="11.5546875" defaultRowHeight="15.6" x14ac:dyDescent="0.3"/>
  <cols>
    <col min="1" max="1" width="4.109375" style="18" customWidth="1"/>
    <col min="2" max="11" width="18.5546875" style="18" customWidth="1"/>
    <col min="12" max="16384" width="11.5546875" style="18"/>
  </cols>
  <sheetData>
    <row r="1" spans="2:11" ht="10.199999999999999" customHeight="1" x14ac:dyDescent="0.3"/>
    <row r="2" spans="2:11" ht="55.2" customHeight="1" x14ac:dyDescent="0.3"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2:11" ht="24" customHeight="1" x14ac:dyDescent="0.3"/>
    <row r="4" spans="2:11" ht="42" customHeight="1" x14ac:dyDescent="0.3">
      <c r="B4" s="20" t="s">
        <v>20</v>
      </c>
      <c r="C4" s="21"/>
      <c r="D4" s="21"/>
      <c r="E4" s="21"/>
      <c r="F4" s="21"/>
      <c r="G4" s="21"/>
      <c r="H4" s="21"/>
      <c r="I4" s="21"/>
      <c r="J4" s="21"/>
      <c r="K4" s="21"/>
    </row>
    <row r="5" spans="2:11" ht="15" customHeight="1" x14ac:dyDescent="0.3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4B9F-60AE-427B-9F5C-B6AA4F89798C}">
  <dimension ref="B2:P47"/>
  <sheetViews>
    <sheetView showGridLines="0" tabSelected="1" zoomScale="80" zoomScaleNormal="80" workbookViewId="0">
      <selection activeCell="C7" sqref="C7"/>
    </sheetView>
  </sheetViews>
  <sheetFormatPr baseColWidth="10" defaultRowHeight="14.4" x14ac:dyDescent="0.3"/>
  <cols>
    <col min="1" max="1" width="2.88671875" customWidth="1"/>
    <col min="2" max="2" width="28.88671875" customWidth="1"/>
    <col min="3" max="3" width="18.109375" customWidth="1"/>
    <col min="5" max="5" width="25.44140625" customWidth="1"/>
    <col min="6" max="6" width="1.33203125" customWidth="1"/>
    <col min="7" max="7" width="26" customWidth="1"/>
    <col min="8" max="8" width="1.33203125" customWidth="1"/>
    <col min="9" max="9" width="18.33203125" customWidth="1"/>
    <col min="10" max="10" width="1.33203125" customWidth="1"/>
    <col min="11" max="11" width="42" customWidth="1"/>
    <col min="12" max="12" width="0.6640625" customWidth="1"/>
    <col min="13" max="13" width="28.6640625" customWidth="1"/>
    <col min="16" max="16" width="12" bestFit="1" customWidth="1"/>
  </cols>
  <sheetData>
    <row r="2" spans="2:16" s="18" customFormat="1" ht="55.2" customHeight="1" x14ac:dyDescent="0.3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</row>
    <row r="7" spans="2:16" ht="21" x14ac:dyDescent="0.4">
      <c r="B7" s="25" t="s">
        <v>2</v>
      </c>
      <c r="C7" s="17">
        <v>44986</v>
      </c>
      <c r="E7" s="25" t="s">
        <v>23</v>
      </c>
      <c r="G7" s="26">
        <v>7.0000000000000007E-2</v>
      </c>
      <c r="I7" s="29"/>
    </row>
    <row r="8" spans="2:16" ht="21" x14ac:dyDescent="0.4">
      <c r="B8" s="25" t="s">
        <v>0</v>
      </c>
      <c r="C8" s="23">
        <v>15140</v>
      </c>
      <c r="E8" s="25" t="s">
        <v>24</v>
      </c>
      <c r="G8" s="26">
        <v>7.0000000000000007E-2</v>
      </c>
      <c r="K8" s="28"/>
    </row>
    <row r="9" spans="2:16" ht="21" x14ac:dyDescent="0.4">
      <c r="B9" s="25" t="s">
        <v>1</v>
      </c>
      <c r="C9" s="23">
        <v>30000</v>
      </c>
    </row>
    <row r="10" spans="2:16" ht="21" x14ac:dyDescent="0.4">
      <c r="B10" s="25" t="s">
        <v>8</v>
      </c>
      <c r="C10" s="24">
        <v>6</v>
      </c>
      <c r="G10" s="27"/>
      <c r="I10" s="29"/>
      <c r="K10" s="30"/>
      <c r="M10" s="31"/>
    </row>
    <row r="12" spans="2:16" ht="59.4" customHeight="1" x14ac:dyDescent="0.3">
      <c r="B12" s="22" t="s">
        <v>7</v>
      </c>
      <c r="C12" s="22" t="s">
        <v>22</v>
      </c>
      <c r="E12" s="6" t="s">
        <v>4</v>
      </c>
      <c r="F12" s="3"/>
      <c r="G12" s="6" t="s">
        <v>5</v>
      </c>
      <c r="H12" s="3"/>
      <c r="I12" s="6" t="s">
        <v>21</v>
      </c>
      <c r="J12" s="5"/>
      <c r="K12" s="6" t="s">
        <v>6</v>
      </c>
      <c r="L12" s="3"/>
      <c r="M12" s="6" t="s">
        <v>11</v>
      </c>
    </row>
    <row r="13" spans="2:16" ht="21.6" customHeight="1" thickBot="1" x14ac:dyDescent="0.35">
      <c r="B13" s="1" t="s">
        <v>25</v>
      </c>
      <c r="C13" s="2">
        <v>50000</v>
      </c>
      <c r="E13" s="35">
        <f>-FV(INFLACION,COBERTURA_MESES,GASTO_MENSUAL)</f>
        <v>733212.30092175002</v>
      </c>
      <c r="F13" s="4"/>
      <c r="G13" s="36">
        <f>AHORRO_ACTUAL*(1+INTERÉS)^COBERTURA_MESES</f>
        <v>22721.05752699386</v>
      </c>
      <c r="H13" s="4"/>
      <c r="I13" s="36">
        <f>E13-G13</f>
        <v>710491.24339475611</v>
      </c>
      <c r="J13" s="4"/>
      <c r="K13" s="38">
        <f>IFERROR(EDATE(C7,(IFERROR(LN((MONTO_PENDIENTE/AHORRO_MENSUAL*INTERÉS)+1)/LN(1+INTERÉS),MONTO_PENDIENTE/AHORRO_MENSUAL))),"")</f>
        <v>45413</v>
      </c>
      <c r="L13" s="4"/>
      <c r="M13" s="37" t="str">
        <f>IFERROR(DATEDIF(MES_ACTUAL,K13,"y")&amp;" años y "&amp; DATEDIF(MES_ACTUAL,K13,"ym")&amp;" meses ","")</f>
        <v xml:space="preserve">1 años y 2 meses </v>
      </c>
      <c r="P13" s="32"/>
    </row>
    <row r="14" spans="2:16" ht="21.6" customHeight="1" thickBot="1" x14ac:dyDescent="0.35">
      <c r="B14" s="1" t="s">
        <v>28</v>
      </c>
      <c r="C14" s="2">
        <v>12000</v>
      </c>
      <c r="E14" s="35"/>
      <c r="G14" s="36"/>
      <c r="H14" s="4"/>
      <c r="I14" s="36"/>
      <c r="J14" s="4"/>
      <c r="K14" s="38"/>
      <c r="L14" s="4"/>
      <c r="M14" s="37"/>
    </row>
    <row r="15" spans="2:16" ht="18.600000000000001" thickBot="1" x14ac:dyDescent="0.35">
      <c r="B15" s="1" t="s">
        <v>27</v>
      </c>
      <c r="C15" s="2">
        <v>35000</v>
      </c>
      <c r="E15" s="27"/>
    </row>
    <row r="16" spans="2:16" ht="18.600000000000001" thickBot="1" x14ac:dyDescent="0.35">
      <c r="B16" s="1" t="s">
        <v>26</v>
      </c>
      <c r="C16" s="2">
        <v>5500</v>
      </c>
      <c r="D16" s="27"/>
      <c r="E16" s="27"/>
    </row>
    <row r="17" spans="2:13" ht="18.600000000000001" thickBot="1" x14ac:dyDescent="0.35">
      <c r="B17" s="1"/>
      <c r="C17" s="2"/>
      <c r="G17" s="29"/>
      <c r="K17" s="33"/>
      <c r="M17" s="31"/>
    </row>
    <row r="18" spans="2:13" ht="18.600000000000001" thickBot="1" x14ac:dyDescent="0.35">
      <c r="B18" s="1"/>
      <c r="C18" s="2"/>
      <c r="G18" s="29"/>
      <c r="K18" s="33"/>
      <c r="M18" s="31"/>
    </row>
    <row r="19" spans="2:13" ht="18.600000000000001" thickBot="1" x14ac:dyDescent="0.35">
      <c r="B19" s="1"/>
      <c r="C19" s="2"/>
      <c r="G19" s="29"/>
      <c r="K19" s="33"/>
      <c r="M19" s="31"/>
    </row>
    <row r="20" spans="2:13" ht="18.600000000000001" thickBot="1" x14ac:dyDescent="0.35">
      <c r="B20" s="1"/>
      <c r="C20" s="2"/>
      <c r="I20" s="30"/>
    </row>
    <row r="21" spans="2:13" ht="18.600000000000001" thickBot="1" x14ac:dyDescent="0.35">
      <c r="B21" s="1"/>
      <c r="C21" s="2"/>
      <c r="I21" s="29"/>
      <c r="K21" s="28"/>
    </row>
    <row r="22" spans="2:13" ht="18.600000000000001" thickBot="1" x14ac:dyDescent="0.35">
      <c r="B22" s="1"/>
      <c r="C22" s="2"/>
      <c r="D22" s="34"/>
      <c r="I22" s="29"/>
    </row>
    <row r="23" spans="2:13" ht="18.600000000000001" thickBot="1" x14ac:dyDescent="0.35">
      <c r="B23" s="1"/>
      <c r="C23" s="2"/>
      <c r="D23" s="34"/>
      <c r="I23" s="29"/>
    </row>
    <row r="24" spans="2:13" ht="18.600000000000001" thickBot="1" x14ac:dyDescent="0.35">
      <c r="B24" s="1"/>
      <c r="C24" s="2"/>
      <c r="D24" s="34"/>
      <c r="E24" s="34"/>
      <c r="I24" s="29"/>
    </row>
    <row r="25" spans="2:13" ht="18.600000000000001" thickBot="1" x14ac:dyDescent="0.35">
      <c r="B25" s="1"/>
      <c r="C25" s="2"/>
      <c r="D25" s="34"/>
      <c r="I25" s="29"/>
    </row>
    <row r="26" spans="2:13" ht="18.600000000000001" thickBot="1" x14ac:dyDescent="0.35">
      <c r="B26" s="1"/>
      <c r="C26" s="2"/>
      <c r="D26" s="34"/>
      <c r="I26" s="29"/>
    </row>
    <row r="27" spans="2:13" ht="18.600000000000001" thickBot="1" x14ac:dyDescent="0.35">
      <c r="B27" s="1"/>
      <c r="C27" s="2"/>
      <c r="D27" s="34"/>
      <c r="E27" s="34"/>
      <c r="I27" s="29"/>
    </row>
    <row r="28" spans="2:13" ht="18.600000000000001" thickBot="1" x14ac:dyDescent="0.35">
      <c r="B28" s="1"/>
      <c r="C28" s="2"/>
      <c r="D28" s="34"/>
      <c r="I28" s="29"/>
    </row>
    <row r="29" spans="2:13" ht="18.600000000000001" thickBot="1" x14ac:dyDescent="0.35">
      <c r="B29" s="1"/>
      <c r="C29" s="2"/>
      <c r="D29" s="34"/>
      <c r="I29" s="29"/>
    </row>
    <row r="30" spans="2:13" ht="18" x14ac:dyDescent="0.3">
      <c r="B30" s="8" t="s">
        <v>3</v>
      </c>
      <c r="C30" s="9">
        <f>SUM(C13:C29)</f>
        <v>102500</v>
      </c>
      <c r="D30" s="34"/>
      <c r="E30" s="34"/>
      <c r="I30" s="29"/>
    </row>
    <row r="31" spans="2:13" x14ac:dyDescent="0.3">
      <c r="D31" s="34"/>
      <c r="I31" s="29"/>
    </row>
    <row r="32" spans="2:13" x14ac:dyDescent="0.3">
      <c r="D32" s="34"/>
      <c r="I32" s="29"/>
    </row>
    <row r="33" spans="4:9" x14ac:dyDescent="0.3">
      <c r="D33" s="34"/>
      <c r="I33" s="29"/>
    </row>
    <row r="34" spans="4:9" x14ac:dyDescent="0.3">
      <c r="D34" s="34"/>
      <c r="I34" s="29"/>
    </row>
    <row r="35" spans="4:9" x14ac:dyDescent="0.3">
      <c r="D35" s="34"/>
      <c r="I35" s="29"/>
    </row>
    <row r="36" spans="4:9" x14ac:dyDescent="0.3">
      <c r="D36" s="34"/>
      <c r="I36" s="29"/>
    </row>
    <row r="37" spans="4:9" x14ac:dyDescent="0.3">
      <c r="D37" s="34"/>
      <c r="I37" s="29"/>
    </row>
    <row r="38" spans="4:9" x14ac:dyDescent="0.3">
      <c r="D38" s="34"/>
    </row>
    <row r="39" spans="4:9" x14ac:dyDescent="0.3">
      <c r="D39" s="27"/>
    </row>
    <row r="40" spans="4:9" x14ac:dyDescent="0.3">
      <c r="D40" s="27"/>
    </row>
    <row r="41" spans="4:9" x14ac:dyDescent="0.3">
      <c r="D41" s="27"/>
    </row>
    <row r="42" spans="4:9" x14ac:dyDescent="0.3">
      <c r="D42" s="27"/>
    </row>
    <row r="43" spans="4:9" x14ac:dyDescent="0.3">
      <c r="D43" s="27"/>
    </row>
    <row r="44" spans="4:9" x14ac:dyDescent="0.3">
      <c r="D44" s="27"/>
    </row>
    <row r="45" spans="4:9" x14ac:dyDescent="0.3">
      <c r="D45" s="27"/>
    </row>
    <row r="46" spans="4:9" x14ac:dyDescent="0.3">
      <c r="D46" s="27"/>
    </row>
    <row r="47" spans="4:9" x14ac:dyDescent="0.3">
      <c r="D47" s="27"/>
    </row>
  </sheetData>
  <mergeCells count="5">
    <mergeCell ref="E13:E14"/>
    <mergeCell ref="G13:G14"/>
    <mergeCell ref="I13:I14"/>
    <mergeCell ref="M13:M14"/>
    <mergeCell ref="K13:K14"/>
  </mergeCells>
  <dataValidations disablePrompts="1" count="1">
    <dataValidation allowBlank="1" showInputMessage="1" showErrorMessage="1" promptTitle="Ahorro" prompt="Interés mensual de invertir ahorros. _x000a_Asume que se reinvierten las ganancias" sqref="E8" xr:uid="{3B707ADC-A119-43A2-AAB8-E11394D0FA2A}"/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FB0F8-DEAE-4988-A864-09555F6A0FEE}">
  <dimension ref="B2:O37"/>
  <sheetViews>
    <sheetView showGridLines="0" workbookViewId="0">
      <selection activeCell="B7" sqref="B7"/>
    </sheetView>
  </sheetViews>
  <sheetFormatPr baseColWidth="10" defaultRowHeight="14.4" x14ac:dyDescent="0.3"/>
  <cols>
    <col min="1" max="1" width="5.6640625" customWidth="1"/>
    <col min="2" max="2" width="21" customWidth="1"/>
    <col min="3" max="3" width="21.88671875" customWidth="1"/>
    <col min="7" max="7" width="18.6640625" customWidth="1"/>
    <col min="8" max="8" width="16.6640625" customWidth="1"/>
    <col min="9" max="9" width="18.44140625" customWidth="1"/>
    <col min="11" max="13" width="0" hidden="1" customWidth="1"/>
    <col min="21" max="21" width="12" bestFit="1" customWidth="1"/>
  </cols>
  <sheetData>
    <row r="2" spans="2:15" s="18" customFormat="1" ht="55.2" customHeight="1" x14ac:dyDescent="0.3"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4" spans="2:15" s="11" customFormat="1" x14ac:dyDescent="0.3">
      <c r="F4" s="16">
        <f>IF(I7&lt;1,I7,"")</f>
        <v>0</v>
      </c>
      <c r="K4" s="11" t="s">
        <v>9</v>
      </c>
    </row>
    <row r="5" spans="2:15" s="11" customFormat="1" ht="25.95" customHeight="1" x14ac:dyDescent="0.3">
      <c r="B5" s="8" t="s">
        <v>10</v>
      </c>
      <c r="C5" s="9">
        <f>SUM(C7:C1000)</f>
        <v>0</v>
      </c>
    </row>
    <row r="6" spans="2:15" ht="36" x14ac:dyDescent="0.3">
      <c r="B6" s="7" t="s">
        <v>18</v>
      </c>
      <c r="C6" s="7" t="s">
        <v>19</v>
      </c>
      <c r="G6" s="7" t="s">
        <v>12</v>
      </c>
      <c r="H6" s="7" t="s">
        <v>13</v>
      </c>
      <c r="I6" s="7" t="s">
        <v>14</v>
      </c>
      <c r="K6" s="14" t="s">
        <v>15</v>
      </c>
      <c r="L6" s="14" t="s">
        <v>16</v>
      </c>
      <c r="M6" s="14" t="s">
        <v>17</v>
      </c>
    </row>
    <row r="7" spans="2:15" ht="18.600000000000001" thickBot="1" x14ac:dyDescent="0.35">
      <c r="B7" s="10"/>
      <c r="C7" s="2"/>
      <c r="G7" s="2">
        <f>C5</f>
        <v>0</v>
      </c>
      <c r="H7" s="2">
        <f>MONTO_PENDIENTE</f>
        <v>710491.24339475611</v>
      </c>
      <c r="I7" s="12">
        <f>IFERROR(G7/H7,"")</f>
        <v>0</v>
      </c>
      <c r="K7" s="13">
        <f>MIN(0.5,I7/2)</f>
        <v>0</v>
      </c>
      <c r="L7" s="15">
        <f>0.5-K7</f>
        <v>0.5</v>
      </c>
      <c r="M7" s="13">
        <v>0.5</v>
      </c>
    </row>
    <row r="8" spans="2:15" ht="18.600000000000001" thickBot="1" x14ac:dyDescent="0.35">
      <c r="B8" s="10"/>
      <c r="C8" s="2"/>
    </row>
    <row r="9" spans="2:15" ht="18.600000000000001" thickBot="1" x14ac:dyDescent="0.35">
      <c r="B9" s="10"/>
      <c r="C9" s="2"/>
    </row>
    <row r="10" spans="2:15" ht="18.600000000000001" thickBot="1" x14ac:dyDescent="0.35">
      <c r="B10" s="10"/>
      <c r="C10" s="2"/>
    </row>
    <row r="11" spans="2:15" ht="18.600000000000001" thickBot="1" x14ac:dyDescent="0.35">
      <c r="B11" s="10"/>
      <c r="C11" s="2"/>
    </row>
    <row r="12" spans="2:15" ht="18.600000000000001" thickBot="1" x14ac:dyDescent="0.35">
      <c r="B12" s="10"/>
      <c r="C12" s="2"/>
    </row>
    <row r="13" spans="2:15" ht="18.600000000000001" thickBot="1" x14ac:dyDescent="0.35">
      <c r="B13" s="10"/>
      <c r="C13" s="2"/>
    </row>
    <row r="14" spans="2:15" ht="18.600000000000001" thickBot="1" x14ac:dyDescent="0.35">
      <c r="B14" s="10"/>
      <c r="C14" s="2"/>
    </row>
    <row r="15" spans="2:15" ht="18.600000000000001" thickBot="1" x14ac:dyDescent="0.35">
      <c r="B15" s="10"/>
      <c r="C15" s="2"/>
    </row>
    <row r="16" spans="2:15" ht="18.600000000000001" thickBot="1" x14ac:dyDescent="0.35">
      <c r="B16" s="10"/>
      <c r="C16" s="2"/>
    </row>
    <row r="17" spans="2:3" ht="18.600000000000001" thickBot="1" x14ac:dyDescent="0.35">
      <c r="B17" s="10"/>
      <c r="C17" s="2"/>
    </row>
    <row r="18" spans="2:3" ht="18.600000000000001" thickBot="1" x14ac:dyDescent="0.35">
      <c r="B18" s="10"/>
      <c r="C18" s="2"/>
    </row>
    <row r="19" spans="2:3" ht="18.600000000000001" thickBot="1" x14ac:dyDescent="0.35">
      <c r="B19" s="10"/>
      <c r="C19" s="2"/>
    </row>
    <row r="20" spans="2:3" ht="18.600000000000001" thickBot="1" x14ac:dyDescent="0.35">
      <c r="B20" s="10"/>
      <c r="C20" s="2"/>
    </row>
    <row r="21" spans="2:3" ht="18.600000000000001" thickBot="1" x14ac:dyDescent="0.35">
      <c r="B21" s="10"/>
      <c r="C21" s="2"/>
    </row>
    <row r="22" spans="2:3" ht="18.600000000000001" thickBot="1" x14ac:dyDescent="0.35">
      <c r="B22" s="10"/>
      <c r="C22" s="2"/>
    </row>
    <row r="23" spans="2:3" ht="18.600000000000001" thickBot="1" x14ac:dyDescent="0.35">
      <c r="B23" s="10"/>
      <c r="C23" s="2"/>
    </row>
    <row r="24" spans="2:3" ht="18.600000000000001" thickBot="1" x14ac:dyDescent="0.35">
      <c r="B24" s="10"/>
      <c r="C24" s="2"/>
    </row>
    <row r="25" spans="2:3" ht="18.600000000000001" thickBot="1" x14ac:dyDescent="0.35">
      <c r="B25" s="10"/>
      <c r="C25" s="2"/>
    </row>
    <row r="26" spans="2:3" ht="18.600000000000001" thickBot="1" x14ac:dyDescent="0.35">
      <c r="B26" s="10"/>
      <c r="C26" s="2"/>
    </row>
    <row r="27" spans="2:3" ht="18.600000000000001" thickBot="1" x14ac:dyDescent="0.35">
      <c r="B27" s="10"/>
      <c r="C27" s="2"/>
    </row>
    <row r="28" spans="2:3" ht="18.600000000000001" thickBot="1" x14ac:dyDescent="0.35">
      <c r="B28" s="10"/>
      <c r="C28" s="2"/>
    </row>
    <row r="29" spans="2:3" ht="18.600000000000001" thickBot="1" x14ac:dyDescent="0.35">
      <c r="B29" s="10"/>
      <c r="C29" s="2"/>
    </row>
    <row r="30" spans="2:3" ht="18.600000000000001" thickBot="1" x14ac:dyDescent="0.35">
      <c r="B30" s="10"/>
      <c r="C30" s="2"/>
    </row>
    <row r="31" spans="2:3" ht="18.600000000000001" thickBot="1" x14ac:dyDescent="0.35">
      <c r="B31" s="10"/>
      <c r="C31" s="2"/>
    </row>
    <row r="32" spans="2:3" ht="18.600000000000001" thickBot="1" x14ac:dyDescent="0.35">
      <c r="B32" s="10"/>
      <c r="C32" s="2"/>
    </row>
    <row r="33" spans="2:3" ht="18.600000000000001" thickBot="1" x14ac:dyDescent="0.35">
      <c r="B33" s="10"/>
      <c r="C33" s="2"/>
    </row>
    <row r="34" spans="2:3" ht="18.600000000000001" thickBot="1" x14ac:dyDescent="0.35">
      <c r="B34" s="10"/>
      <c r="C34" s="2"/>
    </row>
    <row r="35" spans="2:3" ht="18.600000000000001" thickBot="1" x14ac:dyDescent="0.35">
      <c r="B35" s="10"/>
      <c r="C35" s="2"/>
    </row>
    <row r="36" spans="2:3" ht="18.600000000000001" thickBot="1" x14ac:dyDescent="0.35">
      <c r="B36" s="10"/>
      <c r="C36" s="2"/>
    </row>
    <row r="37" spans="2:3" ht="18.600000000000001" thickBot="1" x14ac:dyDescent="0.35">
      <c r="B37" s="10"/>
      <c r="C37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8</vt:i4>
      </vt:variant>
    </vt:vector>
  </HeadingPairs>
  <TitlesOfParts>
    <vt:vector size="11" baseType="lpstr">
      <vt:lpstr>- AYUDA -</vt:lpstr>
      <vt:lpstr>Fondo de emergencia</vt:lpstr>
      <vt:lpstr>Progreso</vt:lpstr>
      <vt:lpstr>AHORRO_ACTUAL</vt:lpstr>
      <vt:lpstr>AHORRO_MENSUAL</vt:lpstr>
      <vt:lpstr>COBERTURA_MESES</vt:lpstr>
      <vt:lpstr>GASTO_MENSUAL</vt:lpstr>
      <vt:lpstr>INFLACION</vt:lpstr>
      <vt:lpstr>INTERÉS</vt:lpstr>
      <vt:lpstr>MES_ACTUAL</vt:lpstr>
      <vt:lpstr>MONTO_PENDIENTE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PlanillaExcel</dc:creator>
  <cp:lastModifiedBy>Cecilia PlanillaExcel</cp:lastModifiedBy>
  <dcterms:created xsi:type="dcterms:W3CDTF">2023-03-21T15:48:46Z</dcterms:created>
  <dcterms:modified xsi:type="dcterms:W3CDTF">2023-05-03T14:50:56Z</dcterms:modified>
</cp:coreProperties>
</file>