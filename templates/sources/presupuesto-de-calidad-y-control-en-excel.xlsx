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17"/>
  <workbookPr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3DCA8B98-2AA0-4A0F-B431-E0BDF66C94F5}" xr6:coauthVersionLast="47" xr6:coauthVersionMax="47" xr10:uidLastSave="{00000000-0000-0000-0000-000000000000}"/>
  <bookViews>
    <workbookView xWindow="19090" yWindow="-5110" windowWidth="38620" windowHeight="21820" tabRatio="648" xr2:uid="{00000000-000D-0000-FFFF-FFFF00000000}"/>
  </bookViews>
  <sheets>
    <sheet name="- AYUDA -" sheetId="8" r:id="rId1"/>
    <sheet name="Registro Presupuesto-Gasto" sheetId="4" r:id="rId2"/>
    <sheet name="Cálculos" sheetId="6" r:id="rId3"/>
    <sheet name="Dashboard de Calidad y Control" sheetId="7" r:id="rId4"/>
  </sheets>
  <definedNames>
    <definedName name="Concepto">Cálculos!$B$10:INDEX(Cálculos!$B$10:$B$26,COUNTIF(Cálculos!$B$10:$B$26,"&lt;&gt;-"))</definedName>
    <definedName name="Gastado">Cálculos!$D$10:INDEX(Cálculos!$D$10:$D$26,COUNTIF(Cálculos!$D$10:$D$26,"&lt;&gt;-"))</definedName>
    <definedName name="Gastado_">Cálculos!$H$15</definedName>
    <definedName name="Gastado_Planeado">Cálculos!$E$10:INDEX(Cálculos!$E$10:$E$26,COUNTIF(Cálculos!$E$10:$E$26,"&lt;&gt;-"))</definedName>
    <definedName name="Medio">Pto[CONCEPTO]</definedName>
    <definedName name="Meses">Cálculos!$K$9:$K$20</definedName>
    <definedName name="Porcentaje_Gastado">Cálculos!$H$9</definedName>
    <definedName name="Presupuestado">Cálculos!$H$14</definedName>
    <definedName name="Presupuesto">Cálculos!$C$10:INDEX(Cálculos!$C$10:$C$26,COUNTIF(Cálculos!$C$10:$C$26,"&lt;&gt;-"))</definedName>
    <definedName name="Seleccion">'Dashboard de Calidad y Control'!$C$8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2" i="7" l="1"/>
  <c r="O10" i="4"/>
  <c r="O11" i="4"/>
  <c r="O12" i="4"/>
  <c r="O13" i="4"/>
  <c r="O14" i="4"/>
  <c r="O15" i="4"/>
  <c r="B9" i="6"/>
  <c r="C8" i="6"/>
  <c r="D12" i="6" l="1" a="1"/>
  <c r="D12" i="6" s="1"/>
  <c r="D13" i="6" a="1"/>
  <c r="D13" i="6" s="1"/>
  <c r="D18" i="6" a="1"/>
  <c r="D18" i="6" s="1"/>
  <c r="D25" i="6" a="1"/>
  <c r="D25" i="6" s="1"/>
  <c r="D14" i="6" a="1"/>
  <c r="D14" i="6" s="1"/>
  <c r="D17" i="6" a="1"/>
  <c r="D17" i="6" s="1"/>
  <c r="D21" i="6" a="1"/>
  <c r="D21" i="6" s="1"/>
  <c r="D23" i="6" a="1"/>
  <c r="D23" i="6" s="1"/>
  <c r="D16" i="6" a="1"/>
  <c r="D16" i="6" s="1"/>
  <c r="D22" i="6" a="1"/>
  <c r="D22" i="6" s="1"/>
  <c r="D24" i="6" a="1"/>
  <c r="D24" i="6" s="1"/>
  <c r="D11" i="6" a="1"/>
  <c r="D11" i="6" s="1"/>
  <c r="D19" i="6" a="1"/>
  <c r="D19" i="6" s="1"/>
  <c r="D15" i="6" a="1"/>
  <c r="D15" i="6" s="1"/>
  <c r="D20" i="6" a="1"/>
  <c r="D20" i="6" s="1"/>
  <c r="D26" i="6" a="1"/>
  <c r="D26" i="6" s="1"/>
  <c r="C12" i="6" a="1"/>
  <c r="C12" i="6" s="1"/>
  <c r="C14" i="6" a="1"/>
  <c r="C14" i="6" s="1"/>
  <c r="C16" i="6" a="1"/>
  <c r="C19" i="6" a="1"/>
  <c r="C10" i="6" a="1"/>
  <c r="C10" i="6" s="1"/>
  <c r="D10" i="6" a="1"/>
  <c r="D10" i="6" s="1"/>
  <c r="C11" i="6" a="1"/>
  <c r="C11" i="6" s="1"/>
  <c r="C13" i="6" a="1"/>
  <c r="C13" i="6" s="1"/>
  <c r="C15" i="6" a="1"/>
  <c r="C15" i="6" s="1"/>
  <c r="C17" i="6" a="1"/>
  <c r="C18" i="6" a="1"/>
  <c r="C20" i="6" a="1"/>
  <c r="C21" i="6" a="1"/>
  <c r="C22" i="6" a="1"/>
  <c r="C23" i="6" a="1"/>
  <c r="C24" i="6" a="1"/>
  <c r="C25" i="6" a="1"/>
  <c r="C26" i="6" a="1"/>
  <c r="B19" i="6"/>
  <c r="B17" i="6"/>
  <c r="B20" i="6"/>
  <c r="B15" i="6"/>
  <c r="B11" i="6"/>
  <c r="B12" i="6"/>
  <c r="B13" i="6"/>
  <c r="B14" i="6"/>
  <c r="B16" i="6"/>
  <c r="B18" i="6"/>
  <c r="B21" i="6"/>
  <c r="B22" i="6"/>
  <c r="B23" i="6"/>
  <c r="B24" i="6"/>
  <c r="B25" i="6"/>
  <c r="B26" i="6"/>
  <c r="B10" i="6"/>
  <c r="H15" i="6" l="1"/>
  <c r="C23" i="6"/>
  <c r="E23" i="6" s="1"/>
  <c r="C18" i="6"/>
  <c r="E18" i="6" s="1"/>
  <c r="C22" i="6"/>
  <c r="E22" i="6" s="1"/>
  <c r="C24" i="6"/>
  <c r="E24" i="6" s="1"/>
  <c r="C16" i="6"/>
  <c r="C19" i="6"/>
  <c r="E19" i="6" s="1"/>
  <c r="C17" i="6"/>
  <c r="E17" i="6" s="1"/>
  <c r="C21" i="6"/>
  <c r="C20" i="6"/>
  <c r="E20" i="6" s="1"/>
  <c r="C25" i="6"/>
  <c r="E25" i="6" s="1"/>
  <c r="C26" i="6"/>
  <c r="E26" i="6" s="1"/>
  <c r="E12" i="6"/>
  <c r="E11" i="6"/>
  <c r="E14" i="6"/>
  <c r="E10" i="6"/>
  <c r="E13" i="6"/>
  <c r="E15" i="6"/>
  <c r="H14" i="6" l="1"/>
  <c r="E21" i="6"/>
  <c r="H9" i="6"/>
  <c r="E16" i="6"/>
  <c r="H10" i="6" l="1"/>
  <c r="I9" i="6"/>
  <c r="I10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<sst xmlns="http://schemas.openxmlformats.org/spreadsheetml/2006/main" count="69" uniqueCount="48">
  <si>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</si>
  <si>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</si>
  <si>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</si>
  <si>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</si>
  <si>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</si>
  <si>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</si>
  <si>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</si>
  <si>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</si>
  <si>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</si>
  <si>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</si>
  <si>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</si>
  <si>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t>Octubre</t>
  </si>
  <si>
    <t>Presupuesto</t>
  </si>
  <si>
    <t>Gastado</t>
  </si>
  <si>
    <t>Mes Seleccionado</t>
  </si>
  <si>
    <t>PRESUPUESTO</t>
  </si>
  <si>
    <t>GASTADO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</si>
  <si>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</si>
  <si>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</si>
  <si>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</si>
  <si>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</si>
  <si>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</si>
  <si>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</si>
  <si>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</si>
  <si>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</si>
  <si>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</si>
  <si>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</si>
  <si>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</si>
  <si>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</si>
  <si>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Gráfico de progreso</t>
  </si>
  <si>
    <t>% Gastado</t>
  </si>
  <si>
    <t>Resto</t>
  </si>
  <si>
    <t>Lista de meses:</t>
  </si>
  <si>
    <t xml:space="preserve"> %Gastado/Planeado</t>
  </si>
  <si>
    <t>Ayuda</t>
  </si>
  <si>
    <t>CONCEPTO</t>
  </si>
  <si>
    <t>ID</t>
  </si>
  <si>
    <t>Hoja de cálculos automáticos (no modificar)</t>
  </si>
  <si>
    <t>Ingresa los distintos conceptos a considerar para el plan de calidad y control y el presupuesto por mes</t>
  </si>
  <si>
    <t>Ingresa los distintos conceptos a considerar para el plan de calidad y control y lo gastado por mes</t>
  </si>
  <si>
    <t>Inspección</t>
  </si>
  <si>
    <t>Pruebas y certificaciones</t>
  </si>
  <si>
    <t>Auditorias</t>
  </si>
  <si>
    <t>Control de procesos</t>
  </si>
  <si>
    <t>Retrabajo y Corrección</t>
  </si>
  <si>
    <t>Normas de calidad</t>
  </si>
  <si>
    <t>Etiquetas</t>
  </si>
  <si>
    <t>Presupuestado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</si>
</sst>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;[Red]&quot;$&quot;\-#,##0"/>
    <numFmt numFmtId="165" formatCode="&quot;$&quot;#,##0.00;[Red]&quot;$&quot;\-#,##0.00"/>
    <numFmt numFmtId="166" formatCode="&quot;$&quot;\ #,##0.0"/>
    <numFmt numFmtId="167" formatCode="&quot;$&quot;\ #,##0"/>
  </numFmts>
  <fonts count="25" x14ac:knownFonts="1">
    <font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1"/>
      <color theme="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sz val="8"/>
      <color rgb="FF0D0D0D"/>
      <name val="Segoe UI"/>
      <family val="2"/>
    </font>
    <font>
      <sz val="8"/>
      <color rgb="FF646464"/>
      <name val="Open Sans"/>
      <family val="2"/>
    </font>
    <font>
      <sz val="14"/>
      <color theme="0" tint="-0.499984740745262"/>
      <name val="Calibri"/>
      <family val="2"/>
      <scheme val="minor"/>
    </font>
    <font>
      <sz val="12"/>
      <color theme="0"/>
      <name val="Calibri Light"/>
      <family val="2"/>
      <scheme val="major"/>
    </font>
    <font>
      <b/>
      <sz val="18"/>
      <color theme="0" tint="-0.499984740745262"/>
      <name val="Calibri"/>
      <family val="2"/>
      <scheme val="minor"/>
    </font>
    <font>
      <sz val="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FAF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10" fillId="3" borderId="0" xfId="0" applyFont="1" applyFill="1"/>
    <xf numFmtId="0" fontId="11" fillId="3" borderId="0" xfId="0" applyFont="1" applyFill="1"/>
    <xf numFmtId="166" fontId="5" fillId="0" borderId="0" xfId="0" applyNumberFormat="1" applyFont="1"/>
    <xf numFmtId="9" fontId="5" fillId="0" borderId="0" xfId="2" applyFont="1"/>
    <xf numFmtId="0" fontId="12" fillId="3" borderId="0" xfId="0" applyFont="1" applyFill="1" applyAlignment="1">
      <alignment vertical="top"/>
    </xf>
    <xf numFmtId="0" fontId="1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/>
    <xf numFmtId="166" fontId="7" fillId="0" borderId="1" xfId="0" applyNumberFormat="1" applyFont="1" applyBorder="1" applyAlignment="1">
      <alignment horizontal="center"/>
    </xf>
    <xf numFmtId="9" fontId="7" fillId="0" borderId="1" xfId="2" applyFont="1" applyBorder="1" applyAlignment="1">
      <alignment horizontal="center"/>
    </xf>
    <xf numFmtId="0" fontId="5" fillId="0" borderId="1" xfId="0" applyFont="1" applyBorder="1"/>
    <xf numFmtId="0" fontId="10" fillId="4" borderId="0" xfId="0" applyFont="1" applyFill="1"/>
    <xf numFmtId="0" fontId="5" fillId="3" borderId="0" xfId="0" applyFont="1" applyFill="1"/>
    <xf numFmtId="0" fontId="3" fillId="0" borderId="0" xfId="0" applyFont="1"/>
    <xf numFmtId="9" fontId="5" fillId="0" borderId="1" xfId="2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4" fillId="0" borderId="0" xfId="3"/>
    <xf numFmtId="0" fontId="15" fillId="0" borderId="0" xfId="3" applyFont="1" applyAlignment="1">
      <alignment vertical="center"/>
    </xf>
    <xf numFmtId="0" fontId="15" fillId="0" borderId="0" xfId="3" applyFont="1" applyAlignment="1">
      <alignment vertical="top"/>
    </xf>
    <xf numFmtId="0" fontId="16" fillId="0" borderId="0" xfId="3" applyFont="1"/>
    <xf numFmtId="0" fontId="17" fillId="0" borderId="0" xfId="4" applyFill="1"/>
    <xf numFmtId="0" fontId="18" fillId="0" borderId="0" xfId="3" applyFont="1"/>
    <xf numFmtId="0" fontId="19" fillId="0" borderId="0" xfId="3" applyFont="1" applyAlignment="1">
      <alignment horizontal="left" vertical="center" indent="1"/>
    </xf>
    <xf numFmtId="0" fontId="19" fillId="0" borderId="0" xfId="3" applyFont="1"/>
    <xf numFmtId="0" fontId="20" fillId="0" borderId="0" xfId="3" applyFont="1"/>
    <xf numFmtId="0" fontId="23" fillId="0" borderId="0" xfId="0" applyFont="1" applyAlignment="1">
      <alignment vertical="top"/>
    </xf>
    <xf numFmtId="0" fontId="8" fillId="0" borderId="0" xfId="0" applyFont="1"/>
    <xf numFmtId="0" fontId="5" fillId="0" borderId="0" xfId="0" quotePrefix="1" applyFont="1"/>
    <xf numFmtId="0" fontId="5" fillId="3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top"/>
      <protection locked="0"/>
    </xf>
    <xf numFmtId="0" fontId="22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167" fontId="13" fillId="0" borderId="0" xfId="0" applyNumberFormat="1" applyFont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2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165" fontId="5" fillId="0" borderId="0" xfId="0" applyNumberFormat="1" applyFont="1"/>
    <xf numFmtId="167" fontId="5" fillId="0" borderId="1" xfId="5" applyNumberFormat="1" applyFont="1" applyBorder="1" applyAlignment="1">
      <alignment horizontal="center"/>
    </xf>
    <xf numFmtId="0" fontId="24" fillId="3" borderId="0" xfId="0" applyFont="1" applyFill="1"/>
    <xf numFmtId="0" fontId="24" fillId="3" borderId="0" xfId="0" applyFont="1" applyFill="1" applyAlignment="1">
      <alignment horizontal="center" vertical="center"/>
    </xf>
  </cellXfs>
  <cellStyles count="6">
    <cellStyle name="Hipervínculo 2" xfId="4" xr:uid="{58E7C4A4-DBA1-4A7D-8E18-6101DA83FE63}"/>
    <cellStyle name="Millares" xfId="5" builtinId="3"/>
    <cellStyle name="Normal" xfId="0" builtinId="0"/>
    <cellStyle name="Normal 2" xfId="3" xr:uid="{4A24C50A-4BE6-4F39-937F-B46CFFDC1916}"/>
    <cellStyle name="Normal 3" xfId="1" xr:uid="{00000000-0005-0000-0000-000002000000}"/>
    <cellStyle name="Porcentaje" xfId="2" builtinId="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solid">
          <fgColor indexed="64"/>
          <bgColor rgb="FFAFAFAF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numFmt numFmtId="167" formatCode="&quot;$&quot;\ #,##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 patternType="solid">
          <fgColor indexed="64"/>
          <bgColor rgb="FFAFAFAF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295073"/>
      <color rgb="FF2B90A5"/>
      <color rgb="FF04B2D9"/>
      <color rgb="FF04C4D9"/>
      <color rgb="FFF64B6B"/>
      <color rgb="FF285459"/>
      <color rgb="FF85DEF2"/>
      <color rgb="FF40E0D0"/>
      <color rgb="FF88E4F0"/>
      <color rgb="FF004F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31524491966113E-2"/>
          <c:y val="0.1608775567914035"/>
          <c:w val="0.89177159992181732"/>
          <c:h val="0.7529350607692989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Cálculos!$D$9</c:f>
              <c:strCache>
                <c:ptCount val="1"/>
                <c:pt idx="0">
                  <c:v>GASTADO</c:v>
                </c:pt>
              </c:strCache>
            </c:strRef>
          </c:tx>
          <c:spPr>
            <a:solidFill>
              <a:srgbClr val="2B90A5"/>
            </a:solidFill>
            <a:ln>
              <a:noFill/>
            </a:ln>
            <a:effectLst/>
          </c:spPr>
          <c:invertIfNegative val="0"/>
          <c:cat>
            <c:strRef>
              <c:f>[0]!Concepto</c:f>
              <c:strCache>
                <c:ptCount val="6"/>
                <c:pt idx="0">
                  <c:v>Inspección</c:v>
                </c:pt>
                <c:pt idx="1">
                  <c:v>Pruebas y certificaciones</c:v>
                </c:pt>
                <c:pt idx="2">
                  <c:v>Auditorias</c:v>
                </c:pt>
                <c:pt idx="3">
                  <c:v>Control de procesos</c:v>
                </c:pt>
                <c:pt idx="4">
                  <c:v>Retrabajo y Corrección</c:v>
                </c:pt>
                <c:pt idx="5">
                  <c:v>Normas de calidad</c:v>
                </c:pt>
              </c:strCache>
            </c:strRef>
          </c:cat>
          <c:val>
            <c:numRef>
              <c:f>[0]!Gastado</c:f>
              <c:numCache>
                <c:formatCode>"$"\ #,##0.0</c:formatCode>
                <c:ptCount val="6"/>
                <c:pt idx="0">
                  <c:v>33449.599999999999</c:v>
                </c:pt>
                <c:pt idx="1">
                  <c:v>23037.599999999999</c:v>
                </c:pt>
                <c:pt idx="2">
                  <c:v>25617.600000000002</c:v>
                </c:pt>
                <c:pt idx="3">
                  <c:v>36947</c:v>
                </c:pt>
                <c:pt idx="4">
                  <c:v>31690.400000000001</c:v>
                </c:pt>
                <c:pt idx="5">
                  <c:v>18627.599999999999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7-4451-A2A3-B221465D4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686592"/>
        <c:axId val="618678912"/>
      </c:barChart>
      <c:lineChart>
        <c:grouping val="standard"/>
        <c:varyColors val="0"/>
        <c:ser>
          <c:idx val="0"/>
          <c:order val="0"/>
          <c:tx>
            <c:strRef>
              <c:f>Cálculos!$C$9</c:f>
              <c:strCache>
                <c:ptCount val="1"/>
                <c:pt idx="0">
                  <c:v>PRESUPUESTO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40"/>
            <c:spPr>
              <a:solidFill>
                <a:schemeClr val="bg2"/>
              </a:solidFill>
              <a:ln w="9525">
                <a:noFill/>
              </a:ln>
              <a:effectLst/>
            </c:spPr>
          </c:marker>
          <c:cat>
            <c:strRef>
              <c:f>[0]!Concepto</c:f>
              <c:strCache>
                <c:ptCount val="6"/>
                <c:pt idx="0">
                  <c:v>Inspección</c:v>
                </c:pt>
                <c:pt idx="1">
                  <c:v>Pruebas y certificaciones</c:v>
                </c:pt>
                <c:pt idx="2">
                  <c:v>Auditorias</c:v>
                </c:pt>
                <c:pt idx="3">
                  <c:v>Control de procesos</c:v>
                </c:pt>
                <c:pt idx="4">
                  <c:v>Retrabajo y Corrección</c:v>
                </c:pt>
                <c:pt idx="5">
                  <c:v>Normas de calidad</c:v>
                </c:pt>
              </c:strCache>
            </c:strRef>
          </c:cat>
          <c:val>
            <c:numRef>
              <c:f>[0]!Presupuesto</c:f>
              <c:numCache>
                <c:formatCode>"$"\ #,##0.0</c:formatCode>
                <c:ptCount val="6"/>
                <c:pt idx="0">
                  <c:v>41812</c:v>
                </c:pt>
                <c:pt idx="1">
                  <c:v>38396</c:v>
                </c:pt>
                <c:pt idx="2">
                  <c:v>32022</c:v>
                </c:pt>
                <c:pt idx="3">
                  <c:v>36947</c:v>
                </c:pt>
                <c:pt idx="4">
                  <c:v>39613</c:v>
                </c:pt>
                <c:pt idx="5">
                  <c:v>31046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7-4451-A2A3-B221465D4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48719"/>
        <c:axId val="243450639"/>
      </c:lineChart>
      <c:catAx>
        <c:axId val="61868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18678912"/>
        <c:crosses val="autoZero"/>
        <c:auto val="1"/>
        <c:lblAlgn val="ctr"/>
        <c:lblOffset val="100"/>
        <c:noMultiLvlLbl val="0"/>
      </c:catAx>
      <c:valAx>
        <c:axId val="618678912"/>
        <c:scaling>
          <c:orientation val="minMax"/>
        </c:scaling>
        <c:delete val="1"/>
        <c:axPos val="l"/>
        <c:numFmt formatCode="&quot;$&quot;\ #,##0.0" sourceLinked="1"/>
        <c:majorTickMark val="none"/>
        <c:minorTickMark val="none"/>
        <c:tickLblPos val="nextTo"/>
        <c:crossAx val="618686592"/>
        <c:crosses val="autoZero"/>
        <c:crossBetween val="between"/>
      </c:valAx>
      <c:valAx>
        <c:axId val="243450639"/>
        <c:scaling>
          <c:orientation val="minMax"/>
        </c:scaling>
        <c:delete val="1"/>
        <c:axPos val="r"/>
        <c:numFmt formatCode="&quot;$&quot;\ #,##0.0" sourceLinked="1"/>
        <c:majorTickMark val="out"/>
        <c:minorTickMark val="none"/>
        <c:tickLblPos val="nextTo"/>
        <c:crossAx val="243448719"/>
        <c:crosses val="max"/>
        <c:crossBetween val="between"/>
      </c:valAx>
      <c:catAx>
        <c:axId val="243448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34506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12462543772651"/>
          <c:y val="1.1463013690513446E-2"/>
          <c:w val="0.10853676481791405"/>
          <c:h val="0.1934985787748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45742020758366E-2"/>
          <c:y val="4.9858365837633034E-2"/>
          <c:w val="0.55955766814456176"/>
          <c:h val="0.8322035791668406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4B2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3-43B3-98F2-39A3DD590043}"/>
              </c:ext>
            </c:extLst>
          </c:dPt>
          <c:dPt>
            <c:idx val="1"/>
            <c:bubble3D val="0"/>
            <c:spPr>
              <a:solidFill>
                <a:srgbClr val="85DEF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3-43B3-98F2-39A3DD590043}"/>
              </c:ext>
            </c:extLst>
          </c:dPt>
          <c:dPt>
            <c:idx val="2"/>
            <c:bubble3D val="0"/>
            <c:spPr>
              <a:solidFill>
                <a:srgbClr val="AFAFA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3-43B3-98F2-39A3DD590043}"/>
              </c:ext>
            </c:extLst>
          </c:dPt>
          <c:dPt>
            <c:idx val="3"/>
            <c:bubble3D val="0"/>
            <c:spPr>
              <a:solidFill>
                <a:srgbClr val="2854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3-43B3-98F2-39A3DD590043}"/>
              </c:ext>
            </c:extLst>
          </c:dPt>
          <c:dPt>
            <c:idx val="4"/>
            <c:bubble3D val="0"/>
            <c:spPr>
              <a:solidFill>
                <a:srgbClr val="04C4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3-43B3-98F2-39A3DD590043}"/>
              </c:ext>
            </c:extLst>
          </c:dPt>
          <c:dPt>
            <c:idx val="5"/>
            <c:bubble3D val="0"/>
            <c:spPr>
              <a:solidFill>
                <a:srgbClr val="2950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3D-4D01-80AC-C34CD6832A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[0]!Concepto</c:f>
              <c:strCache>
                <c:ptCount val="6"/>
                <c:pt idx="0">
                  <c:v>Inspección</c:v>
                </c:pt>
                <c:pt idx="1">
                  <c:v>Pruebas y certificaciones</c:v>
                </c:pt>
                <c:pt idx="2">
                  <c:v>Auditorias</c:v>
                </c:pt>
                <c:pt idx="3">
                  <c:v>Control de procesos</c:v>
                </c:pt>
                <c:pt idx="4">
                  <c:v>Retrabajo y Corrección</c:v>
                </c:pt>
                <c:pt idx="5">
                  <c:v>Normas de calidad</c:v>
                </c:pt>
              </c:strCache>
            </c:strRef>
          </c:cat>
          <c:val>
            <c:numRef>
              <c:f>[0]!Presupuesto</c:f>
              <c:numCache>
                <c:formatCode>"$"\ #,##0.0</c:formatCode>
                <c:ptCount val="6"/>
                <c:pt idx="0">
                  <c:v>41812</c:v>
                </c:pt>
                <c:pt idx="1">
                  <c:v>38396</c:v>
                </c:pt>
                <c:pt idx="2">
                  <c:v>32022</c:v>
                </c:pt>
                <c:pt idx="3">
                  <c:v>36947</c:v>
                </c:pt>
                <c:pt idx="4">
                  <c:v>39613</c:v>
                </c:pt>
                <c:pt idx="5">
                  <c:v>31046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6A3-43B3-98F2-39A3DD590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8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5844197804334"/>
          <c:y val="8.2875952296629196E-2"/>
          <c:w val="0.26226442819546419"/>
          <c:h val="0.77286058235130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Cálculos!$E$9</c:f>
              <c:strCache>
                <c:ptCount val="1"/>
                <c:pt idx="0">
                  <c:v> %Gastado/Planeado</c:v>
                </c:pt>
              </c:strCache>
            </c:strRef>
          </c:tx>
          <c:spPr>
            <a:solidFill>
              <a:srgbClr val="04B2D9"/>
            </a:solidFill>
            <a:ln>
              <a:noFill/>
            </a:ln>
            <a:effectLst/>
          </c:spPr>
          <c:invertIfNegative val="1"/>
          <c:dPt>
            <c:idx val="3"/>
            <c:invertIfNegative val="1"/>
            <c:bubble3D val="0"/>
            <c:spPr>
              <a:solidFill>
                <a:srgbClr val="04B2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D-4F71-82F8-A16D027CB5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[0]!Concepto</c:f>
              <c:strCache>
                <c:ptCount val="6"/>
                <c:pt idx="0">
                  <c:v>Inspección</c:v>
                </c:pt>
                <c:pt idx="1">
                  <c:v>Pruebas y certificaciones</c:v>
                </c:pt>
                <c:pt idx="2">
                  <c:v>Auditorias</c:v>
                </c:pt>
                <c:pt idx="3">
                  <c:v>Control de procesos</c:v>
                </c:pt>
                <c:pt idx="4">
                  <c:v>Retrabajo y Corrección</c:v>
                </c:pt>
                <c:pt idx="5">
                  <c:v>Normas de calidad</c:v>
                </c:pt>
              </c:strCache>
            </c:strRef>
          </c:cat>
          <c:val>
            <c:numRef>
              <c:f>[0]!Gastado_Planeado</c:f>
              <c:numCache>
                <c:formatCode>0%</c:formatCode>
                <c:ptCount val="5"/>
                <c:pt idx="0">
                  <c:v>0.25</c:v>
                </c:pt>
                <c:pt idx="1">
                  <c:v>0.66666666666666674</c:v>
                </c:pt>
                <c:pt idx="2">
                  <c:v>0.25</c:v>
                </c:pt>
                <c:pt idx="3">
                  <c:v>0</c:v>
                </c:pt>
                <c:pt idx="4">
                  <c:v>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85DEF2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36AD-4F71-82F8-A16D027CB5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6521136"/>
        <c:axId val="596544176"/>
      </c:barChart>
      <c:catAx>
        <c:axId val="59652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solidFill>
            <a:srgbClr val="40E0D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96544176"/>
        <c:crosses val="autoZero"/>
        <c:auto val="1"/>
        <c:lblAlgn val="ctr"/>
        <c:lblOffset val="100"/>
        <c:noMultiLvlLbl val="0"/>
      </c:catAx>
      <c:valAx>
        <c:axId val="596544176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5965211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2B90A5"/>
            </a:solidFill>
          </c:spPr>
          <c:dPt>
            <c:idx val="0"/>
            <c:bubble3D val="0"/>
            <c:spPr>
              <a:solidFill>
                <a:srgbClr val="29507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15-458D-956B-5492412A3987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15-458D-956B-5492412A3987}"/>
              </c:ext>
            </c:extLst>
          </c:dPt>
          <c:val>
            <c:numRef>
              <c:f>Cálculos!$I$9:$I$10</c:f>
              <c:numCache>
                <c:formatCode>0%</c:formatCode>
                <c:ptCount val="2"/>
                <c:pt idx="0">
                  <c:v>0.77043705307592936</c:v>
                </c:pt>
                <c:pt idx="1">
                  <c:v>0.22956294692407064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15-458D-956B-5492412A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blo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29</xdr:row>
      <xdr:rowOff>101600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11D00086-550B-49B8-B359-70FDB0AE4E1D}"/>
            </a:ext>
          </a:extLst>
        </xdr:cNvPr>
        <xdr:cNvSpPr txBox="1"/>
      </xdr:nvSpPr>
      <xdr:spPr>
        <a:xfrm>
          <a:off x="254000" y="1816100"/>
          <a:ext cx="8089900" cy="4864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Con la plantilla de </a:t>
          </a:r>
          <a:r>
            <a:rPr lang="es-ES" sz="1600" b="1">
              <a:solidFill>
                <a:schemeClr val="tx1">
                  <a:lumMod val="65000"/>
                  <a:lumOff val="35000"/>
                </a:schemeClr>
              </a:solidFill>
            </a:rPr>
            <a:t>Presupuesto</a:t>
          </a:r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 de Calidad y Control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podrás registrar el plan que tienes para cada concepto de gasto de calidad y control por mes, así como también lo ejecutado realmente.  En la hoja Dashboard podrás analizar su evolución mensual</a:t>
          </a:r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En la hoja "Registro Presupuesto-Gasto" completa los diferentes conceptos con su presupuesto y su gasto real. 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hoja Dashboard podrás segmentar por mes y ver la distribución del presupuesto, cuánto llevas gastado y luego una comparación del gasto por concepto: abajo verás un gráfico que muestra la variación entre lo planeado y gastado de cada uno de ellos.</a:t>
          </a: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ACLARACIÓN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Puedes agregar más conceptos a la tabla completando debajo de la última celda con contenido (la tabla se expandirá automáticamente)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AR" sz="1600">
            <a:effectLst/>
          </a:endParaRP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635000</xdr:colOff>
      <xdr:row>4</xdr:row>
      <xdr:rowOff>152400</xdr:rowOff>
    </xdr:from>
    <xdr:to>
      <xdr:col>10</xdr:col>
      <xdr:colOff>1231900</xdr:colOff>
      <xdr:row>25</xdr:row>
      <xdr:rowOff>165100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4F7AE2B9-6BE7-48F0-93FC-D911ED250F1F}"/>
            </a:ext>
          </a:extLst>
        </xdr:cNvPr>
        <xdr:cNvSpPr txBox="1"/>
      </xdr:nvSpPr>
      <xdr:spPr>
        <a:xfrm>
          <a:off x="8534400" y="1816100"/>
          <a:ext cx="4406900" cy="414020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>
    <xdr:from>
      <xdr:col>7</xdr:col>
      <xdr:colOff>635000</xdr:colOff>
      <xdr:row>12</xdr:row>
      <xdr:rowOff>50800</xdr:rowOff>
    </xdr:from>
    <xdr:to>
      <xdr:col>10</xdr:col>
      <xdr:colOff>1206500</xdr:colOff>
      <xdr:row>13</xdr:row>
      <xdr:rowOff>165100</xdr:rowOff>
    </xdr:to>
    <xdr:sp macro="" textlink="">
      <xdr:nvSpPr>
        <xdr:cNvPr id="4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B8A512-0847-436E-87BD-07C67F58D0C1}"/>
            </a:ext>
          </a:extLst>
        </xdr:cNvPr>
        <xdr:cNvSpPr txBox="1"/>
      </xdr:nvSpPr>
      <xdr:spPr>
        <a:xfrm>
          <a:off x="8534400" y="3282950"/>
          <a:ext cx="43815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ayuda →</a:t>
          </a:r>
        </a:p>
      </xdr:txBody>
    </xdr:sp>
    <xdr:clientData/>
  </xdr:twoCellAnchor>
  <xdr:twoCellAnchor>
    <xdr:from>
      <xdr:col>7</xdr:col>
      <xdr:colOff>660400</xdr:colOff>
      <xdr:row>22</xdr:row>
      <xdr:rowOff>165100</xdr:rowOff>
    </xdr:from>
    <xdr:to>
      <xdr:col>10</xdr:col>
      <xdr:colOff>1231900</xdr:colOff>
      <xdr:row>24</xdr:row>
      <xdr:rowOff>76200</xdr:rowOff>
    </xdr:to>
    <xdr:sp macro="" textlink="">
      <xdr:nvSpPr>
        <xdr:cNvPr id="5" name="TextBox 9">
          <a:extLst>
            <a:ext uri="{FF2B5EF4-FFF2-40B4-BE49-F238E27FC236}">
              <a16:creationId xmlns:a16="http://schemas.microsoft.com/office/drawing/2014/main" id="{2BBBB95D-77E2-4419-B606-F5A5ABE98582}"/>
            </a:ext>
          </a:extLst>
        </xdr:cNvPr>
        <xdr:cNvSpPr txBox="1"/>
      </xdr:nvSpPr>
      <xdr:spPr>
        <a:xfrm>
          <a:off x="8559800" y="5365750"/>
          <a:ext cx="4381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Ver más plantillas →</a:t>
          </a:r>
        </a:p>
      </xdr:txBody>
    </xdr:sp>
    <xdr:clientData/>
  </xdr:twoCellAnchor>
  <xdr:twoCellAnchor editAs="absolute">
    <xdr:from>
      <xdr:col>1</xdr:col>
      <xdr:colOff>0</xdr:colOff>
      <xdr:row>1</xdr:row>
      <xdr:rowOff>0</xdr:rowOff>
    </xdr:from>
    <xdr:to>
      <xdr:col>6</xdr:col>
      <xdr:colOff>359228</xdr:colOff>
      <xdr:row>2</xdr:row>
      <xdr:rowOff>50800</xdr:rowOff>
    </xdr:to>
    <xdr:sp macro="" textlink="">
      <xdr:nvSpPr>
        <xdr:cNvPr id="9" name="TextBox 12">
          <a:extLst>
            <a:ext uri="{FF2B5EF4-FFF2-40B4-BE49-F238E27FC236}">
              <a16:creationId xmlns:a16="http://schemas.microsoft.com/office/drawing/2014/main" id="{906FF4C7-5CF5-48A3-9276-B3B3AFD9DA00}"/>
            </a:ext>
          </a:extLst>
        </xdr:cNvPr>
        <xdr:cNvSpPr txBox="1"/>
      </xdr:nvSpPr>
      <xdr:spPr>
        <a:xfrm>
          <a:off x="272143" y="119743"/>
          <a:ext cx="6618514" cy="747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295073"/>
              </a:solidFill>
            </a:rPr>
            <a:t>Presupuesto</a:t>
          </a:r>
          <a:r>
            <a:rPr lang="en-US" sz="2400" b="1" baseline="0">
              <a:solidFill>
                <a:srgbClr val="295073"/>
              </a:solidFill>
            </a:rPr>
            <a:t> de Calidad y Control</a:t>
          </a:r>
          <a:endParaRPr lang="en-US" sz="2400" b="1">
            <a:solidFill>
              <a:srgbClr val="295073"/>
            </a:solidFill>
          </a:endParaRPr>
        </a:p>
      </xdr:txBody>
    </xdr:sp>
    <xdr:clientData/>
  </xdr:twoCellAnchor>
  <xdr:twoCellAnchor editAs="absolute">
    <xdr:from>
      <xdr:col>9</xdr:col>
      <xdr:colOff>45861</xdr:colOff>
      <xdr:row>0</xdr:row>
      <xdr:rowOff>94544</xdr:rowOff>
    </xdr:from>
    <xdr:to>
      <xdr:col>10</xdr:col>
      <xdr:colOff>801511</xdr:colOff>
      <xdr:row>2</xdr:row>
      <xdr:rowOff>18344</xdr:rowOff>
    </xdr:to>
    <xdr:sp macro="" textlink="">
      <xdr:nvSpPr>
        <xdr:cNvPr id="10" name="TextBox 13">
          <a:extLst>
            <a:ext uri="{FF2B5EF4-FFF2-40B4-BE49-F238E27FC236}">
              <a16:creationId xmlns:a16="http://schemas.microsoft.com/office/drawing/2014/main" id="{B9AD3A6D-069F-47B3-845A-6FBF49307ECD}"/>
            </a:ext>
          </a:extLst>
        </xdr:cNvPr>
        <xdr:cNvSpPr txBox="1"/>
      </xdr:nvSpPr>
      <xdr:spPr>
        <a:xfrm>
          <a:off x="10488083" y="94544"/>
          <a:ext cx="202565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29507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50800</xdr:colOff>
      <xdr:row>0</xdr:row>
      <xdr:rowOff>133350</xdr:rowOff>
    </xdr:from>
    <xdr:to>
      <xdr:col>6</xdr:col>
      <xdr:colOff>474133</xdr:colOff>
      <xdr:row>4</xdr:row>
      <xdr:rowOff>31750</xdr:rowOff>
    </xdr:to>
    <xdr:sp macro="" textlink="">
      <xdr:nvSpPr>
        <xdr:cNvPr id="2" name="TextBox 12">
          <a:extLst>
            <a:ext uri="{FF2B5EF4-FFF2-40B4-BE49-F238E27FC236}">
              <a16:creationId xmlns:a16="http://schemas.microsoft.com/office/drawing/2014/main" id="{D4ECD13C-4417-4446-86EC-9916311DC774}"/>
            </a:ext>
          </a:extLst>
        </xdr:cNvPr>
        <xdr:cNvSpPr txBox="1"/>
      </xdr:nvSpPr>
      <xdr:spPr>
        <a:xfrm>
          <a:off x="50800" y="133350"/>
          <a:ext cx="7408333" cy="778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295073"/>
              </a:solidFill>
            </a:rPr>
            <a:t>Presupuesto</a:t>
          </a:r>
          <a:r>
            <a:rPr lang="en-US" sz="2400" b="1" baseline="0">
              <a:solidFill>
                <a:srgbClr val="295073"/>
              </a:solidFill>
            </a:rPr>
            <a:t> de Calidad y Control</a:t>
          </a:r>
          <a:endParaRPr lang="en-US" sz="2400" b="1">
            <a:solidFill>
              <a:srgbClr val="295073"/>
            </a:solidFill>
          </a:endParaRPr>
        </a:p>
      </xdr:txBody>
    </xdr:sp>
    <xdr:clientData/>
  </xdr:twoCellAnchor>
  <xdr:twoCellAnchor editAs="absolute">
    <xdr:from>
      <xdr:col>11</xdr:col>
      <xdr:colOff>496711</xdr:colOff>
      <xdr:row>0</xdr:row>
      <xdr:rowOff>160337</xdr:rowOff>
    </xdr:from>
    <xdr:to>
      <xdr:col>13</xdr:col>
      <xdr:colOff>746654</xdr:colOff>
      <xdr:row>4</xdr:row>
      <xdr:rowOff>57149</xdr:rowOff>
    </xdr:to>
    <xdr:sp macro="" textlink="">
      <xdr:nvSpPr>
        <xdr:cNvPr id="3" name="TextBox 13">
          <a:extLst>
            <a:ext uri="{FF2B5EF4-FFF2-40B4-BE49-F238E27FC236}">
              <a16:creationId xmlns:a16="http://schemas.microsoft.com/office/drawing/2014/main" id="{05B96C02-500B-4610-BF36-A8340C0B5002}"/>
            </a:ext>
          </a:extLst>
        </xdr:cNvPr>
        <xdr:cNvSpPr txBox="1"/>
      </xdr:nvSpPr>
      <xdr:spPr>
        <a:xfrm>
          <a:off x="11507611" y="160337"/>
          <a:ext cx="2002543" cy="763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29507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52070</xdr:colOff>
      <xdr:row>0</xdr:row>
      <xdr:rowOff>88900</xdr:rowOff>
    </xdr:from>
    <xdr:to>
      <xdr:col>5</xdr:col>
      <xdr:colOff>236220</xdr:colOff>
      <xdr:row>4</xdr:row>
      <xdr:rowOff>57150</xdr:rowOff>
    </xdr:to>
    <xdr:sp macro="" textlink="">
      <xdr:nvSpPr>
        <xdr:cNvPr id="6" name="TextBox 12">
          <a:extLst>
            <a:ext uri="{FF2B5EF4-FFF2-40B4-BE49-F238E27FC236}">
              <a16:creationId xmlns:a16="http://schemas.microsoft.com/office/drawing/2014/main" id="{C706AB66-96E1-473C-9473-3153B1D826DB}"/>
            </a:ext>
          </a:extLst>
        </xdr:cNvPr>
        <xdr:cNvSpPr txBox="1"/>
      </xdr:nvSpPr>
      <xdr:spPr>
        <a:xfrm>
          <a:off x="257810" y="88900"/>
          <a:ext cx="6173470" cy="775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295073"/>
              </a:solidFill>
            </a:rPr>
            <a:t>Presupuesto</a:t>
          </a:r>
          <a:r>
            <a:rPr lang="en-US" sz="2400" b="1" baseline="0">
              <a:solidFill>
                <a:srgbClr val="295073"/>
              </a:solidFill>
            </a:rPr>
            <a:t> de Calidad y Control</a:t>
          </a:r>
          <a:endParaRPr lang="en-US" sz="2400" b="1">
            <a:solidFill>
              <a:srgbClr val="295073"/>
            </a:solidFill>
          </a:endParaRPr>
        </a:p>
      </xdr:txBody>
    </xdr:sp>
    <xdr:clientData/>
  </xdr:twoCellAnchor>
  <xdr:twoCellAnchor editAs="absolute">
    <xdr:from>
      <xdr:col>7</xdr:col>
      <xdr:colOff>171450</xdr:colOff>
      <xdr:row>0</xdr:row>
      <xdr:rowOff>114300</xdr:rowOff>
    </xdr:from>
    <xdr:to>
      <xdr:col>10</xdr:col>
      <xdr:colOff>281940</xdr:colOff>
      <xdr:row>4</xdr:row>
      <xdr:rowOff>82550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6FEBC406-5213-49AC-9EB3-BD82472C79BE}"/>
            </a:ext>
          </a:extLst>
        </xdr:cNvPr>
        <xdr:cNvSpPr txBox="1"/>
      </xdr:nvSpPr>
      <xdr:spPr>
        <a:xfrm>
          <a:off x="8018780" y="114300"/>
          <a:ext cx="1969770" cy="775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29507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260348</xdr:colOff>
      <xdr:row>0</xdr:row>
      <xdr:rowOff>50800</xdr:rowOff>
    </xdr:from>
    <xdr:to>
      <xdr:col>11</xdr:col>
      <xdr:colOff>19049</xdr:colOff>
      <xdr:row>5</xdr:row>
      <xdr:rowOff>101600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D8FEA03C-65A4-7C95-D949-6EA9DCAD0E16}"/>
            </a:ext>
          </a:extLst>
        </xdr:cNvPr>
        <xdr:cNvSpPr/>
      </xdr:nvSpPr>
      <xdr:spPr>
        <a:xfrm>
          <a:off x="260348" y="50800"/>
          <a:ext cx="10026651" cy="908050"/>
        </a:xfrm>
        <a:prstGeom prst="roundRect">
          <a:avLst/>
        </a:prstGeom>
        <a:solidFill>
          <a:srgbClr val="2950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AR" sz="2800" baseline="0"/>
            <a:t>Dashboard de Calidad y Control : Presupuesto versus Gastado</a:t>
          </a:r>
          <a:endParaRPr lang="es-AR" sz="2800"/>
        </a:p>
      </xdr:txBody>
    </xdr:sp>
    <xdr:clientData/>
  </xdr:twoCellAnchor>
  <xdr:twoCellAnchor editAs="absolute">
    <xdr:from>
      <xdr:col>0</xdr:col>
      <xdr:colOff>380046</xdr:colOff>
      <xdr:row>7</xdr:row>
      <xdr:rowOff>88901</xdr:rowOff>
    </xdr:from>
    <xdr:to>
      <xdr:col>2</xdr:col>
      <xdr:colOff>103187</xdr:colOff>
      <xdr:row>8</xdr:row>
      <xdr:rowOff>214313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FC85D98C-6FBC-1112-7AF9-A188C616F52C}"/>
            </a:ext>
          </a:extLst>
        </xdr:cNvPr>
        <xdr:cNvGrpSpPr/>
      </xdr:nvGrpSpPr>
      <xdr:grpSpPr>
        <a:xfrm>
          <a:off x="380046" y="1533526"/>
          <a:ext cx="1247141" cy="427037"/>
          <a:chOff x="431800" y="1143001"/>
          <a:chExt cx="1073150" cy="273050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0930132D-162C-B05D-6949-EE78CFFC10B8}"/>
              </a:ext>
            </a:extLst>
          </xdr:cNvPr>
          <xdr:cNvSpPr/>
        </xdr:nvSpPr>
        <xdr:spPr>
          <a:xfrm>
            <a:off x="431800" y="1143001"/>
            <a:ext cx="1073150" cy="273050"/>
          </a:xfrm>
          <a:prstGeom prst="roundRect">
            <a:avLst/>
          </a:prstGeom>
          <a:solidFill>
            <a:srgbClr val="295073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s-AR" sz="1800"/>
              <a:t>MES</a:t>
            </a:r>
            <a:r>
              <a:rPr lang="es-AR" sz="1200"/>
              <a:t> </a:t>
            </a:r>
          </a:p>
        </xdr:txBody>
      </xdr:sp>
      <xdr:pic>
        <xdr:nvPicPr>
          <xdr:cNvPr id="5" name="Gráfico 4" descr="Filtro contorno">
            <a:extLst>
              <a:ext uri="{FF2B5EF4-FFF2-40B4-BE49-F238E27FC236}">
                <a16:creationId xmlns:a16="http://schemas.microsoft.com/office/drawing/2014/main" id="{93683297-0986-BC25-6486-6C4A44AA2B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149350" y="1168399"/>
            <a:ext cx="228600" cy="228600"/>
          </a:xfrm>
          <a:prstGeom prst="rect">
            <a:avLst/>
          </a:prstGeom>
        </xdr:spPr>
      </xdr:pic>
    </xdr:grpSp>
    <xdr:clientData/>
  </xdr:twoCellAnchor>
  <xdr:twoCellAnchor editAs="absolute">
    <xdr:from>
      <xdr:col>0</xdr:col>
      <xdr:colOff>188277</xdr:colOff>
      <xdr:row>31</xdr:row>
      <xdr:rowOff>154304</xdr:rowOff>
    </xdr:from>
    <xdr:to>
      <xdr:col>10</xdr:col>
      <xdr:colOff>2471736</xdr:colOff>
      <xdr:row>53</xdr:row>
      <xdr:rowOff>142875</xdr:rowOff>
    </xdr:to>
    <xdr:sp macro="" textlink="">
      <xdr:nvSpPr>
        <xdr:cNvPr id="7" name="Rectángulo: esquinas superiores redondeadas 6">
          <a:extLst>
            <a:ext uri="{FF2B5EF4-FFF2-40B4-BE49-F238E27FC236}">
              <a16:creationId xmlns:a16="http://schemas.microsoft.com/office/drawing/2014/main" id="{1C786D95-6CBC-B750-3C98-5170EBA229AE}"/>
            </a:ext>
          </a:extLst>
        </xdr:cNvPr>
        <xdr:cNvSpPr/>
      </xdr:nvSpPr>
      <xdr:spPr>
        <a:xfrm>
          <a:off x="188277" y="6274117"/>
          <a:ext cx="10316209" cy="3655696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absolute">
    <xdr:from>
      <xdr:col>0</xdr:col>
      <xdr:colOff>261937</xdr:colOff>
      <xdr:row>33</xdr:row>
      <xdr:rowOff>95250</xdr:rowOff>
    </xdr:from>
    <xdr:to>
      <xdr:col>10</xdr:col>
      <xdr:colOff>2117724</xdr:colOff>
      <xdr:row>53</xdr:row>
      <xdr:rowOff>74612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1F206C4-0CAA-4F6B-BE9D-39710269D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100965</xdr:colOff>
      <xdr:row>11</xdr:row>
      <xdr:rowOff>33655</xdr:rowOff>
    </xdr:from>
    <xdr:to>
      <xdr:col>10</xdr:col>
      <xdr:colOff>2301875</xdr:colOff>
      <xdr:row>30</xdr:row>
      <xdr:rowOff>97154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7D3B4A29-131D-75AA-A275-27C080B13121}"/>
            </a:ext>
          </a:extLst>
        </xdr:cNvPr>
        <xdr:cNvGrpSpPr/>
      </xdr:nvGrpSpPr>
      <xdr:grpSpPr>
        <a:xfrm>
          <a:off x="5085715" y="2684780"/>
          <a:ext cx="5248910" cy="3365499"/>
          <a:chOff x="180340" y="2732405"/>
          <a:chExt cx="5248910" cy="3365499"/>
        </a:xfrm>
      </xdr:grpSpPr>
      <xdr:sp macro="" textlink="">
        <xdr:nvSpPr>
          <xdr:cNvPr id="11" name="Rectángulo: esquinas superiores redondeadas 10">
            <a:extLst>
              <a:ext uri="{FF2B5EF4-FFF2-40B4-BE49-F238E27FC236}">
                <a16:creationId xmlns:a16="http://schemas.microsoft.com/office/drawing/2014/main" id="{D19F4C9E-AEA0-CC35-BF6E-54BF3F36A40F}"/>
              </a:ext>
            </a:extLst>
          </xdr:cNvPr>
          <xdr:cNvSpPr/>
        </xdr:nvSpPr>
        <xdr:spPr>
          <a:xfrm>
            <a:off x="180340" y="2732405"/>
            <a:ext cx="5248910" cy="3339783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12" name="Gráfico 11">
            <a:extLst>
              <a:ext uri="{FF2B5EF4-FFF2-40B4-BE49-F238E27FC236}">
                <a16:creationId xmlns:a16="http://schemas.microsoft.com/office/drawing/2014/main" id="{A6340017-A790-47F4-A416-646DD5981999}"/>
              </a:ext>
            </a:extLst>
          </xdr:cNvPr>
          <xdr:cNvGraphicFramePr>
            <a:graphicFrameLocks/>
          </xdr:cNvGraphicFramePr>
        </xdr:nvGraphicFramePr>
        <xdr:xfrm>
          <a:off x="359092" y="3294062"/>
          <a:ext cx="4927290" cy="280384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FB107568-6964-B2B2-7F64-4A36945372A4}"/>
              </a:ext>
            </a:extLst>
          </xdr:cNvPr>
          <xdr:cNvSpPr txBox="1"/>
        </xdr:nvSpPr>
        <xdr:spPr>
          <a:xfrm>
            <a:off x="549593" y="2899093"/>
            <a:ext cx="3258822" cy="283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600" b="0"/>
              <a:t>Distribución</a:t>
            </a:r>
            <a:r>
              <a:rPr lang="es-AR" sz="1600" b="0" baseline="0"/>
              <a:t> del presupuesto</a:t>
            </a:r>
            <a:endParaRPr lang="es-AR" sz="1600" b="0"/>
          </a:p>
        </xdr:txBody>
      </xdr:sp>
    </xdr:grpSp>
    <xdr:clientData/>
  </xdr:twoCellAnchor>
  <xdr:twoCellAnchor editAs="absolute">
    <xdr:from>
      <xdr:col>0</xdr:col>
      <xdr:colOff>597217</xdr:colOff>
      <xdr:row>32</xdr:row>
      <xdr:rowOff>35878</xdr:rowOff>
    </xdr:from>
    <xdr:to>
      <xdr:col>4</xdr:col>
      <xdr:colOff>232817</xdr:colOff>
      <xdr:row>33</xdr:row>
      <xdr:rowOff>162560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41567DD-9C19-494E-BDFC-F9CF322E89C7}"/>
            </a:ext>
          </a:extLst>
        </xdr:cNvPr>
        <xdr:cNvSpPr txBox="1"/>
      </xdr:nvSpPr>
      <xdr:spPr>
        <a:xfrm>
          <a:off x="597217" y="6322378"/>
          <a:ext cx="3096350" cy="2933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 b="0"/>
            <a:t>Presupuesto versus Gastado</a:t>
          </a:r>
        </a:p>
      </xdr:txBody>
    </xdr:sp>
    <xdr:clientData/>
  </xdr:twoCellAnchor>
  <xdr:twoCellAnchor>
    <xdr:from>
      <xdr:col>0</xdr:col>
      <xdr:colOff>228600</xdr:colOff>
      <xdr:row>57</xdr:row>
      <xdr:rowOff>37783</xdr:rowOff>
    </xdr:from>
    <xdr:to>
      <xdr:col>11</xdr:col>
      <xdr:colOff>38100</xdr:colOff>
      <xdr:row>79</xdr:row>
      <xdr:rowOff>66358</xdr:rowOff>
    </xdr:to>
    <xdr:sp macro="" textlink="">
      <xdr:nvSpPr>
        <xdr:cNvPr id="14" name="Rectángulo: esquinas superiores redondeadas 13">
          <a:extLst>
            <a:ext uri="{FF2B5EF4-FFF2-40B4-BE49-F238E27FC236}">
              <a16:creationId xmlns:a16="http://schemas.microsoft.com/office/drawing/2014/main" id="{233F73BD-376C-4B53-9357-73511892C344}"/>
            </a:ext>
          </a:extLst>
        </xdr:cNvPr>
        <xdr:cNvSpPr/>
      </xdr:nvSpPr>
      <xdr:spPr>
        <a:xfrm>
          <a:off x="228600" y="9456103"/>
          <a:ext cx="10111740" cy="3884295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152400</xdr:colOff>
      <xdr:row>59</xdr:row>
      <xdr:rowOff>138429</xdr:rowOff>
    </xdr:from>
    <xdr:to>
      <xdr:col>10</xdr:col>
      <xdr:colOff>2156460</xdr:colOff>
      <xdr:row>78</xdr:row>
      <xdr:rowOff>69533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42D56FB-A955-4F53-AC07-F42E900F2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685829</xdr:colOff>
      <xdr:row>57</xdr:row>
      <xdr:rowOff>157479</xdr:rowOff>
    </xdr:from>
    <xdr:to>
      <xdr:col>5</xdr:col>
      <xdr:colOff>724388</xdr:colOff>
      <xdr:row>59</xdr:row>
      <xdr:rowOff>138429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8CAFBD4D-51F0-43E6-A1A9-D9FD9045CA0B}"/>
            </a:ext>
          </a:extLst>
        </xdr:cNvPr>
        <xdr:cNvSpPr txBox="1"/>
      </xdr:nvSpPr>
      <xdr:spPr>
        <a:xfrm>
          <a:off x="685829" y="9575799"/>
          <a:ext cx="4176219" cy="3314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 b="0"/>
            <a:t>Diferencia</a:t>
          </a:r>
          <a:r>
            <a:rPr lang="es-AR" sz="1600" b="0" baseline="0"/>
            <a:t> entre lo planeado y gastado</a:t>
          </a:r>
          <a:endParaRPr lang="es-AR" sz="1600" b="0"/>
        </a:p>
      </xdr:txBody>
    </xdr:sp>
    <xdr:clientData/>
  </xdr:twoCellAnchor>
  <xdr:twoCellAnchor>
    <xdr:from>
      <xdr:col>0</xdr:col>
      <xdr:colOff>158750</xdr:colOff>
      <xdr:row>11</xdr:row>
      <xdr:rowOff>69850</xdr:rowOff>
    </xdr:from>
    <xdr:to>
      <xdr:col>5</xdr:col>
      <xdr:colOff>677545</xdr:colOff>
      <xdr:row>30</xdr:row>
      <xdr:rowOff>94296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E9689DBE-AE94-5F1E-4A75-E9BC9B1A29B3}"/>
            </a:ext>
          </a:extLst>
        </xdr:cNvPr>
        <xdr:cNvGrpSpPr/>
      </xdr:nvGrpSpPr>
      <xdr:grpSpPr>
        <a:xfrm>
          <a:off x="158750" y="2720975"/>
          <a:ext cx="4741545" cy="3326446"/>
          <a:chOff x="18197921" y="2951163"/>
          <a:chExt cx="4741545" cy="3326446"/>
        </a:xfrm>
      </xdr:grpSpPr>
      <xdr:sp macro="" textlink="">
        <xdr:nvSpPr>
          <xdr:cNvPr id="22" name="Rectángulo: esquinas superiores redondeadas 21">
            <a:extLst>
              <a:ext uri="{FF2B5EF4-FFF2-40B4-BE49-F238E27FC236}">
                <a16:creationId xmlns:a16="http://schemas.microsoft.com/office/drawing/2014/main" id="{0282D13C-569D-46D4-AB27-0E493F9E20D8}"/>
              </a:ext>
            </a:extLst>
          </xdr:cNvPr>
          <xdr:cNvSpPr/>
        </xdr:nvSpPr>
        <xdr:spPr>
          <a:xfrm>
            <a:off x="18197921" y="2951163"/>
            <a:ext cx="4741545" cy="3326446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AR" sz="1100"/>
          </a:p>
        </xdr:txBody>
      </xdr:sp>
      <xdr:graphicFrame macro="">
        <xdr:nvGraphicFramePr>
          <xdr:cNvPr id="24" name="Gráfico 23">
            <a:extLst>
              <a:ext uri="{FF2B5EF4-FFF2-40B4-BE49-F238E27FC236}">
                <a16:creationId xmlns:a16="http://schemas.microsoft.com/office/drawing/2014/main" id="{5A843A83-5D33-48C3-9C61-32B3782D451E}"/>
              </a:ext>
            </a:extLst>
          </xdr:cNvPr>
          <xdr:cNvGraphicFramePr>
            <a:graphicFrameLocks/>
          </xdr:cNvGraphicFramePr>
        </xdr:nvGraphicFramePr>
        <xdr:xfrm>
          <a:off x="18313174" y="3515359"/>
          <a:ext cx="4340860" cy="2742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04BF0B3C-8AD6-4E01-A5B2-FBFA0F0C6A07}"/>
              </a:ext>
            </a:extLst>
          </xdr:cNvPr>
          <xdr:cNvSpPr txBox="1"/>
        </xdr:nvSpPr>
        <xdr:spPr>
          <a:xfrm>
            <a:off x="18470019" y="3120389"/>
            <a:ext cx="3537267" cy="30566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AR" sz="1600" b="0"/>
              <a:t>Porcentaje</a:t>
            </a:r>
            <a:r>
              <a:rPr lang="es-AR" sz="1600" b="0" baseline="0"/>
              <a:t> del presupuesto ejecutado</a:t>
            </a:r>
            <a:endParaRPr lang="es-AR" sz="1600" b="0"/>
          </a:p>
        </xdr:txBody>
      </xdr:sp>
      <xdr:sp macro="" textlink="Porcentaje_Gastado">
        <xdr:nvSpPr>
          <xdr:cNvPr id="26" name="CuadroTexto 25">
            <a:extLst>
              <a:ext uri="{FF2B5EF4-FFF2-40B4-BE49-F238E27FC236}">
                <a16:creationId xmlns:a16="http://schemas.microsoft.com/office/drawing/2014/main" id="{8626A6DB-1A54-5D40-2BE9-1EB30B6BA160}"/>
              </a:ext>
            </a:extLst>
          </xdr:cNvPr>
          <xdr:cNvSpPr txBox="1"/>
        </xdr:nvSpPr>
        <xdr:spPr>
          <a:xfrm rot="10800000" flipV="1">
            <a:off x="19939139" y="4586527"/>
            <a:ext cx="1068338" cy="530657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ctr"/>
            <a:fld id="{E0109D9A-3D9F-4F00-A424-C1B4D2A24518}" type="TxLink">
              <a:rPr lang="en-US" sz="2800" b="0" i="0" u="none" strike="noStrike">
                <a:solidFill>
                  <a:srgbClr val="000000"/>
                </a:solidFill>
                <a:latin typeface="Calibri Light"/>
                <a:ea typeface="Calibri Light"/>
                <a:cs typeface="Calibri Light"/>
              </a:rPr>
              <a:pPr algn="ctr"/>
              <a:t>77%</a:t>
            </a:fld>
            <a:endParaRPr lang="es-AR" sz="3600"/>
          </a:p>
        </xdr:txBody>
      </xdr:sp>
    </xdr:grpSp>
    <xdr:clientData/>
  </xdr:twoCellAnchor>
  <xdr:twoCellAnchor>
    <xdr:from>
      <xdr:col>4</xdr:col>
      <xdr:colOff>238125</xdr:colOff>
      <xdr:row>6</xdr:row>
      <xdr:rowOff>127000</xdr:rowOff>
    </xdr:from>
    <xdr:to>
      <xdr:col>8</xdr:col>
      <xdr:colOff>269874</xdr:colOff>
      <xdr:row>9</xdr:row>
      <xdr:rowOff>190500</xdr:rowOff>
    </xdr:to>
    <xdr:sp macro="" textlink="">
      <xdr:nvSpPr>
        <xdr:cNvPr id="4" name="Rectángulo: esquinas superiores redondeadas 3">
          <a:extLst>
            <a:ext uri="{FF2B5EF4-FFF2-40B4-BE49-F238E27FC236}">
              <a16:creationId xmlns:a16="http://schemas.microsoft.com/office/drawing/2014/main" id="{CB39642A-DCA8-77D0-F500-A285F78292C8}"/>
            </a:ext>
          </a:extLst>
        </xdr:cNvPr>
        <xdr:cNvSpPr/>
      </xdr:nvSpPr>
      <xdr:spPr>
        <a:xfrm>
          <a:off x="3698875" y="1127125"/>
          <a:ext cx="3079749" cy="1111250"/>
        </a:xfrm>
        <a:prstGeom prst="round2SameRect">
          <a:avLst/>
        </a:prstGeom>
        <a:solidFill>
          <a:srgbClr val="2950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AR" sz="20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Total Presupuestado</a:t>
          </a:r>
        </a:p>
      </xdr:txBody>
    </xdr:sp>
    <xdr:clientData/>
  </xdr:twoCellAnchor>
  <xdr:twoCellAnchor>
    <xdr:from>
      <xdr:col>5</xdr:col>
      <xdr:colOff>71439</xdr:colOff>
      <xdr:row>7</xdr:row>
      <xdr:rowOff>158752</xdr:rowOff>
    </xdr:from>
    <xdr:to>
      <xdr:col>7</xdr:col>
      <xdr:colOff>277814</xdr:colOff>
      <xdr:row>8</xdr:row>
      <xdr:rowOff>269877</xdr:rowOff>
    </xdr:to>
    <xdr:sp macro="" textlink="Presupuestado">
      <xdr:nvSpPr>
        <xdr:cNvPr id="10" name="CuadroTexto 9">
          <a:extLst>
            <a:ext uri="{FF2B5EF4-FFF2-40B4-BE49-F238E27FC236}">
              <a16:creationId xmlns:a16="http://schemas.microsoft.com/office/drawing/2014/main" id="{C6951B96-721A-B3EB-7C4C-36C77DBDE36F}"/>
            </a:ext>
          </a:extLst>
        </xdr:cNvPr>
        <xdr:cNvSpPr txBox="1"/>
      </xdr:nvSpPr>
      <xdr:spPr>
        <a:xfrm>
          <a:off x="4294189" y="1603377"/>
          <a:ext cx="1730375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F1C37BC-6A52-484E-B7BE-3F2936626956}" type="TxLink">
            <a:rPr lang="en-US" sz="2400" b="1" i="0" u="none" strike="noStrike" kern="1200">
              <a:solidFill>
                <a:schemeClr val="bg1"/>
              </a:solidFill>
              <a:latin typeface="Calibri Light"/>
              <a:ea typeface="Calibri Light"/>
              <a:cs typeface="Calibri Light"/>
            </a:rPr>
            <a:pPr marL="0" indent="0" algn="ctr"/>
            <a:t>$ 219.836</a:t>
          </a:fld>
          <a:endParaRPr lang="es-AR" sz="2400" b="1" i="0" u="none" strike="noStrike" kern="1200">
            <a:solidFill>
              <a:schemeClr val="bg1"/>
            </a:solidFill>
            <a:latin typeface="Calibri Light"/>
            <a:ea typeface="Calibri Light"/>
            <a:cs typeface="Calibri Light"/>
          </a:endParaRPr>
        </a:p>
      </xdr:txBody>
    </xdr:sp>
    <xdr:clientData/>
  </xdr:twoCellAnchor>
  <xdr:twoCellAnchor>
    <xdr:from>
      <xdr:col>9</xdr:col>
      <xdr:colOff>9524</xdr:colOff>
      <xdr:row>6</xdr:row>
      <xdr:rowOff>136525</xdr:rowOff>
    </xdr:from>
    <xdr:to>
      <xdr:col>10</xdr:col>
      <xdr:colOff>2285999</xdr:colOff>
      <xdr:row>9</xdr:row>
      <xdr:rowOff>150813</xdr:rowOff>
    </xdr:to>
    <xdr:sp macro="" textlink="">
      <xdr:nvSpPr>
        <xdr:cNvPr id="17" name="Rectángulo: esquinas superiores redondeadas 16">
          <a:extLst>
            <a:ext uri="{FF2B5EF4-FFF2-40B4-BE49-F238E27FC236}">
              <a16:creationId xmlns:a16="http://schemas.microsoft.com/office/drawing/2014/main" id="{48B9ABD1-2EC1-46B5-97FF-0470D12195F9}"/>
            </a:ext>
          </a:extLst>
        </xdr:cNvPr>
        <xdr:cNvSpPr/>
      </xdr:nvSpPr>
      <xdr:spPr>
        <a:xfrm>
          <a:off x="7280274" y="1136650"/>
          <a:ext cx="3038475" cy="1062038"/>
        </a:xfrm>
        <a:prstGeom prst="round2SameRect">
          <a:avLst/>
        </a:prstGeom>
        <a:solidFill>
          <a:srgbClr val="29507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s-AR" sz="2000" b="1" kern="1200">
              <a:solidFill>
                <a:schemeClr val="lt1"/>
              </a:solidFill>
              <a:latin typeface="+mn-lt"/>
              <a:ea typeface="+mn-ea"/>
              <a:cs typeface="+mn-cs"/>
            </a:rPr>
            <a:t>Total Gastado</a:t>
          </a:r>
        </a:p>
      </xdr:txBody>
    </xdr:sp>
    <xdr:clientData/>
  </xdr:twoCellAnchor>
  <xdr:twoCellAnchor>
    <xdr:from>
      <xdr:col>9</xdr:col>
      <xdr:colOff>755650</xdr:colOff>
      <xdr:row>7</xdr:row>
      <xdr:rowOff>128589</xdr:rowOff>
    </xdr:from>
    <xdr:to>
      <xdr:col>10</xdr:col>
      <xdr:colOff>1724025</xdr:colOff>
      <xdr:row>8</xdr:row>
      <xdr:rowOff>239714</xdr:rowOff>
    </xdr:to>
    <xdr:sp macro="" textlink="Gastado_">
      <xdr:nvSpPr>
        <xdr:cNvPr id="19" name="CuadroTexto 18">
          <a:extLst>
            <a:ext uri="{FF2B5EF4-FFF2-40B4-BE49-F238E27FC236}">
              <a16:creationId xmlns:a16="http://schemas.microsoft.com/office/drawing/2014/main" id="{1C795DA9-7FB4-40D4-84A5-EA8A4E196F84}"/>
            </a:ext>
          </a:extLst>
        </xdr:cNvPr>
        <xdr:cNvSpPr txBox="1"/>
      </xdr:nvSpPr>
      <xdr:spPr>
        <a:xfrm>
          <a:off x="8026400" y="1573214"/>
          <a:ext cx="1730375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1F13F77-3588-44FC-B26C-77809B89247E}" type="TxLink">
            <a:rPr lang="en-US" sz="2400" b="1" i="0" u="none" strike="noStrike" kern="1200">
              <a:solidFill>
                <a:schemeClr val="bg1"/>
              </a:solidFill>
              <a:latin typeface="Calibri Light"/>
              <a:ea typeface="Calibri Light"/>
              <a:cs typeface="Calibri Light"/>
            </a:rPr>
            <a:pPr marL="0" indent="0" algn="ctr"/>
            <a:t>$ 169.370</a:t>
          </a:fld>
          <a:endParaRPr lang="es-AR" sz="2400" b="1" i="0" u="none" strike="noStrike" kern="1200">
            <a:solidFill>
              <a:schemeClr val="bg1"/>
            </a:solidFill>
            <a:latin typeface="Calibri Light"/>
            <a:ea typeface="Calibri Light"/>
            <a:cs typeface="Calibri Ligh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FE867-8DF1-455A-9738-FC84E588C09D}" name="Real" displayName="Real" ref="B21:N27" totalsRowShown="0" headerRowDxfId="30" dataDxfId="29">
  <autoFilter ref="B21:N27" xr:uid="{F49FE867-8DF1-455A-9738-FC84E588C0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DF9542A6-A5C2-4797-B60A-146AD51EA50B}" name="CONCEPTO" dataDxfId="28"/>
    <tableColumn id="2" xr3:uid="{7248AD22-F92F-4549-9DD1-DD4EB1093BB7}" name="ENERO" dataDxfId="27"/>
    <tableColumn id="3" xr3:uid="{E288E5B9-9647-424C-BB02-DA1B6C2DE7D4}" name="FEBRERO" dataDxfId="26"/>
    <tableColumn id="4" xr3:uid="{C8B4BBC2-BF5C-4B28-BC61-1F0A954DEF93}" name="MARZO" dataDxfId="25"/>
    <tableColumn id="5" xr3:uid="{4A8AFDDB-629B-4F0E-8650-C1BABB8C3D13}" name="ABRIL" dataDxfId="24"/>
    <tableColumn id="6" xr3:uid="{E431AE37-782F-4D84-AB8A-C62D041F2A0A}" name="MAYO" dataDxfId="23"/>
    <tableColumn id="7" xr3:uid="{149B8CFF-0318-40CE-9866-C62DDAF9941C}" name="JUNIO" dataDxfId="22"/>
    <tableColumn id="8" xr3:uid="{3B3EF456-8A6B-45E4-A798-3DF8770E186D}" name="JULIO" dataDxfId="21"/>
    <tableColumn id="9" xr3:uid="{17B09506-255C-4FC8-A1C9-48D4E7A1F0C3}" name="AGOSTO" dataDxfId="20"/>
    <tableColumn id="10" xr3:uid="{76A1EEF3-2BB6-4A9E-A5CE-DB480F2D0C9B}" name="SEPTIEMBRE" dataDxfId="19"/>
    <tableColumn id="11" xr3:uid="{F6F3B95E-9A7F-4C14-AE52-DA9B8D8DC2BB}" name="OCTUBRE" dataDxfId="18"/>
    <tableColumn id="12" xr3:uid="{7ED8D5F0-CAF3-4773-9CD4-3A6C52B7B65B}" name="NOVIEMBRE" dataDxfId="17"/>
    <tableColumn id="13" xr3:uid="{82419FB8-0942-4713-BC77-4E4B0FF04965}" name="DICIEMBRE" dataDxfId="16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1BB1F-9F14-48F0-8895-389C2D703BA5}" name="Pto" displayName="Pto" ref="B9:O15" totalsRowShown="0" headerRowDxfId="15" dataDxfId="14">
  <autoFilter ref="B9:O15" xr:uid="{C291BB1F-9F14-48F0-8895-389C2D703B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4EA83C6A-EDF6-406B-9315-51DE3867432B}" name="CONCEPTO" dataDxfId="13"/>
    <tableColumn id="2" xr3:uid="{E8AD1632-EDEB-4EDE-B112-5D655CD41A0A}" name="ENERO" dataDxfId="12"/>
    <tableColumn id="3" xr3:uid="{EC3887EB-5A1E-4B27-BB7C-0CC88EC090B1}" name="FEBRERO" dataDxfId="11"/>
    <tableColumn id="4" xr3:uid="{0E97A4F8-CC18-438B-B0BF-335947493D58}" name="MARZO" dataDxfId="10"/>
    <tableColumn id="5" xr3:uid="{4B54BB9E-7681-4FBE-93C5-027BFDB4EDE1}" name="ABRIL" dataDxfId="9"/>
    <tableColumn id="6" xr3:uid="{326250CE-2595-4747-8222-947DEEA27D08}" name="MAYO" dataDxfId="8"/>
    <tableColumn id="7" xr3:uid="{0E783C0F-6009-4B89-9C23-6C1CCA40364B}" name="JUNIO" dataDxfId="7"/>
    <tableColumn id="8" xr3:uid="{AC5C7634-0B6E-4D4C-9C8A-7EA6FF11FFD4}" name="JULIO" dataDxfId="6"/>
    <tableColumn id="9" xr3:uid="{17F824B4-BAF4-4707-923D-4911DFACCCB1}" name="AGOSTO" dataDxfId="5"/>
    <tableColumn id="10" xr3:uid="{51FEC4A3-718A-492D-A172-FC1279D1FD77}" name="SEPTIEMBRE" dataDxfId="4"/>
    <tableColumn id="11" xr3:uid="{7E790142-E885-4765-86C2-10E1F2442E8C}" name="OCTUBRE" dataDxfId="3"/>
    <tableColumn id="12" xr3:uid="{EDFD93A3-B79E-4FFC-A965-21862F5B2E85}" name="NOVIEMBRE" dataDxfId="2"/>
    <tableColumn id="13" xr3:uid="{5DD42915-74CC-4081-89EC-D1FAE5DBBA9F}" name="DICIEMBRE" dataDxfId="1"/>
    <tableColumn id="14" xr3:uid="{C930C92E-0B69-4F66-BEA5-1C2DA12A7A21}" name="ID" dataDxfId="0">
      <calculatedColumnFormula>ROW(A1)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30A8-6A4A-4097-BB01-A3894C84CE65}">
  <dimension ref="B1:K107"/>
  <sheetViews>
    <sheetView showGridLines="0" tabSelected="1" zoomScale="70" zoomScaleNormal="70" workbookViewId="0">
      <selection activeCell="I31" sqref="I31"/>
    </sheetView>
  </sheetViews>
  <sheetFormatPr baseColWidth="10" defaultColWidth="10.90625" defaultRowHeight="15.5" x14ac:dyDescent="0.35"/>
  <cols>
    <col min="1" max="1" width="4" style="18" customWidth="1"/>
    <col min="2" max="11" width="18.1796875" style="18" customWidth="1"/>
    <col min="12" max="16384" width="10.90625" style="18"/>
  </cols>
  <sheetData>
    <row r="1" spans="2:11" ht="10" customHeight="1" x14ac:dyDescent="0.35"/>
    <row r="2" spans="2:11" ht="55" customHeight="1" x14ac:dyDescent="0.35"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2:11" ht="24" customHeight="1" x14ac:dyDescent="0.35"/>
    <row r="4" spans="2:11" ht="42" customHeight="1" x14ac:dyDescent="0.3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</row>
    <row r="5" spans="2:11" ht="15" customHeight="1" x14ac:dyDescent="0.35"/>
    <row r="32" spans="5:7" x14ac:dyDescent="0.35">
      <c r="E32" s="21"/>
      <c r="F32" s="21"/>
      <c r="G32" s="21"/>
    </row>
    <row r="36" spans="2:6" x14ac:dyDescent="0.35">
      <c r="F36" s="21"/>
    </row>
    <row r="39" spans="2:6" x14ac:dyDescent="0.35">
      <c r="B39" s="22"/>
    </row>
    <row r="40" spans="2:6" x14ac:dyDescent="0.35">
      <c r="B40" s="22"/>
      <c r="E40" s="21"/>
    </row>
    <row r="41" spans="2:6" x14ac:dyDescent="0.35">
      <c r="B41" s="22"/>
      <c r="E41" s="21"/>
      <c r="F41" s="21"/>
    </row>
    <row r="42" spans="2:6" x14ac:dyDescent="0.35">
      <c r="B42" s="22"/>
    </row>
    <row r="43" spans="2:6" x14ac:dyDescent="0.35">
      <c r="B43" s="22"/>
    </row>
    <row r="47" spans="2:6" x14ac:dyDescent="0.35">
      <c r="B47" s="23"/>
      <c r="C47" s="23"/>
    </row>
    <row r="48" spans="2:6" x14ac:dyDescent="0.35">
      <c r="B48" s="23"/>
      <c r="C48" s="23"/>
    </row>
    <row r="49" spans="2:6" x14ac:dyDescent="0.35">
      <c r="B49" s="23"/>
      <c r="C49" s="23"/>
    </row>
    <row r="50" spans="2:6" x14ac:dyDescent="0.35">
      <c r="B50" s="23"/>
      <c r="C50" s="23"/>
    </row>
    <row r="51" spans="2:6" x14ac:dyDescent="0.35">
      <c r="B51" s="23"/>
      <c r="C51" s="23"/>
    </row>
    <row r="58" spans="2:6" x14ac:dyDescent="0.35">
      <c r="C58" s="21"/>
    </row>
    <row r="59" spans="2:6" x14ac:dyDescent="0.35">
      <c r="C59" s="21"/>
    </row>
    <row r="60" spans="2:6" x14ac:dyDescent="0.35">
      <c r="C60" s="21"/>
    </row>
    <row r="63" spans="2:6" x14ac:dyDescent="0.35">
      <c r="C63" s="24"/>
      <c r="E63" s="23"/>
      <c r="F63" s="23"/>
    </row>
    <row r="64" spans="2:6" x14ac:dyDescent="0.35">
      <c r="C64" s="24"/>
      <c r="E64" s="23"/>
      <c r="F64" s="23"/>
    </row>
    <row r="65" spans="3:6" x14ac:dyDescent="0.35">
      <c r="C65" s="24"/>
      <c r="E65" s="23"/>
      <c r="F65" s="23"/>
    </row>
    <row r="66" spans="3:6" x14ac:dyDescent="0.35">
      <c r="C66" s="25"/>
      <c r="E66" s="23"/>
      <c r="F66" s="23"/>
    </row>
    <row r="67" spans="3:6" x14ac:dyDescent="0.35">
      <c r="E67" s="23"/>
      <c r="F67" s="23"/>
    </row>
    <row r="68" spans="3:6" x14ac:dyDescent="0.35">
      <c r="C68" s="25"/>
    </row>
    <row r="107" spans="5:5" x14ac:dyDescent="0.35">
      <c r="E107" s="2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2FD2-5E43-4298-832C-252B68551D7D}">
  <dimension ref="B2:Q27"/>
  <sheetViews>
    <sheetView showGridLines="0" zoomScale="90" zoomScaleNormal="90" workbookViewId="0">
      <selection activeCell="D27" sqref="D27"/>
    </sheetView>
  </sheetViews>
  <sheetFormatPr baseColWidth="10" defaultColWidth="10.90625" defaultRowHeight="13" x14ac:dyDescent="0.3"/>
  <cols>
    <col min="1" max="1" width="1.08984375" style="31" customWidth="1"/>
    <col min="2" max="2" width="57.1796875" style="31" customWidth="1"/>
    <col min="3" max="9" width="10.90625" style="31"/>
    <col min="10" max="10" width="12.1796875" style="31" customWidth="1"/>
    <col min="11" max="11" width="14.08984375" style="31" bestFit="1" customWidth="1"/>
    <col min="12" max="12" width="11.81640625" style="31" customWidth="1"/>
    <col min="13" max="13" width="13.81640625" style="31" bestFit="1" customWidth="1"/>
    <col min="14" max="14" width="12.90625" style="31" bestFit="1" customWidth="1"/>
    <col min="15" max="15" width="10.90625" style="31" hidden="1" customWidth="1"/>
    <col min="16" max="16384" width="10.90625" style="31"/>
  </cols>
  <sheetData>
    <row r="2" spans="2:17" x14ac:dyDescent="0.3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7" x14ac:dyDescent="0.3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7" ht="28" customHeight="1" x14ac:dyDescent="0.3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7" spans="2:17" ht="28.5" x14ac:dyDescent="0.3">
      <c r="B7" s="32" t="s">
        <v>12</v>
      </c>
    </row>
    <row r="8" spans="2:17" ht="18.5" x14ac:dyDescent="0.3">
      <c r="B8" s="33" t="s">
        <v>38</v>
      </c>
    </row>
    <row r="9" spans="2:17" ht="19.5" customHeight="1" x14ac:dyDescent="0.3">
      <c r="B9" s="34" t="s">
        <v>35</v>
      </c>
      <c r="C9" s="34" t="s">
        <v>17</v>
      </c>
      <c r="D9" s="34" t="s">
        <v>18</v>
      </c>
      <c r="E9" s="34" t="s">
        <v>19</v>
      </c>
      <c r="F9" s="34" t="s">
        <v>20</v>
      </c>
      <c r="G9" s="34" t="s">
        <v>21</v>
      </c>
      <c r="H9" s="34" t="s">
        <v>22</v>
      </c>
      <c r="I9" s="34" t="s">
        <v>23</v>
      </c>
      <c r="J9" s="34" t="s">
        <v>24</v>
      </c>
      <c r="K9" s="34" t="s">
        <v>25</v>
      </c>
      <c r="L9" s="34" t="s">
        <v>26</v>
      </c>
      <c r="M9" s="34" t="s">
        <v>27</v>
      </c>
      <c r="N9" s="34" t="s">
        <v>28</v>
      </c>
      <c r="O9" s="40" t="s">
        <v>36</v>
      </c>
    </row>
    <row r="10" spans="2:17" ht="15.5" x14ac:dyDescent="0.35">
      <c r="B10" s="35" t="s">
        <v>40</v>
      </c>
      <c r="C10" s="36">
        <v>21017</v>
      </c>
      <c r="D10" s="36">
        <v>23477</v>
      </c>
      <c r="E10" s="36">
        <v>34130</v>
      </c>
      <c r="F10" s="36">
        <v>27873</v>
      </c>
      <c r="G10" s="36">
        <v>41812</v>
      </c>
      <c r="H10" s="36">
        <v>21328</v>
      </c>
      <c r="I10" s="36">
        <v>39532</v>
      </c>
      <c r="J10" s="36">
        <v>25714</v>
      </c>
      <c r="K10" s="36">
        <v>34223</v>
      </c>
      <c r="L10" s="36">
        <v>31232</v>
      </c>
      <c r="M10" s="36">
        <v>36967</v>
      </c>
      <c r="N10" s="36">
        <v>40725</v>
      </c>
      <c r="O10" s="41">
        <f t="shared" ref="O10:O15" si="0">ROW(A1)</f>
        <v>1</v>
      </c>
      <c r="P10" s="37"/>
    </row>
    <row r="11" spans="2:17" ht="15.5" x14ac:dyDescent="0.35">
      <c r="B11" s="35" t="s">
        <v>41</v>
      </c>
      <c r="C11" s="36">
        <v>28682</v>
      </c>
      <c r="D11" s="36">
        <v>27615</v>
      </c>
      <c r="E11" s="36">
        <v>30151</v>
      </c>
      <c r="F11" s="36">
        <v>23073</v>
      </c>
      <c r="G11" s="36">
        <v>38396</v>
      </c>
      <c r="H11" s="36">
        <v>27739</v>
      </c>
      <c r="I11" s="36">
        <v>36875</v>
      </c>
      <c r="J11" s="36">
        <v>41223</v>
      </c>
      <c r="K11" s="36">
        <v>21716</v>
      </c>
      <c r="L11" s="36">
        <v>21298</v>
      </c>
      <c r="M11" s="36">
        <v>27731</v>
      </c>
      <c r="N11" s="36">
        <v>41616</v>
      </c>
      <c r="O11" s="41">
        <f t="shared" si="0"/>
        <v>2</v>
      </c>
      <c r="P11" s="37"/>
      <c r="Q11" s="38"/>
    </row>
    <row r="12" spans="2:17" ht="15.5" x14ac:dyDescent="0.35">
      <c r="B12" s="35" t="s">
        <v>42</v>
      </c>
      <c r="C12" s="36">
        <v>41452</v>
      </c>
      <c r="D12" s="36">
        <v>23631</v>
      </c>
      <c r="E12" s="36">
        <v>26128</v>
      </c>
      <c r="F12" s="36">
        <v>33877</v>
      </c>
      <c r="G12" s="36">
        <v>32022</v>
      </c>
      <c r="H12" s="36">
        <v>36646</v>
      </c>
      <c r="I12" s="36">
        <v>27505</v>
      </c>
      <c r="J12" s="36">
        <v>37073</v>
      </c>
      <c r="K12" s="36">
        <v>41531</v>
      </c>
      <c r="L12" s="36">
        <v>32677</v>
      </c>
      <c r="M12" s="36">
        <v>40399</v>
      </c>
      <c r="N12" s="36">
        <v>33414</v>
      </c>
      <c r="O12" s="41">
        <f t="shared" si="0"/>
        <v>3</v>
      </c>
      <c r="Q12" s="38"/>
    </row>
    <row r="13" spans="2:17" ht="15.5" x14ac:dyDescent="0.35">
      <c r="B13" s="35" t="s">
        <v>43</v>
      </c>
      <c r="C13" s="36">
        <v>27262</v>
      </c>
      <c r="D13" s="36">
        <v>30650</v>
      </c>
      <c r="E13" s="36">
        <v>20934</v>
      </c>
      <c r="F13" s="36">
        <v>29278</v>
      </c>
      <c r="G13" s="36">
        <v>36947</v>
      </c>
      <c r="H13" s="36">
        <v>34115</v>
      </c>
      <c r="I13" s="36">
        <v>27379</v>
      </c>
      <c r="J13" s="36">
        <v>21382</v>
      </c>
      <c r="K13" s="36">
        <v>39952</v>
      </c>
      <c r="L13" s="36">
        <v>22718</v>
      </c>
      <c r="M13" s="36">
        <v>22133</v>
      </c>
      <c r="N13" s="36">
        <v>20763</v>
      </c>
      <c r="O13" s="41">
        <f t="shared" si="0"/>
        <v>4</v>
      </c>
      <c r="Q13" s="38"/>
    </row>
    <row r="14" spans="2:17" ht="15.5" x14ac:dyDescent="0.35">
      <c r="B14" s="35" t="s">
        <v>44</v>
      </c>
      <c r="C14" s="36">
        <v>40950</v>
      </c>
      <c r="D14" s="36">
        <v>32931</v>
      </c>
      <c r="E14" s="36">
        <v>27793</v>
      </c>
      <c r="F14" s="36">
        <v>21287</v>
      </c>
      <c r="G14" s="36">
        <v>39613</v>
      </c>
      <c r="H14" s="36">
        <v>34743</v>
      </c>
      <c r="I14" s="36">
        <v>29121</v>
      </c>
      <c r="J14" s="36">
        <v>23259</v>
      </c>
      <c r="K14" s="36">
        <v>20313</v>
      </c>
      <c r="L14" s="36">
        <v>36294</v>
      </c>
      <c r="M14" s="36">
        <v>34111</v>
      </c>
      <c r="N14" s="36">
        <v>41758</v>
      </c>
      <c r="O14" s="41">
        <f t="shared" si="0"/>
        <v>5</v>
      </c>
      <c r="Q14" s="38"/>
    </row>
    <row r="15" spans="2:17" ht="15.5" x14ac:dyDescent="0.35">
      <c r="B15" s="35" t="s">
        <v>45</v>
      </c>
      <c r="C15" s="36">
        <v>33715</v>
      </c>
      <c r="D15" s="36">
        <v>39155</v>
      </c>
      <c r="E15" s="36">
        <v>35086</v>
      </c>
      <c r="F15" s="36">
        <v>30160</v>
      </c>
      <c r="G15" s="36">
        <v>31046</v>
      </c>
      <c r="H15" s="36">
        <v>37999</v>
      </c>
      <c r="I15" s="36">
        <v>31726</v>
      </c>
      <c r="J15" s="36">
        <v>34568</v>
      </c>
      <c r="K15" s="36">
        <v>26949</v>
      </c>
      <c r="L15" s="36">
        <v>38675</v>
      </c>
      <c r="M15" s="36">
        <v>38389</v>
      </c>
      <c r="N15" s="36">
        <v>36235</v>
      </c>
      <c r="O15" s="41">
        <f t="shared" si="0"/>
        <v>6</v>
      </c>
      <c r="Q15" s="38"/>
    </row>
    <row r="16" spans="2:17" ht="15.5" x14ac:dyDescent="0.35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Q16" s="38"/>
    </row>
    <row r="17" spans="2:17" ht="15.5" x14ac:dyDescent="0.35"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Q17" s="38"/>
    </row>
    <row r="19" spans="2:17" ht="28.5" x14ac:dyDescent="0.3">
      <c r="B19" s="32" t="s">
        <v>13</v>
      </c>
    </row>
    <row r="20" spans="2:17" ht="18.5" x14ac:dyDescent="0.3">
      <c r="B20" s="33" t="s">
        <v>39</v>
      </c>
    </row>
    <row r="21" spans="2:17" ht="15.5" x14ac:dyDescent="0.3">
      <c r="B21" s="34" t="s">
        <v>35</v>
      </c>
      <c r="C21" s="39" t="s">
        <v>17</v>
      </c>
      <c r="D21" s="39" t="s">
        <v>18</v>
      </c>
      <c r="E21" s="39" t="s">
        <v>19</v>
      </c>
      <c r="F21" s="39" t="s">
        <v>20</v>
      </c>
      <c r="G21" s="39" t="s">
        <v>21</v>
      </c>
      <c r="H21" s="39" t="s">
        <v>22</v>
      </c>
      <c r="I21" s="39" t="s">
        <v>23</v>
      </c>
      <c r="J21" s="39" t="s">
        <v>24</v>
      </c>
      <c r="K21" s="39" t="s">
        <v>25</v>
      </c>
      <c r="L21" s="39" t="s">
        <v>26</v>
      </c>
      <c r="M21" s="39" t="s">
        <v>27</v>
      </c>
      <c r="N21" s="39" t="s">
        <v>28</v>
      </c>
    </row>
    <row r="22" spans="2:17" ht="15.5" x14ac:dyDescent="0.35">
      <c r="B22" s="35" t="s">
        <v>40</v>
      </c>
      <c r="C22" s="36">
        <v>16813.600000000002</v>
      </c>
      <c r="D22" s="36">
        <v>18781.600000000002</v>
      </c>
      <c r="E22" s="36">
        <v>27304</v>
      </c>
      <c r="F22" s="36">
        <v>22298.400000000001</v>
      </c>
      <c r="G22" s="36">
        <v>33449.599999999999</v>
      </c>
      <c r="H22" s="36">
        <v>17062.400000000001</v>
      </c>
      <c r="I22" s="36">
        <v>31625.600000000002</v>
      </c>
      <c r="J22" s="36">
        <v>20571.2</v>
      </c>
      <c r="K22" s="36">
        <v>27378.400000000001</v>
      </c>
      <c r="L22" s="36">
        <v>24985.600000000002</v>
      </c>
      <c r="M22" s="36">
        <v>29573.600000000002</v>
      </c>
      <c r="N22" s="36">
        <v>32580</v>
      </c>
      <c r="O22" s="37"/>
    </row>
    <row r="23" spans="2:17" ht="15.5" x14ac:dyDescent="0.35">
      <c r="B23" s="35" t="s">
        <v>41</v>
      </c>
      <c r="C23" s="36">
        <v>17209.2</v>
      </c>
      <c r="D23" s="36">
        <v>16569</v>
      </c>
      <c r="E23" s="36">
        <v>18090.599999999999</v>
      </c>
      <c r="F23" s="36">
        <v>13843.8</v>
      </c>
      <c r="G23" s="36">
        <v>23037.599999999999</v>
      </c>
      <c r="H23" s="36">
        <v>16643.399999999998</v>
      </c>
      <c r="I23" s="36">
        <v>22125</v>
      </c>
      <c r="J23" s="36">
        <v>24733.8</v>
      </c>
      <c r="K23" s="36">
        <v>13029.6</v>
      </c>
      <c r="L23" s="36">
        <v>12778.8</v>
      </c>
      <c r="M23" s="36">
        <v>16638.599999999999</v>
      </c>
      <c r="N23" s="36">
        <v>24969.599999999999</v>
      </c>
      <c r="O23" s="37"/>
    </row>
    <row r="24" spans="2:17" ht="15.5" x14ac:dyDescent="0.35">
      <c r="B24" s="35" t="s">
        <v>42</v>
      </c>
      <c r="C24" s="36">
        <v>33161.599999999999</v>
      </c>
      <c r="D24" s="36">
        <v>18904.8</v>
      </c>
      <c r="E24" s="36">
        <v>20902.400000000001</v>
      </c>
      <c r="F24" s="36">
        <v>27101.600000000002</v>
      </c>
      <c r="G24" s="36">
        <v>25617.600000000002</v>
      </c>
      <c r="H24" s="36">
        <v>29316.800000000003</v>
      </c>
      <c r="I24" s="36">
        <v>22004</v>
      </c>
      <c r="J24" s="36">
        <v>29658.400000000001</v>
      </c>
      <c r="K24" s="36">
        <v>33224.800000000003</v>
      </c>
      <c r="L24" s="36">
        <v>26141.600000000002</v>
      </c>
      <c r="M24" s="36">
        <v>32319.200000000001</v>
      </c>
      <c r="N24" s="36">
        <v>26731.200000000001</v>
      </c>
    </row>
    <row r="25" spans="2:17" ht="15.5" x14ac:dyDescent="0.35">
      <c r="B25" s="35" t="s">
        <v>43</v>
      </c>
      <c r="C25" s="36">
        <v>27262</v>
      </c>
      <c r="D25" s="36">
        <v>30650</v>
      </c>
      <c r="E25" s="36">
        <v>20934</v>
      </c>
      <c r="F25" s="36">
        <v>29278</v>
      </c>
      <c r="G25" s="36">
        <v>36947</v>
      </c>
      <c r="H25" s="36">
        <v>34115</v>
      </c>
      <c r="I25" s="36">
        <v>27379</v>
      </c>
      <c r="J25" s="36">
        <v>21382</v>
      </c>
      <c r="K25" s="36">
        <v>39952</v>
      </c>
      <c r="L25" s="36">
        <v>22718</v>
      </c>
      <c r="M25" s="36">
        <v>22133</v>
      </c>
      <c r="N25" s="36">
        <v>20763</v>
      </c>
    </row>
    <row r="26" spans="2:17" ht="15.5" x14ac:dyDescent="0.35">
      <c r="B26" s="35" t="s">
        <v>44</v>
      </c>
      <c r="C26" s="36">
        <v>32760</v>
      </c>
      <c r="D26" s="36">
        <v>51000</v>
      </c>
      <c r="E26" s="36">
        <v>22234.400000000001</v>
      </c>
      <c r="F26" s="36">
        <v>17029.600000000002</v>
      </c>
      <c r="G26" s="36">
        <v>31690.400000000001</v>
      </c>
      <c r="H26" s="36">
        <v>27794.400000000001</v>
      </c>
      <c r="I26" s="36">
        <v>23296.800000000003</v>
      </c>
      <c r="J26" s="36">
        <v>18607.2</v>
      </c>
      <c r="K26" s="36">
        <v>16250.400000000001</v>
      </c>
      <c r="L26" s="36">
        <v>29035.200000000001</v>
      </c>
      <c r="M26" s="36">
        <v>27288.800000000003</v>
      </c>
      <c r="N26" s="36">
        <v>33406.400000000001</v>
      </c>
    </row>
    <row r="27" spans="2:17" ht="15.5" x14ac:dyDescent="0.35">
      <c r="B27" s="35" t="s">
        <v>45</v>
      </c>
      <c r="C27" s="36">
        <v>20229</v>
      </c>
      <c r="D27" s="36">
        <v>23493</v>
      </c>
      <c r="E27" s="36">
        <v>21051.599999999999</v>
      </c>
      <c r="F27" s="36">
        <v>18096</v>
      </c>
      <c r="G27" s="36">
        <v>18627.599999999999</v>
      </c>
      <c r="H27" s="36">
        <v>22799.399999999998</v>
      </c>
      <c r="I27" s="36">
        <v>19035.599999999999</v>
      </c>
      <c r="J27" s="36">
        <v>20740.8</v>
      </c>
      <c r="K27" s="36">
        <v>16169.4</v>
      </c>
      <c r="L27" s="36">
        <v>23205</v>
      </c>
      <c r="M27" s="36">
        <v>23033.399999999998</v>
      </c>
      <c r="N27" s="36">
        <v>21741</v>
      </c>
    </row>
  </sheetData>
  <phoneticPr fontId="4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2247-BAA6-444A-B067-82A2A3FD0263}">
  <dimension ref="A2:N26"/>
  <sheetViews>
    <sheetView showGridLines="0" workbookViewId="0">
      <selection activeCell="H15" sqref="H15"/>
    </sheetView>
  </sheetViews>
  <sheetFormatPr baseColWidth="10" defaultColWidth="10.90625" defaultRowHeight="13" x14ac:dyDescent="0.3"/>
  <cols>
    <col min="1" max="1" width="3" style="1" bestFit="1" customWidth="1"/>
    <col min="2" max="2" width="42.1796875" style="1" bestFit="1" customWidth="1"/>
    <col min="3" max="3" width="13.36328125" style="1" bestFit="1" customWidth="1"/>
    <col min="4" max="4" width="11.54296875" style="1" customWidth="1"/>
    <col min="5" max="5" width="20.1796875" style="1" customWidth="1"/>
    <col min="6" max="6" width="5.90625" style="1" customWidth="1"/>
    <col min="7" max="7" width="18.08984375" style="1" bestFit="1" customWidth="1"/>
    <col min="8" max="8" width="13.81640625" style="1" customWidth="1"/>
    <col min="9" max="9" width="10.90625" style="1"/>
    <col min="10" max="10" width="2.453125" style="1" customWidth="1"/>
    <col min="11" max="11" width="14.08984375" style="1" customWidth="1"/>
    <col min="12" max="16384" width="10.90625" style="1"/>
  </cols>
  <sheetData>
    <row r="2" spans="1:14" x14ac:dyDescent="0.3"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4" x14ac:dyDescent="0.3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4" ht="22.5" customHeight="1" x14ac:dyDescent="0.3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4" x14ac:dyDescent="0.3">
      <c r="D5" s="15"/>
    </row>
    <row r="6" spans="1:14" ht="23.5" x14ac:dyDescent="0.3">
      <c r="B6" s="27" t="s">
        <v>37</v>
      </c>
    </row>
    <row r="8" spans="1:14" ht="15.5" x14ac:dyDescent="0.35">
      <c r="B8" s="7" t="s">
        <v>14</v>
      </c>
      <c r="C8" s="7" t="str">
        <f>Seleccion</f>
        <v>Mayo</v>
      </c>
      <c r="D8" s="7"/>
      <c r="E8" s="7"/>
      <c r="F8" s="7"/>
      <c r="G8" s="7" t="s">
        <v>29</v>
      </c>
      <c r="H8" s="7"/>
      <c r="I8" s="7"/>
      <c r="J8" s="7"/>
      <c r="K8" s="7" t="s">
        <v>32</v>
      </c>
    </row>
    <row r="9" spans="1:14" ht="14" x14ac:dyDescent="0.3">
      <c r="B9" s="8" t="str">
        <f>Real[[#Headers],[CONCEPTO]]</f>
        <v>CONCEPTO</v>
      </c>
      <c r="C9" s="8" t="s">
        <v>15</v>
      </c>
      <c r="D9" s="8" t="s">
        <v>16</v>
      </c>
      <c r="E9" s="17" t="s">
        <v>33</v>
      </c>
      <c r="G9" s="8" t="s">
        <v>30</v>
      </c>
      <c r="H9" s="16">
        <f ca="1">IFERROR(SUM(OFFSET(D10,,,COUNTA(D10:D26)))/SUM(OFFSET(C10,,,COUNTA(C10:C26))),0)</f>
        <v>0.77043705307592936</v>
      </c>
      <c r="I9" s="16">
        <f ca="1">IF(Porcentaje_Gastado&gt;1,1,Porcentaje_Gastado)</f>
        <v>0.77043705307592936</v>
      </c>
      <c r="K9" s="12" t="s">
        <v>0</v>
      </c>
    </row>
    <row r="10" spans="1:14" x14ac:dyDescent="0.3">
      <c r="A10" s="28">
        <v>1</v>
      </c>
      <c r="B10" s="9" t="str">
        <f>IFERROR(INDEX(Pto[CONCEPTO],MATCH(Cálculos!A10,Pto[ID],0)),"-")</f>
        <v>Inspección</v>
      </c>
      <c r="C10" s="10" cm="1">
        <f t="array" ref="C10">IFERROR(INDEX(Pto[[#This Row],[ENERO]:[DICIEMBRE]],,MATCH(Cálculos!$C$8,Pto[[#Headers],[ENERO]:[DICIEMBRE]],0)),"-")</f>
        <v>41812</v>
      </c>
      <c r="D10" s="10" cm="1">
        <f t="array" ref="D10">IFERROR(IF(INDEX('Registro Presupuesto-Gasto'!C22:N22,,MATCH(Cálculos!$C$8,Real[[#Headers],[ENERO]:[DICIEMBRE]],0))=0, "-", INDEX('Registro Presupuesto-Gasto'!C22:N22,,MATCH(Cálculos!$C$8,Real[[#Headers],[ENERO]:[DICIEMBRE]],0))), "-")</f>
        <v>33449.599999999999</v>
      </c>
      <c r="E10" s="11">
        <f>IF(IFERROR(C10/D10-1,0)=0,"-",IFERROR(C10/D10-1,0))</f>
        <v>0.25</v>
      </c>
      <c r="G10" s="8" t="s">
        <v>31</v>
      </c>
      <c r="H10" s="16">
        <f ca="1">1-H9</f>
        <v>0.22956294692407064</v>
      </c>
      <c r="I10" s="16">
        <f ca="1">1-I9</f>
        <v>0.22956294692407064</v>
      </c>
      <c r="K10" s="12" t="s">
        <v>1</v>
      </c>
    </row>
    <row r="11" spans="1:14" x14ac:dyDescent="0.3">
      <c r="A11" s="28">
        <v>2</v>
      </c>
      <c r="B11" s="9" t="str">
        <f>IFERROR(INDEX(Pto[CONCEPTO],MATCH(Cálculos!A11,Pto[ID],0)),"-")</f>
        <v>Pruebas y certificaciones</v>
      </c>
      <c r="C11" s="10" cm="1">
        <f t="array" ref="C11">IFERROR(INDEX(Pto[[#This Row],[ENERO]:[DICIEMBRE]],,MATCH(Cálculos!$C$8,Pto[[#Headers],[ENERO]:[DICIEMBRE]],0)),"-")</f>
        <v>38396</v>
      </c>
      <c r="D11" s="10" cm="1">
        <f t="array" ref="D11">IFERROR(IF(INDEX('Registro Presupuesto-Gasto'!C23:N23,,MATCH(Cálculos!$C$8,Real[[#Headers],[ENERO]:[DICIEMBRE]],0))=0, "-", INDEX('Registro Presupuesto-Gasto'!C23:N23,,MATCH(Cálculos!$C$8,Real[[#Headers],[ENERO]:[DICIEMBRE]],0))), "-")</f>
        <v>23037.599999999999</v>
      </c>
      <c r="E11" s="11">
        <f t="shared" ref="E11:E26" si="0">IF(IFERROR(C11/D11-1,0)=0,"-",IFERROR(C11/D11-1,0))</f>
        <v>0.66666666666666674</v>
      </c>
      <c r="K11" s="12" t="s">
        <v>2</v>
      </c>
    </row>
    <row r="12" spans="1:14" x14ac:dyDescent="0.3">
      <c r="A12" s="28">
        <v>3</v>
      </c>
      <c r="B12" s="9" t="str">
        <f>IFERROR(INDEX(Pto[CONCEPTO],MATCH(Cálculos!A12,Pto[ID],0)),"-")</f>
        <v>Auditorias</v>
      </c>
      <c r="C12" s="10" cm="1">
        <f t="array" ref="C12">IFERROR(INDEX(Pto[[#This Row],[ENERO]:[DICIEMBRE]],,MATCH(Cálculos!$C$8,Pto[[#Headers],[ENERO]:[DICIEMBRE]],0)),"-")</f>
        <v>32022</v>
      </c>
      <c r="D12" s="10" cm="1">
        <f t="array" ref="D12">IFERROR(IF(INDEX('Registro Presupuesto-Gasto'!C24:N24,,MATCH(Cálculos!$C$8,Real[[#Headers],[ENERO]:[DICIEMBRE]],0))=0, "-", INDEX('Registro Presupuesto-Gasto'!C24:N24,,MATCH(Cálculos!$C$8,Real[[#Headers],[ENERO]:[DICIEMBRE]],0))), "-")</f>
        <v>25617.600000000002</v>
      </c>
      <c r="E12" s="11">
        <f t="shared" si="0"/>
        <v>0.25</v>
      </c>
      <c r="K12" s="12" t="s">
        <v>3</v>
      </c>
    </row>
    <row r="13" spans="1:14" ht="15.5" x14ac:dyDescent="0.35">
      <c r="A13" s="28">
        <v>4</v>
      </c>
      <c r="B13" s="9" t="str">
        <f>IFERROR(INDEX(Pto[CONCEPTO],MATCH(Cálculos!A13,Pto[ID],0)),"-")</f>
        <v>Control de procesos</v>
      </c>
      <c r="C13" s="10" cm="1">
        <f t="array" ref="C13">IFERROR(INDEX(Pto[[#This Row],[ENERO]:[DICIEMBRE]],,MATCH(Cálculos!$C$8,Pto[[#Headers],[ENERO]:[DICIEMBRE]],0)),"-")</f>
        <v>36947</v>
      </c>
      <c r="D13" s="10" cm="1">
        <f t="array" ref="D13">IFERROR(IF(INDEX('Registro Presupuesto-Gasto'!C25:N25,,MATCH(Cálculos!$C$8,Real[[#Headers],[ENERO]:[DICIEMBRE]],0))=0, "-", INDEX('Registro Presupuesto-Gasto'!C25:N25,,MATCH(Cálculos!$C$8,Real[[#Headers],[ENERO]:[DICIEMBRE]],0))), "-")</f>
        <v>36947</v>
      </c>
      <c r="E13" s="11" t="str">
        <f t="shared" si="0"/>
        <v>-</v>
      </c>
      <c r="G13" s="7" t="s">
        <v>46</v>
      </c>
      <c r="K13" s="12" t="s">
        <v>4</v>
      </c>
    </row>
    <row r="14" spans="1:14" x14ac:dyDescent="0.3">
      <c r="A14" s="28">
        <v>5</v>
      </c>
      <c r="B14" s="9" t="str">
        <f>IFERROR(INDEX(Pto[CONCEPTO],MATCH(Cálculos!A14,Pto[ID],0)),"-")</f>
        <v>Retrabajo y Corrección</v>
      </c>
      <c r="C14" s="10" cm="1">
        <f t="array" ref="C14">IFERROR(INDEX(Pto[[#This Row],[ENERO]:[DICIEMBRE]],,MATCH(Cálculos!$C$8,Pto[[#Headers],[ENERO]:[DICIEMBRE]],0)),"-")</f>
        <v>39613</v>
      </c>
      <c r="D14" s="10" cm="1">
        <f t="array" ref="D14">IFERROR(IF(INDEX('Registro Presupuesto-Gasto'!C26:N26,,MATCH(Cálculos!$C$8,Real[[#Headers],[ENERO]:[DICIEMBRE]],0))=0, "-", INDEX('Registro Presupuesto-Gasto'!C26:N26,,MATCH(Cálculos!$C$8,Real[[#Headers],[ENERO]:[DICIEMBRE]],0))), "-")</f>
        <v>31690.400000000001</v>
      </c>
      <c r="E14" s="11">
        <f t="shared" si="0"/>
        <v>0.25</v>
      </c>
      <c r="G14" s="8" t="s">
        <v>47</v>
      </c>
      <c r="H14" s="43">
        <f ca="1">SUM(OFFSET(C10,,,COUNTA(C10:C58)))</f>
        <v>219836</v>
      </c>
      <c r="K14" s="12" t="s">
        <v>5</v>
      </c>
      <c r="N14" s="42"/>
    </row>
    <row r="15" spans="1:14" x14ac:dyDescent="0.3">
      <c r="A15" s="28">
        <v>6</v>
      </c>
      <c r="B15" s="9" t="str">
        <f>IFERROR(INDEX(Pto[CONCEPTO],MATCH(Cálculos!A15,Pto[ID],0)),"-")</f>
        <v>Normas de calidad</v>
      </c>
      <c r="C15" s="10" cm="1">
        <f t="array" ref="C15">IFERROR(INDEX(Pto[[#This Row],[ENERO]:[DICIEMBRE]],,MATCH(Cálculos!$C$8,Pto[[#Headers],[ENERO]:[DICIEMBRE]],0)),"-")</f>
        <v>31046</v>
      </c>
      <c r="D15" s="10" cm="1">
        <f t="array" ref="D15">IFERROR(IF(INDEX('Registro Presupuesto-Gasto'!C27:N27,,MATCH(Cálculos!$C$8,Real[[#Headers],[ENERO]:[DICIEMBRE]],0))=0, "-", INDEX('Registro Presupuesto-Gasto'!C27:N27,,MATCH(Cálculos!$C$8,Real[[#Headers],[ENERO]:[DICIEMBRE]],0))), "-")</f>
        <v>18627.599999999999</v>
      </c>
      <c r="E15" s="11">
        <f t="shared" si="0"/>
        <v>0.66666666666666674</v>
      </c>
      <c r="G15" s="8" t="s">
        <v>13</v>
      </c>
      <c r="H15" s="43">
        <f ca="1">SUM(OFFSET(D10,,,COUNTA(D10:D58)))</f>
        <v>169369.80000000002</v>
      </c>
      <c r="K15" s="12" t="s">
        <v>6</v>
      </c>
      <c r="N15" s="42"/>
    </row>
    <row r="16" spans="1:14" x14ac:dyDescent="0.3">
      <c r="A16" s="28">
        <v>7</v>
      </c>
      <c r="B16" s="9" t="str">
        <f>IFERROR(INDEX(Pto[CONCEPTO],MATCH(Cálculos!A16,Pto[ID],0)),"-")</f>
        <v>-</v>
      </c>
      <c r="C16" s="10" t="str" cm="1">
        <f t="array" ref="C16">IFERROR(INDEX(Pto[[#This Row],[ENERO]:[DICIEMBRE]],,MATCH(Cálculos!$C$8,Pto[[#Headers],[ENERO]:[DICIEMBRE]],0)),"-")</f>
        <v>-</v>
      </c>
      <c r="D16" s="10" t="str" cm="1">
        <f t="array" ref="D16">IFERROR(IF(INDEX('Registro Presupuesto-Gasto'!C28:N28,,MATCH(Cálculos!$C$8,Real[[#Headers],[ENERO]:[DICIEMBRE]],0))=0, "-", INDEX('Registro Presupuesto-Gasto'!C28:N28,,MATCH(Cálculos!$C$8,Real[[#Headers],[ENERO]:[DICIEMBRE]],0))), "-")</f>
        <v>-</v>
      </c>
      <c r="E16" s="11" t="str">
        <f t="shared" si="0"/>
        <v>-</v>
      </c>
      <c r="K16" s="12" t="s">
        <v>7</v>
      </c>
    </row>
    <row r="17" spans="1:11" x14ac:dyDescent="0.3">
      <c r="A17" s="28">
        <v>8</v>
      </c>
      <c r="B17" s="9" t="str">
        <f>IFERROR(INDEX(Pto[CONCEPTO],MATCH(Cálculos!A17,Pto[ID],0)),"-")</f>
        <v>-</v>
      </c>
      <c r="C17" s="10" t="str" cm="1">
        <f t="array" ref="C17">IFERROR(INDEX(Pto[[#This Row],[ENERO]:[DICIEMBRE]],,MATCH(Cálculos!$C$8,Pto[[#Headers],[ENERO]:[DICIEMBRE]],0)),"-")</f>
        <v>-</v>
      </c>
      <c r="D17" s="10" t="str" cm="1">
        <f t="array" ref="D17">IFERROR(IF(INDEX('Registro Presupuesto-Gasto'!C29:N29,,MATCH(Cálculos!$C$8,Real[[#Headers],[ENERO]:[DICIEMBRE]],0))=0, "-", INDEX('Registro Presupuesto-Gasto'!C29:N29,,MATCH(Cálculos!$C$8,Real[[#Headers],[ENERO]:[DICIEMBRE]],0))), "-")</f>
        <v>-</v>
      </c>
      <c r="E17" s="11" t="str">
        <f t="shared" si="0"/>
        <v>-</v>
      </c>
      <c r="K17" s="12" t="s">
        <v>8</v>
      </c>
    </row>
    <row r="18" spans="1:11" x14ac:dyDescent="0.3">
      <c r="A18" s="28">
        <v>9</v>
      </c>
      <c r="B18" s="9" t="str">
        <f>IFERROR(INDEX(Pto[CONCEPTO],MATCH(Cálculos!A18,Pto[ID],0)),"-")</f>
        <v>-</v>
      </c>
      <c r="C18" s="10" t="str" cm="1">
        <f t="array" ref="C18">IFERROR(INDEX(Pto[[#This Row],[ENERO]:[DICIEMBRE]],,MATCH(Cálculos!$C$8,Pto[[#Headers],[ENERO]:[DICIEMBRE]],0)),"-")</f>
        <v>-</v>
      </c>
      <c r="D18" s="10" t="str" cm="1">
        <f t="array" ref="D18">IFERROR(IF(INDEX('Registro Presupuesto-Gasto'!C30:N30,,MATCH(Cálculos!$C$8,Real[[#Headers],[ENERO]:[DICIEMBRE]],0))=0, "-", INDEX('Registro Presupuesto-Gasto'!C30:N30,,MATCH(Cálculos!$C$8,Real[[#Headers],[ENERO]:[DICIEMBRE]],0))), "-")</f>
        <v>-</v>
      </c>
      <c r="E18" s="11" t="str">
        <f t="shared" si="0"/>
        <v>-</v>
      </c>
      <c r="G18" s="4"/>
      <c r="K18" s="12" t="s">
        <v>11</v>
      </c>
    </row>
    <row r="19" spans="1:11" x14ac:dyDescent="0.3">
      <c r="A19" s="28">
        <v>10</v>
      </c>
      <c r="B19" s="9" t="str">
        <f>IFERROR(INDEX(Pto[CONCEPTO],MATCH(Cálculos!A19,Pto[ID],0)),"-")</f>
        <v>-</v>
      </c>
      <c r="C19" s="10" t="str" cm="1">
        <f t="array" ref="C19">IFERROR(INDEX(Pto[[#This Row],[ENERO]:[DICIEMBRE]],,MATCH(Cálculos!$C$8,Pto[[#Headers],[ENERO]:[DICIEMBRE]],0)),"-")</f>
        <v>-</v>
      </c>
      <c r="D19" s="10" t="str" cm="1">
        <f t="array" ref="D19">IFERROR(IF(INDEX('Registro Presupuesto-Gasto'!C31:N31,,MATCH(Cálculos!$C$8,Real[[#Headers],[ENERO]:[DICIEMBRE]],0))=0, "-", INDEX('Registro Presupuesto-Gasto'!C31:N31,,MATCH(Cálculos!$C$8,Real[[#Headers],[ENERO]:[DICIEMBRE]],0))), "-")</f>
        <v>-</v>
      </c>
      <c r="E19" s="11" t="str">
        <f t="shared" si="0"/>
        <v>-</v>
      </c>
      <c r="G19" s="4"/>
      <c r="K19" s="12" t="s">
        <v>9</v>
      </c>
    </row>
    <row r="20" spans="1:11" x14ac:dyDescent="0.3">
      <c r="A20" s="28">
        <v>11</v>
      </c>
      <c r="B20" s="9" t="str">
        <f>IFERROR(INDEX(Pto[CONCEPTO],MATCH(Cálculos!A20,Pto[ID],0)),"-")</f>
        <v>-</v>
      </c>
      <c r="C20" s="10" t="str" cm="1">
        <f t="array" ref="C20">IFERROR(INDEX(Pto[[#This Row],[ENERO]:[DICIEMBRE]],,MATCH(Cálculos!$C$8,Pto[[#Headers],[ENERO]:[DICIEMBRE]],0)),"-")</f>
        <v>-</v>
      </c>
      <c r="D20" s="10" t="str" cm="1">
        <f t="array" ref="D20">IFERROR(IF(INDEX('Registro Presupuesto-Gasto'!C32:N32,,MATCH(Cálculos!$C$8,Real[[#Headers],[ENERO]:[DICIEMBRE]],0))=0, "-", INDEX('Registro Presupuesto-Gasto'!C32:N32,,MATCH(Cálculos!$C$8,Real[[#Headers],[ENERO]:[DICIEMBRE]],0))), "-")</f>
        <v>-</v>
      </c>
      <c r="E20" s="11" t="str">
        <f t="shared" si="0"/>
        <v>-</v>
      </c>
      <c r="G20" s="5"/>
      <c r="K20" s="12" t="s">
        <v>10</v>
      </c>
    </row>
    <row r="21" spans="1:11" x14ac:dyDescent="0.3">
      <c r="A21" s="28">
        <v>12</v>
      </c>
      <c r="B21" s="9" t="str">
        <f>IFERROR(INDEX(Pto[CONCEPTO],MATCH(Cálculos!A21,Pto[ID],0)),"-")</f>
        <v>-</v>
      </c>
      <c r="C21" s="10" t="str" cm="1">
        <f t="array" ref="C21">IFERROR(INDEX(Pto[[#This Row],[ENERO]:[DICIEMBRE]],,MATCH(Cálculos!$C$8,Pto[[#Headers],[ENERO]:[DICIEMBRE]],0)),"-")</f>
        <v>-</v>
      </c>
      <c r="D21" s="10" t="str" cm="1">
        <f t="array" ref="D21">IFERROR(IF(INDEX('Registro Presupuesto-Gasto'!C33:N33,,MATCH(Cálculos!$C$8,Real[[#Headers],[ENERO]:[DICIEMBRE]],0))=0, "-", INDEX('Registro Presupuesto-Gasto'!C33:N33,,MATCH(Cálculos!$C$8,Real[[#Headers],[ENERO]:[DICIEMBRE]],0))), "-")</f>
        <v>-</v>
      </c>
      <c r="E21" s="11" t="str">
        <f t="shared" si="0"/>
        <v>-</v>
      </c>
    </row>
    <row r="22" spans="1:11" x14ac:dyDescent="0.3">
      <c r="A22" s="28">
        <v>13</v>
      </c>
      <c r="B22" s="9" t="str">
        <f>IFERROR(INDEX(Pto[CONCEPTO],MATCH(Cálculos!A22,Pto[ID],0)),"-")</f>
        <v>-</v>
      </c>
      <c r="C22" s="10" t="str" cm="1">
        <f t="array" ref="C22">IFERROR(INDEX(Pto[[#This Row],[ENERO]:[DICIEMBRE]],,MATCH(Cálculos!$C$8,Pto[[#Headers],[ENERO]:[DICIEMBRE]],0)),"-")</f>
        <v>-</v>
      </c>
      <c r="D22" s="10" t="str" cm="1">
        <f t="array" ref="D22">IFERROR(IF(INDEX('Registro Presupuesto-Gasto'!C34:N34,,MATCH(Cálculos!$C$8,Real[[#Headers],[ENERO]:[DICIEMBRE]],0))=0, "-", INDEX('Registro Presupuesto-Gasto'!C34:N34,,MATCH(Cálculos!$C$8,Real[[#Headers],[ENERO]:[DICIEMBRE]],0))), "-")</f>
        <v>-</v>
      </c>
      <c r="E22" s="11" t="str">
        <f t="shared" si="0"/>
        <v>-</v>
      </c>
    </row>
    <row r="23" spans="1:11" x14ac:dyDescent="0.3">
      <c r="A23" s="28">
        <v>14</v>
      </c>
      <c r="B23" s="9" t="str">
        <f>IFERROR(INDEX(Pto[CONCEPTO],MATCH(Cálculos!A23,Pto[ID],0)),"-")</f>
        <v>-</v>
      </c>
      <c r="C23" s="10" t="str" cm="1">
        <f t="array" ref="C23">IFERROR(INDEX(Pto[[#This Row],[ENERO]:[DICIEMBRE]],,MATCH(Cálculos!$C$8,Pto[[#Headers],[ENERO]:[DICIEMBRE]],0)),"-")</f>
        <v>-</v>
      </c>
      <c r="D23" s="10" t="str" cm="1">
        <f t="array" ref="D23">IFERROR(IF(INDEX('Registro Presupuesto-Gasto'!C35:N35,,MATCH(Cálculos!$C$8,Real[[#Headers],[ENERO]:[DICIEMBRE]],0))=0, "-", INDEX('Registro Presupuesto-Gasto'!C35:N35,,MATCH(Cálculos!$C$8,Real[[#Headers],[ENERO]:[DICIEMBRE]],0))), "-")</f>
        <v>-</v>
      </c>
      <c r="E23" s="11" t="str">
        <f t="shared" si="0"/>
        <v>-</v>
      </c>
      <c r="H23" s="29"/>
    </row>
    <row r="24" spans="1:11" x14ac:dyDescent="0.3">
      <c r="A24" s="28">
        <v>15</v>
      </c>
      <c r="B24" s="9" t="str">
        <f>IFERROR(INDEX(Pto[CONCEPTO],MATCH(Cálculos!A24,Pto[ID],0)),"-")</f>
        <v>-</v>
      </c>
      <c r="C24" s="10" t="str" cm="1">
        <f t="array" ref="C24">IFERROR(INDEX(Pto[[#This Row],[ENERO]:[DICIEMBRE]],,MATCH(Cálculos!$C$8,Pto[[#Headers],[ENERO]:[DICIEMBRE]],0)),"-")</f>
        <v>-</v>
      </c>
      <c r="D24" s="10" t="str" cm="1">
        <f t="array" ref="D24">IFERROR(IF(INDEX('Registro Presupuesto-Gasto'!C36:N36,,MATCH(Cálculos!$C$8,Real[[#Headers],[ENERO]:[DICIEMBRE]],0))=0, "-", INDEX('Registro Presupuesto-Gasto'!C36:N36,,MATCH(Cálculos!$C$8,Real[[#Headers],[ENERO]:[DICIEMBRE]],0))), "-")</f>
        <v>-</v>
      </c>
      <c r="E24" s="11" t="str">
        <f t="shared" si="0"/>
        <v>-</v>
      </c>
      <c r="H24" s="29"/>
    </row>
    <row r="25" spans="1:11" x14ac:dyDescent="0.3">
      <c r="A25" s="28">
        <v>16</v>
      </c>
      <c r="B25" s="9" t="str">
        <f>IFERROR(INDEX(Pto[CONCEPTO],MATCH(Cálculos!A25,Pto[ID],0)),"-")</f>
        <v>-</v>
      </c>
      <c r="C25" s="10" t="str" cm="1">
        <f t="array" ref="C25">IFERROR(INDEX(Pto[[#This Row],[ENERO]:[DICIEMBRE]],,MATCH(Cálculos!$C$8,Pto[[#Headers],[ENERO]:[DICIEMBRE]],0)),"-")</f>
        <v>-</v>
      </c>
      <c r="D25" s="10" t="str" cm="1">
        <f t="array" ref="D25">IFERROR(IF(INDEX('Registro Presupuesto-Gasto'!C37:N37,,MATCH(Cálculos!$C$8,Real[[#Headers],[ENERO]:[DICIEMBRE]],0))=0, "-", INDEX('Registro Presupuesto-Gasto'!C37:N37,,MATCH(Cálculos!$C$8,Real[[#Headers],[ENERO]:[DICIEMBRE]],0))), "-")</f>
        <v>-</v>
      </c>
      <c r="E25" s="11" t="str">
        <f t="shared" si="0"/>
        <v>-</v>
      </c>
      <c r="H25" s="29"/>
    </row>
    <row r="26" spans="1:11" x14ac:dyDescent="0.3">
      <c r="A26" s="28">
        <v>17</v>
      </c>
      <c r="B26" s="9" t="str">
        <f>IFERROR(INDEX(Pto[CONCEPTO],MATCH(Cálculos!A26,Pto[ID],0)),"-")</f>
        <v>-</v>
      </c>
      <c r="C26" s="10" t="str" cm="1">
        <f t="array" ref="C26">IFERROR(INDEX(Pto[[#This Row],[ENERO]:[DICIEMBRE]],,MATCH(Cálculos!$C$8,Pto[[#Headers],[ENERO]:[DICIEMBRE]],0)),"-")</f>
        <v>-</v>
      </c>
      <c r="D26" s="10" t="str" cm="1">
        <f t="array" ref="D26">IFERROR(IF(INDEX('Registro Presupuesto-Gasto'!C38:N38,,MATCH(Cálculos!$C$8,Real[[#Headers],[ENERO]:[DICIEMBRE]],0))=0, "-", INDEX('Registro Presupuesto-Gasto'!C38:N38,,MATCH(Cálculos!$C$8,Real[[#Headers],[ENERO]:[DICIEMBRE]],0))), "-")</f>
        <v>-</v>
      </c>
      <c r="E26" s="11" t="str">
        <f t="shared" si="0"/>
        <v>-</v>
      </c>
      <c r="H26" s="29"/>
    </row>
  </sheetData>
  <phoneticPr fontId="4" type="noConversion"/>
  <pageMargins left="0.7" right="0.7" top="0.75" bottom="0.75" header="0.3" footer="0.3"/>
  <ignoredErrors>
    <ignoredError sqref="D10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6F7D-3B5C-4BA9-A743-8DC4CC8F38FF}">
  <dimension ref="A1:AA82"/>
  <sheetViews>
    <sheetView showGridLines="0" zoomScale="80" zoomScaleNormal="80" workbookViewId="0">
      <selection sqref="A1:K80"/>
    </sheetView>
  </sheetViews>
  <sheetFormatPr baseColWidth="10" defaultColWidth="10.90625" defaultRowHeight="13" x14ac:dyDescent="0.3"/>
  <cols>
    <col min="1" max="2" width="10.90625" style="13"/>
    <col min="3" max="3" width="16.81640625" style="13" customWidth="1"/>
    <col min="4" max="10" width="10.90625" style="13"/>
    <col min="11" max="11" width="35.453125" style="13" customWidth="1"/>
    <col min="12" max="12" width="12.1796875" style="13" customWidth="1"/>
    <col min="13" max="16384" width="10.90625" style="13"/>
  </cols>
  <sheetData>
    <row r="1" spans="1:12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3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24" customHeight="1" x14ac:dyDescent="0.65">
      <c r="A8" s="2"/>
      <c r="B8" s="44"/>
      <c r="C8" s="45" t="s">
        <v>4</v>
      </c>
      <c r="D8" s="2"/>
      <c r="E8" s="2"/>
      <c r="F8" s="2"/>
      <c r="G8" s="2"/>
      <c r="H8" s="2"/>
      <c r="I8" s="2"/>
      <c r="J8" s="2"/>
      <c r="K8" s="2"/>
      <c r="L8" s="2"/>
    </row>
    <row r="9" spans="1:12" ht="24" customHeight="1" x14ac:dyDescent="0.35">
      <c r="A9" s="2"/>
      <c r="B9" s="3"/>
      <c r="C9" s="45"/>
      <c r="D9" s="2"/>
      <c r="E9" s="2"/>
      <c r="F9" s="2"/>
      <c r="G9" s="2"/>
      <c r="H9" s="2"/>
      <c r="I9" s="2"/>
      <c r="J9" s="2"/>
      <c r="K9" s="2"/>
      <c r="L9" s="2"/>
    </row>
    <row r="10" spans="1:12" ht="24" customHeight="1" x14ac:dyDescent="0.35">
      <c r="A10" s="2"/>
      <c r="B10" s="3"/>
      <c r="C10" s="6"/>
      <c r="D10" s="2"/>
      <c r="E10" s="2"/>
      <c r="F10" s="2"/>
      <c r="G10" s="2"/>
      <c r="H10" s="2"/>
      <c r="I10" s="2"/>
      <c r="J10" s="2"/>
      <c r="K10" s="2"/>
      <c r="L10" s="2"/>
    </row>
    <row r="11" spans="1:12" ht="24" customHeight="1" x14ac:dyDescent="0.35">
      <c r="A11" s="2"/>
      <c r="B11" s="3"/>
      <c r="C11" s="6"/>
      <c r="D11" s="2"/>
      <c r="E11" s="2"/>
      <c r="F11" s="2"/>
      <c r="G11" s="2"/>
      <c r="H11" s="2"/>
      <c r="I11" s="2"/>
      <c r="J11" s="2"/>
      <c r="K11" s="2"/>
      <c r="L11" s="2"/>
    </row>
    <row r="12" spans="1:12" ht="24" customHeight="1" x14ac:dyDescent="0.35">
      <c r="A12" s="2"/>
      <c r="B12" s="3"/>
      <c r="C12" s="6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27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27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27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27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AA52" s="13">
        <f>1673/1.5</f>
        <v>1115.3333333333333</v>
      </c>
    </row>
    <row r="53" spans="1:27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27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27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27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27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27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27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27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27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2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27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</sheetData>
  <mergeCells count="1">
    <mergeCell ref="C8:C9"/>
  </mergeCells>
  <dataValidations count="1">
    <dataValidation type="list" allowBlank="1" showInputMessage="1" showErrorMessage="1" sqref="C8 C10:C12" xr:uid="{D31FDCDF-063A-498B-85AC-DB1C001C1555}">
      <formula1>Meses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</vt:i4>
      </vt:variant>
    </vt:vector>
  </HeadingPairs>
  <TitlesOfParts>
    <vt:vector size="10" baseType="lpstr">
      <vt:lpstr>- AYUDA -</vt:lpstr>
      <vt:lpstr>Registro Presupuesto-Gasto</vt:lpstr>
      <vt:lpstr>Cálculos</vt:lpstr>
      <vt:lpstr>Dashboard de Calidad y Control</vt:lpstr>
      <vt:lpstr>Gastado_</vt:lpstr>
      <vt:lpstr>Medio</vt:lpstr>
      <vt:lpstr>Meses</vt:lpstr>
      <vt:lpstr>Porcentaje_Gastado</vt:lpstr>
      <vt:lpstr>Presupuestado</vt:lpstr>
      <vt:lpstr>Seleccion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 PlanillaExcel</cp:lastModifiedBy>
  <dcterms:created xsi:type="dcterms:W3CDTF">2017-10-03T23:41:29Z</dcterms:created>
  <dcterms:modified xsi:type="dcterms:W3CDTF">2024-10-23T23:14:03Z</dcterms:modified>
</cp:coreProperties>
</file>