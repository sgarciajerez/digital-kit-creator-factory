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08"/>
  <workbookPr/>
  <mc:AlternateContent xmlns:mc="http://schemas.openxmlformats.org/markup-compatibility/2006">
    <mc:Choice Requires="x15">
      <x15ac:absPath xmlns:x15ac="http://schemas.microsoft.com/office/spreadsheetml/2010/11/ac" url="C:\Users\cecil\Downloads\"/>
    </mc:Choice>
  </mc:AlternateContent>
  <xr:revisionPtr revIDLastSave="0" documentId="13_ncr:1_{BBF24D05-F1C1-4044-A454-741758203BDB}" xr6:coauthVersionLast="47" xr6:coauthVersionMax="47" xr10:uidLastSave="{00000000-0000-0000-0000-000000000000}"/>
  <bookViews>
    <workbookView xWindow="19090" yWindow="-5110" windowWidth="38620" windowHeight="21820" tabRatio="648" xr2:uid="{00000000-000D-0000-FFFF-FFFF00000000}"/>
  </bookViews>
  <sheets>
    <sheet name="- AYUDA -" sheetId="8" r:id="rId1"/>
    <sheet name="Registro Presupuesto-Gasto" sheetId="4" r:id="rId2"/>
    <sheet name="Cálculos" sheetId="6" r:id="rId3"/>
    <sheet name="Dashboard de RRHH" sheetId="7" r:id="rId4"/>
  </sheets>
  <definedNames>
    <definedName name="Medio">Pto[CONCEPTO]</definedName>
    <definedName name="Meses">Cálculos!$K$9:$K$20</definedName>
    <definedName name="Porcentaje_Gastado">Cálculos!$H$9</definedName>
    <definedName name="Seleccion">'Dashboard de RRHH'!$C$8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6" l="1"/>
  <c r="C8" i="6"/>
  <c r="B10" i="6" a="1"/>
  <c r="C16" i="6" l="1" a="1"/>
  <c r="C16" i="6" s="1"/>
  <c r="C15" i="6" a="1"/>
  <c r="C15" i="6" s="1"/>
  <c r="C13" i="6" a="1"/>
  <c r="C13" i="6" s="1"/>
  <c r="C14" i="6" a="1"/>
  <c r="C14" i="6" s="1"/>
  <c r="C10" i="6" a="1"/>
  <c r="C10" i="6" s="1"/>
  <c r="C11" i="6" a="1"/>
  <c r="C11" i="6" s="1"/>
  <c r="C12" i="6" a="1"/>
  <c r="C12" i="6" s="1"/>
  <c r="D12" i="6" a="1"/>
  <c r="D12" i="6" s="1"/>
  <c r="D16" i="6" a="1"/>
  <c r="D16" i="6" s="1"/>
  <c r="D10" i="6" a="1"/>
  <c r="D10" i="6" s="1"/>
  <c r="D11" i="6" a="1"/>
  <c r="D11" i="6" s="1"/>
  <c r="D13" i="6" a="1"/>
  <c r="D13" i="6" s="1"/>
  <c r="D15" i="6" a="1"/>
  <c r="D15" i="6" s="1"/>
  <c r="D14" i="6" a="1"/>
  <c r="D14" i="6" s="1"/>
  <c r="B10" i="6"/>
  <c r="H9" i="6" l="1"/>
  <c r="E15" i="6"/>
  <c r="E13" i="6"/>
  <c r="E14" i="6"/>
  <c r="E16" i="6"/>
  <c r="E11" i="6"/>
  <c r="E12" i="6"/>
  <c r="E10" i="6"/>
  <c r="H10" i="6" l="1"/>
  <c r="I9" i="6"/>
  <c r="I10"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<sst xmlns="http://schemas.openxmlformats.org/spreadsheetml/2006/main" count="67" uniqueCount="46">
  <si>
    <t>Enero</t>
  </si>
  <si>
    <t>Febrero</t>
  </si>
  <si>
    <t>Marzo</t>
  </si>
  <si>
    <t>Abril</t>
  </si>
  <si>
    <t>Mayo</t>
  </si>
  <si>
    <t>Junio</t>
  </si>
  <si>
    <t>Julio</t>
  </si>
  <si>
    <t>Agosto</t>
  </si>
  <si>
    <t>Septiembre</t>
  </si>
  <si>
    <t>Noviembre</t>
  </si>
  <si>
    <t>Diciembre</t>
  </si>
  <si>
    <t>Octubre</t>
  </si>
  <si>
    <t>Presupuesto</t>
  </si>
  <si>
    <t>Gastado</t>
  </si>
  <si>
    <t>Mes Seleccionado</t>
  </si>
  <si>
    <t>PRESUPUESTO</t>
  </si>
  <si>
    <t>GASTADO</t>
  </si>
  <si>
    <t>ENERO</t>
  </si>
  <si>
    <t>FEBRERO</t>
  </si>
  <si>
    <t>MARZO</t>
  </si>
  <si>
    <t>ABRIL</t>
  </si>
  <si>
    <t>MAYO</t>
  </si>
  <si>
    <t>JUNIO</t>
  </si>
  <si>
    <t>JULIO</t>
  </si>
  <si>
    <t>AGOSTO</t>
  </si>
  <si>
    <t>SEPTIEMBRE</t>
  </si>
  <si>
    <t>OCTUBRE</t>
  </si>
  <si>
    <t>NOVIEMBRE</t>
  </si>
  <si>
    <t>DICIEMBRE</t>
  </si>
  <si>
    <t>Gráfico de progreso</t>
  </si>
  <si>
    <t>% Gastado</t>
  </si>
  <si>
    <t>Resto</t>
  </si>
  <si>
    <t>Lista de meses:</t>
  </si>
  <si>
    <t xml:space="preserve"> %Gastado/Planeado</t>
  </si>
  <si>
    <t>Ayuda</t>
  </si>
  <si>
    <t>Hoja de cálculos automáticos</t>
  </si>
  <si>
    <t>Reclutamiento</t>
  </si>
  <si>
    <t>Bonos</t>
  </si>
  <si>
    <t>Viáticos</t>
  </si>
  <si>
    <t>CONCEPTO</t>
  </si>
  <si>
    <t>Ingresa los distintos conceptos a considerar en el depto de RRHH y el presupuesto por mes</t>
  </si>
  <si>
    <t>Ingresa los distintos conceptos a considerar en el depto de RRHH y lo gastado por mes</t>
  </si>
  <si>
    <t xml:space="preserve">Capacitación </t>
  </si>
  <si>
    <t>Salarios</t>
  </si>
  <si>
    <t>Beneficios</t>
  </si>
  <si>
    <t>Subsidios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</si>
</sst>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
    <numFmt numFmtId="165" formatCode="&quot;$&quot;\ #,##0"/>
  </numFmts>
  <fonts count="24" x14ac:knownFonts="1">
    <font>
      <sz val="10"/>
      <name val="Arial"/>
      <family val="2"/>
    </font>
    <font>
      <sz val="10"/>
      <name val="Arial"/>
      <family val="2"/>
    </font>
    <font>
      <sz val="10"/>
      <name val="Verdana"/>
      <family val="2"/>
    </font>
    <font>
      <b/>
      <sz val="10"/>
      <name val="Arial"/>
      <family val="2"/>
    </font>
    <font>
      <sz val="8"/>
      <name val="Arial"/>
      <family val="2"/>
    </font>
    <font>
      <sz val="10"/>
      <name val="Calibri Light"/>
      <family val="2"/>
      <scheme val="major"/>
    </font>
    <font>
      <b/>
      <sz val="10"/>
      <color theme="0"/>
      <name val="Calibri Light"/>
      <family val="2"/>
      <scheme val="major"/>
    </font>
    <font>
      <sz val="10"/>
      <color theme="1"/>
      <name val="Calibri Light"/>
      <family val="2"/>
      <scheme val="major"/>
    </font>
    <font>
      <sz val="10"/>
      <color theme="0"/>
      <name val="Calibri Light"/>
      <family val="2"/>
      <scheme val="major"/>
    </font>
    <font>
      <b/>
      <sz val="11"/>
      <color theme="0"/>
      <name val="Arial"/>
      <family val="2"/>
    </font>
    <font>
      <sz val="10"/>
      <name val="Calibri"/>
      <family val="2"/>
      <scheme val="minor"/>
    </font>
    <font>
      <sz val="12"/>
      <name val="Calibri"/>
      <family val="2"/>
      <scheme val="minor"/>
    </font>
    <font>
      <sz val="16"/>
      <name val="Calibri"/>
      <family val="2"/>
      <scheme val="minor"/>
    </font>
    <font>
      <sz val="12"/>
      <name val="Calibri Light"/>
      <family val="2"/>
      <scheme val="major"/>
    </font>
    <font>
      <sz val="12"/>
      <color theme="1"/>
      <name val="Calibri"/>
      <family val="2"/>
      <scheme val="minor"/>
    </font>
    <font>
      <b/>
      <sz val="22"/>
      <color theme="1" tint="0.249977111117893"/>
      <name val="Calibri"/>
      <family val="2"/>
      <scheme val="minor"/>
    </font>
    <font>
      <sz val="12"/>
      <color theme="0"/>
      <name val="Calibri"/>
      <family val="2"/>
      <scheme val="minor"/>
    </font>
    <font>
      <u/>
      <sz val="12"/>
      <color theme="10"/>
      <name val="Calibri"/>
      <family val="2"/>
      <scheme val="minor"/>
    </font>
    <font>
      <sz val="11"/>
      <color theme="1"/>
      <name val="Arial"/>
      <family val="2"/>
    </font>
    <font>
      <sz val="8"/>
      <color rgb="FF0D0D0D"/>
      <name val="Segoe UI"/>
      <family val="2"/>
    </font>
    <font>
      <sz val="8"/>
      <color rgb="FF646464"/>
      <name val="Open Sans"/>
      <family val="2"/>
    </font>
    <font>
      <sz val="14"/>
      <color theme="0" tint="-0.499984740745262"/>
      <name val="Calibri"/>
      <family val="2"/>
      <scheme val="minor"/>
    </font>
    <font>
      <sz val="12"/>
      <color theme="0"/>
      <name val="Calibri Light"/>
      <family val="2"/>
      <scheme val="major"/>
    </font>
    <font>
      <b/>
      <sz val="18"/>
      <color theme="0" tint="-0.499984740745262"/>
      <name val="Calibri"/>
      <family val="2"/>
      <scheme val="minor"/>
    </font>
  </fonts>
  <fills count="5">
    <fill>
      <patternFill patternType="none"/>
    </fill>
    <fill>
      <patternFill patternType="gray125"/>
    </fill>
    <fill>
      <patternFill patternType="solid">
        <fgColor rgb="FFAFAFAF"/>
        <bgColor indexed="64"/>
      </patternFill>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0" fontId="17" fillId="0" borderId="0" applyNumberFormat="0" applyFill="0" applyBorder="0" applyAlignment="0" applyProtection="0"/>
  </cellStyleXfs>
  <cellXfs count="33">
    <xf numFmtId="0" fontId="0" fillId="0" borderId="0" xfId="0"/>
    <xf numFmtId="0" fontId="5" fillId="0" borderId="0" xfId="0" applyFont="1"/>
    <xf numFmtId="0" fontId="8" fillId="2" borderId="0" xfId="0" applyFont="1" applyFill="1" applyAlignment="1">
      <alignment horizontal="center" vertical="center"/>
    </xf>
    <xf numFmtId="0" fontId="10" fillId="3" borderId="0" xfId="0" applyFont="1" applyFill="1"/>
    <xf numFmtId="0" fontId="11" fillId="3" borderId="0" xfId="0" applyFont="1" applyFill="1"/>
    <xf numFmtId="164" fontId="5" fillId="0" borderId="0" xfId="0" applyNumberFormat="1" applyFont="1"/>
    <xf numFmtId="9" fontId="5" fillId="0" borderId="0" xfId="2" applyFont="1"/>
    <xf numFmtId="0" fontId="12" fillId="3" borderId="0" xfId="0" applyFont="1" applyFill="1" applyAlignment="1">
      <alignment vertical="top"/>
    </xf>
    <xf numFmtId="0" fontId="13" fillId="0" borderId="0" xfId="0" applyFont="1"/>
    <xf numFmtId="0" fontId="6" fillId="2" borderId="1" xfId="0" applyFont="1" applyFill="1" applyBorder="1" applyAlignment="1">
      <alignment horizontal="center" vertical="center"/>
    </xf>
    <xf numFmtId="0" fontId="7" fillId="0" borderId="1" xfId="0" applyFont="1" applyBorder="1"/>
    <xf numFmtId="164" fontId="7" fillId="0" borderId="1" xfId="0" applyNumberFormat="1" applyFont="1" applyBorder="1" applyAlignment="1">
      <alignment horizontal="center"/>
    </xf>
    <xf numFmtId="9" fontId="7" fillId="0" borderId="1" xfId="2" applyFont="1" applyBorder="1" applyAlignment="1">
      <alignment horizontal="center"/>
    </xf>
    <xf numFmtId="0" fontId="5" fillId="0" borderId="1" xfId="0" applyFont="1" applyBorder="1"/>
    <xf numFmtId="0" fontId="10" fillId="4" borderId="0" xfId="0" applyFont="1" applyFill="1"/>
    <xf numFmtId="0" fontId="5" fillId="3" borderId="0" xfId="0" applyFont="1" applyFill="1"/>
    <xf numFmtId="0" fontId="3" fillId="0" borderId="0" xfId="0" applyFont="1"/>
    <xf numFmtId="9" fontId="5" fillId="0" borderId="1" xfId="2" applyFont="1" applyBorder="1" applyAlignment="1">
      <alignment horizontal="center"/>
    </xf>
    <xf numFmtId="0" fontId="9" fillId="2" borderId="1" xfId="0" applyFont="1" applyFill="1" applyBorder="1" applyAlignment="1">
      <alignment horizontal="center" vertical="center"/>
    </xf>
    <xf numFmtId="0" fontId="14" fillId="0" borderId="0" xfId="3"/>
    <xf numFmtId="0" fontId="15" fillId="0" borderId="0" xfId="3" applyFont="1" applyAlignment="1">
      <alignment vertical="center"/>
    </xf>
    <xf numFmtId="0" fontId="15" fillId="0" borderId="0" xfId="3" applyFont="1" applyAlignment="1">
      <alignment vertical="top"/>
    </xf>
    <xf numFmtId="0" fontId="16" fillId="0" borderId="0" xfId="3" applyFont="1"/>
    <xf numFmtId="0" fontId="17" fillId="0" borderId="0" xfId="4" applyFill="1"/>
    <xf numFmtId="0" fontId="18" fillId="0" borderId="0" xfId="3" applyFont="1"/>
    <xf numFmtId="0" fontId="19" fillId="0" borderId="0" xfId="3" applyFont="1" applyAlignment="1">
      <alignment horizontal="left" vertical="center" indent="1"/>
    </xf>
    <xf numFmtId="0" fontId="19" fillId="0" borderId="0" xfId="3" applyFont="1"/>
    <xf numFmtId="0" fontId="20" fillId="0" borderId="0" xfId="3" applyFont="1"/>
    <xf numFmtId="0" fontId="15" fillId="0" borderId="0" xfId="0" applyFont="1" applyAlignment="1">
      <alignment vertical="center"/>
    </xf>
    <xf numFmtId="0" fontId="21" fillId="0" borderId="0" xfId="0" applyFont="1" applyAlignment="1">
      <alignment vertical="top"/>
    </xf>
    <xf numFmtId="0" fontId="22" fillId="2" borderId="0" xfId="0" applyFont="1" applyFill="1" applyAlignment="1">
      <alignment horizontal="center" vertical="center"/>
    </xf>
    <xf numFmtId="165" fontId="13" fillId="0" borderId="0" xfId="0" applyNumberFormat="1" applyFont="1" applyAlignment="1">
      <alignment horizontal="center"/>
    </xf>
    <xf numFmtId="0" fontId="23" fillId="0" borderId="0" xfId="0" applyFont="1" applyAlignment="1">
      <alignment vertical="top"/>
    </xf>
  </cellXfs>
  <cellStyles count="5">
    <cellStyle name="Hipervínculo 2" xfId="4" xr:uid="{58E7C4A4-DBA1-4A7D-8E18-6101DA83FE63}"/>
    <cellStyle name="Normal" xfId="0" builtinId="0"/>
    <cellStyle name="Normal 2" xfId="3" xr:uid="{4A24C50A-4BE6-4F39-937F-B46CFFDC1916}"/>
    <cellStyle name="Normal 3" xfId="1" xr:uid="{00000000-0005-0000-0000-000002000000}"/>
    <cellStyle name="Porcentaje" xfId="2" builtinId="5"/>
  </cellStyles>
  <dxfs count="30">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dxf>
    <dxf>
      <font>
        <b val="0"/>
        <i val="0"/>
        <strike val="0"/>
        <condense val="0"/>
        <extend val="0"/>
        <outline val="0"/>
        <shadow val="0"/>
        <u val="none"/>
        <vertAlign val="baseline"/>
        <sz val="12"/>
        <color auto="1"/>
        <name val="Calibri Light"/>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theme="0"/>
        <name val="Calibri Light"/>
        <family val="2"/>
        <scheme val="major"/>
      </font>
      <fill>
        <patternFill patternType="solid">
          <fgColor indexed="64"/>
          <bgColor rgb="FFAFAFAF"/>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numFmt numFmtId="165" formatCode="&quot;$&quot;\ #,##0"/>
      <alignment horizontal="center" vertical="bottom" textRotation="0" wrapText="0" indent="0" justifyLastLine="0" shrinkToFit="0" readingOrder="0"/>
    </dxf>
    <dxf>
      <font>
        <b val="0"/>
        <i val="0"/>
        <strike val="0"/>
        <condense val="0"/>
        <extend val="0"/>
        <outline val="0"/>
        <shadow val="0"/>
        <u val="none"/>
        <vertAlign val="baseline"/>
        <sz val="12"/>
        <color auto="1"/>
        <name val="Calibri Light"/>
        <family val="2"/>
        <scheme val="major"/>
      </font>
    </dxf>
    <dxf>
      <font>
        <b val="0"/>
        <i val="0"/>
        <strike val="0"/>
        <condense val="0"/>
        <extend val="0"/>
        <outline val="0"/>
        <shadow val="0"/>
        <u val="none"/>
        <vertAlign val="baseline"/>
        <sz val="12"/>
        <color auto="1"/>
        <name val="Calibri Light"/>
        <family val="2"/>
        <scheme val="major"/>
      </font>
    </dxf>
    <dxf>
      <font>
        <b val="0"/>
        <i val="0"/>
        <strike val="0"/>
        <condense val="0"/>
        <extend val="0"/>
        <outline val="0"/>
        <shadow val="0"/>
        <u val="none"/>
        <vertAlign val="baseline"/>
        <sz val="12"/>
        <color theme="0"/>
        <name val="Calibri Light"/>
        <family val="2"/>
        <scheme val="major"/>
      </font>
      <fill>
        <patternFill patternType="solid">
          <fgColor indexed="64"/>
          <bgColor rgb="FFAFAFAF"/>
        </patternFill>
      </fill>
      <alignment horizontal="center" vertical="center" textRotation="0" wrapText="0" indent="0" justifyLastLine="0" shrinkToFit="0" readingOrder="0"/>
    </dxf>
  </dxfs>
  <tableStyles count="0" defaultTableStyle="TableStyleMedium2" defaultPivotStyle="PivotStyleLight16"/>
  <colors>
    <mruColors>
      <color rgb="FFF64B6B"/>
      <color rgb="FF40E0D0"/>
      <color rgb="FF2B90A5"/>
      <color rgb="FF88E4F0"/>
      <color rgb="FF004F6E"/>
      <color rgb="FFB87A7A"/>
      <color rgb="FFFFADAD"/>
      <color rgb="FF2D2F3C"/>
      <color rgb="FFAFAFAF"/>
      <color rgb="FF2F2F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031524491966113E-2"/>
          <c:y val="0.1608775567914035"/>
          <c:w val="0.86923083377992916"/>
          <c:h val="0.75293506076929895"/>
        </c:manualLayout>
      </c:layout>
      <c:barChart>
        <c:barDir val="col"/>
        <c:grouping val="clustered"/>
        <c:varyColors val="0"/>
        <c:ser>
          <c:idx val="0"/>
          <c:order val="0"/>
          <c:tx>
            <c:strRef>
              <c:f>Cálculos!$C$9</c:f>
              <c:strCache>
                <c:ptCount val="1"/>
                <c:pt idx="0">
                  <c:v>PRESUPUESTO</c:v>
                </c:pt>
              </c:strCache>
            </c:strRef>
          </c:tx>
          <c:spPr>
            <a:solidFill>
              <a:srgbClr val="2B90A5"/>
            </a:solidFill>
            <a:ln>
              <a:noFill/>
            </a:ln>
            <a:effectLst/>
          </c:spPr>
          <c:invertIfNegative val="0"/>
          <c:cat>
            <c:strRef>
              <c:f>Cálculos!$B$10:$B$16</c:f>
              <c:strCache>
                <c:ptCount val="7"/>
                <c:pt idx="0">
                  <c:v>Salarios</c:v>
                </c:pt>
                <c:pt idx="1">
                  <c:v>Capacitación </c:v>
                </c:pt>
                <c:pt idx="2">
                  <c:v>Reclutamiento</c:v>
                </c:pt>
                <c:pt idx="3">
                  <c:v>Beneficios</c:v>
                </c:pt>
                <c:pt idx="4">
                  <c:v>Bonos</c:v>
                </c:pt>
                <c:pt idx="5">
                  <c:v>Viáticos</c:v>
                </c:pt>
                <c:pt idx="6">
                  <c:v>Subsidios</c:v>
                </c:pt>
              </c:strCache>
            </c:strRef>
          </c:cat>
          <c:val>
            <c:numRef>
              <c:f>Cálculos!$C$10:$C$16</c:f>
              <c:numCache>
                <c:formatCode>"$"\ #,##0.0</c:formatCode>
                <c:ptCount val="7"/>
                <c:pt idx="0">
                  <c:v>1824</c:v>
                </c:pt>
                <c:pt idx="1">
                  <c:v>1075</c:v>
                </c:pt>
                <c:pt idx="2">
                  <c:v>1461</c:v>
                </c:pt>
                <c:pt idx="3">
                  <c:v>1592</c:v>
                </c:pt>
                <c:pt idx="4">
                  <c:v>1926</c:v>
                </c:pt>
                <c:pt idx="5">
                  <c:v>1950</c:v>
                </c:pt>
                <c:pt idx="6">
                  <c:v>1463</c:v>
                </c:pt>
              </c:numCache>
            </c:numRef>
          </c:val>
          <c:extLst>
            <c:ext xmlns:c16="http://schemas.microsoft.com/office/drawing/2014/chart" uri="{C3380CC4-5D6E-409C-BE32-E72D297353CC}">
              <c16:uniqueId val="{00000000-0097-4451-A2A3-B221465D4F89}"/>
            </c:ext>
          </c:extLst>
        </c:ser>
        <c:ser>
          <c:idx val="1"/>
          <c:order val="1"/>
          <c:tx>
            <c:strRef>
              <c:f>Cálculos!$D$9</c:f>
              <c:strCache>
                <c:ptCount val="1"/>
                <c:pt idx="0">
                  <c:v>GASTADO</c:v>
                </c:pt>
              </c:strCache>
            </c:strRef>
          </c:tx>
          <c:spPr>
            <a:solidFill>
              <a:srgbClr val="F64B6B"/>
            </a:solidFill>
            <a:ln>
              <a:noFill/>
            </a:ln>
            <a:effectLst/>
          </c:spPr>
          <c:invertIfNegative val="0"/>
          <c:cat>
            <c:strRef>
              <c:f>Cálculos!$B$10:$B$16</c:f>
              <c:strCache>
                <c:ptCount val="7"/>
                <c:pt idx="0">
                  <c:v>Salarios</c:v>
                </c:pt>
                <c:pt idx="1">
                  <c:v>Capacitación </c:v>
                </c:pt>
                <c:pt idx="2">
                  <c:v>Reclutamiento</c:v>
                </c:pt>
                <c:pt idx="3">
                  <c:v>Beneficios</c:v>
                </c:pt>
                <c:pt idx="4">
                  <c:v>Bonos</c:v>
                </c:pt>
                <c:pt idx="5">
                  <c:v>Viáticos</c:v>
                </c:pt>
                <c:pt idx="6">
                  <c:v>Subsidios</c:v>
                </c:pt>
              </c:strCache>
            </c:strRef>
          </c:cat>
          <c:val>
            <c:numRef>
              <c:f>Cálculos!$D$10:$D$16</c:f>
              <c:numCache>
                <c:formatCode>"$"\ #,##0.0</c:formatCode>
                <c:ptCount val="7"/>
                <c:pt idx="0">
                  <c:v>1580</c:v>
                </c:pt>
                <c:pt idx="1">
                  <c:v>1061</c:v>
                </c:pt>
                <c:pt idx="2">
                  <c:v>1196</c:v>
                </c:pt>
                <c:pt idx="3">
                  <c:v>1317</c:v>
                </c:pt>
                <c:pt idx="4">
                  <c:v>1630</c:v>
                </c:pt>
                <c:pt idx="5">
                  <c:v>1339</c:v>
                </c:pt>
                <c:pt idx="6">
                  <c:v>1336</c:v>
                </c:pt>
              </c:numCache>
            </c:numRef>
          </c:val>
          <c:extLst>
            <c:ext xmlns:c16="http://schemas.microsoft.com/office/drawing/2014/chart" uri="{C3380CC4-5D6E-409C-BE32-E72D297353CC}">
              <c16:uniqueId val="{00000001-0097-4451-A2A3-B221465D4F89}"/>
            </c:ext>
          </c:extLst>
        </c:ser>
        <c:dLbls>
          <c:showLegendKey val="0"/>
          <c:showVal val="0"/>
          <c:showCatName val="0"/>
          <c:showSerName val="0"/>
          <c:showPercent val="0"/>
          <c:showBubbleSize val="0"/>
        </c:dLbls>
        <c:gapWidth val="219"/>
        <c:overlap val="-27"/>
        <c:axId val="618686592"/>
        <c:axId val="618678912"/>
      </c:barChart>
      <c:catAx>
        <c:axId val="61868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18678912"/>
        <c:crosses val="autoZero"/>
        <c:auto val="1"/>
        <c:lblAlgn val="ctr"/>
        <c:lblOffset val="100"/>
        <c:noMultiLvlLbl val="0"/>
      </c:catAx>
      <c:valAx>
        <c:axId val="618678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18686592"/>
        <c:crosses val="autoZero"/>
        <c:crossBetween val="between"/>
      </c:valAx>
      <c:spPr>
        <a:noFill/>
        <a:ln>
          <a:noFill/>
        </a:ln>
        <a:effectLst/>
      </c:spPr>
    </c:plotArea>
    <c:legend>
      <c:legendPos val="r"/>
      <c:layout>
        <c:manualLayout>
          <c:xMode val="edge"/>
          <c:yMode val="edge"/>
          <c:x val="0.87912462543772651"/>
          <c:y val="1.1463013690513446E-2"/>
          <c:w val="9.5806471672566576E-2"/>
          <c:h val="0.152199540945606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345742020758366E-2"/>
          <c:y val="4.9858365837633034E-2"/>
          <c:w val="0.55955766814456176"/>
          <c:h val="0.83220357916684062"/>
        </c:manualLayout>
      </c:layout>
      <c:doughnutChart>
        <c:varyColors val="1"/>
        <c:ser>
          <c:idx val="0"/>
          <c:order val="0"/>
          <c:dPt>
            <c:idx val="0"/>
            <c:bubble3D val="0"/>
            <c:spPr>
              <a:solidFill>
                <a:srgbClr val="F64B6B"/>
              </a:solidFill>
              <a:ln w="19050">
                <a:solidFill>
                  <a:schemeClr val="lt1"/>
                </a:solidFill>
              </a:ln>
              <a:effectLst/>
            </c:spPr>
            <c:extLst>
              <c:ext xmlns:c16="http://schemas.microsoft.com/office/drawing/2014/chart" uri="{C3380CC4-5D6E-409C-BE32-E72D297353CC}">
                <c16:uniqueId val="{00000001-36A3-43B3-98F2-39A3DD590043}"/>
              </c:ext>
            </c:extLst>
          </c:dPt>
          <c:dPt>
            <c:idx val="1"/>
            <c:bubble3D val="0"/>
            <c:spPr>
              <a:solidFill>
                <a:srgbClr val="40E0D0"/>
              </a:solidFill>
              <a:ln w="19050">
                <a:solidFill>
                  <a:schemeClr val="lt1"/>
                </a:solidFill>
              </a:ln>
              <a:effectLst/>
            </c:spPr>
            <c:extLst>
              <c:ext xmlns:c16="http://schemas.microsoft.com/office/drawing/2014/chart" uri="{C3380CC4-5D6E-409C-BE32-E72D297353CC}">
                <c16:uniqueId val="{00000003-36A3-43B3-98F2-39A3DD590043}"/>
              </c:ext>
            </c:extLst>
          </c:dPt>
          <c:dPt>
            <c:idx val="2"/>
            <c:bubble3D val="0"/>
            <c:spPr>
              <a:solidFill>
                <a:srgbClr val="AFAFAF"/>
              </a:solidFill>
              <a:ln w="19050">
                <a:solidFill>
                  <a:schemeClr val="lt1"/>
                </a:solidFill>
              </a:ln>
              <a:effectLst/>
            </c:spPr>
            <c:extLst>
              <c:ext xmlns:c16="http://schemas.microsoft.com/office/drawing/2014/chart" uri="{C3380CC4-5D6E-409C-BE32-E72D297353CC}">
                <c16:uniqueId val="{00000005-36A3-43B3-98F2-39A3DD590043}"/>
              </c:ext>
            </c:extLst>
          </c:dPt>
          <c:dPt>
            <c:idx val="3"/>
            <c:bubble3D val="0"/>
            <c:spPr>
              <a:solidFill>
                <a:srgbClr val="2D2F3C"/>
              </a:solidFill>
              <a:ln w="19050">
                <a:solidFill>
                  <a:schemeClr val="lt1"/>
                </a:solidFill>
              </a:ln>
              <a:effectLst/>
            </c:spPr>
            <c:extLst>
              <c:ext xmlns:c16="http://schemas.microsoft.com/office/drawing/2014/chart" uri="{C3380CC4-5D6E-409C-BE32-E72D297353CC}">
                <c16:uniqueId val="{00000007-36A3-43B3-98F2-39A3DD590043}"/>
              </c:ext>
            </c:extLst>
          </c:dPt>
          <c:dPt>
            <c:idx val="4"/>
            <c:bubble3D val="0"/>
            <c:spPr>
              <a:solidFill>
                <a:srgbClr val="88E4F0"/>
              </a:solidFill>
              <a:ln w="19050">
                <a:solidFill>
                  <a:schemeClr val="lt1"/>
                </a:solidFill>
              </a:ln>
              <a:effectLst/>
            </c:spPr>
            <c:extLst>
              <c:ext xmlns:c16="http://schemas.microsoft.com/office/drawing/2014/chart" uri="{C3380CC4-5D6E-409C-BE32-E72D297353CC}">
                <c16:uniqueId val="{00000009-36A3-43B3-98F2-39A3DD590043}"/>
              </c:ext>
            </c:extLst>
          </c:dPt>
          <c:dPt>
            <c:idx val="5"/>
            <c:bubble3D val="0"/>
            <c:spPr>
              <a:solidFill>
                <a:srgbClr val="004F6E"/>
              </a:solidFill>
              <a:ln w="19050">
                <a:solidFill>
                  <a:schemeClr val="lt1"/>
                </a:solidFill>
              </a:ln>
              <a:effectLst/>
            </c:spPr>
            <c:extLst>
              <c:ext xmlns:c16="http://schemas.microsoft.com/office/drawing/2014/chart" uri="{C3380CC4-5D6E-409C-BE32-E72D297353CC}">
                <c16:uniqueId val="{0000000B-36A3-43B3-98F2-39A3DD590043}"/>
              </c:ext>
            </c:extLst>
          </c:dPt>
          <c:dPt>
            <c:idx val="6"/>
            <c:bubble3D val="0"/>
            <c:spPr>
              <a:solidFill>
                <a:srgbClr val="2B90A5"/>
              </a:solidFill>
              <a:ln w="19050">
                <a:solidFill>
                  <a:schemeClr val="lt1"/>
                </a:solidFill>
              </a:ln>
              <a:effectLst/>
            </c:spPr>
            <c:extLst>
              <c:ext xmlns:c16="http://schemas.microsoft.com/office/drawing/2014/chart" uri="{C3380CC4-5D6E-409C-BE32-E72D297353CC}">
                <c16:uniqueId val="{0000000D-36A3-43B3-98F2-39A3DD5900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A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Cálculos!$B$10:$B$16</c:f>
              <c:strCache>
                <c:ptCount val="7"/>
                <c:pt idx="0">
                  <c:v>Salarios</c:v>
                </c:pt>
                <c:pt idx="1">
                  <c:v>Capacitación </c:v>
                </c:pt>
                <c:pt idx="2">
                  <c:v>Reclutamiento</c:v>
                </c:pt>
                <c:pt idx="3">
                  <c:v>Beneficios</c:v>
                </c:pt>
                <c:pt idx="4">
                  <c:v>Bonos</c:v>
                </c:pt>
                <c:pt idx="5">
                  <c:v>Viáticos</c:v>
                </c:pt>
                <c:pt idx="6">
                  <c:v>Subsidios</c:v>
                </c:pt>
              </c:strCache>
            </c:strRef>
          </c:cat>
          <c:val>
            <c:numRef>
              <c:f>Cálculos!$C$10:$C$16</c:f>
              <c:numCache>
                <c:formatCode>"$"\ #,##0.0</c:formatCode>
                <c:ptCount val="7"/>
                <c:pt idx="0">
                  <c:v>1824</c:v>
                </c:pt>
                <c:pt idx="1">
                  <c:v>1075</c:v>
                </c:pt>
                <c:pt idx="2">
                  <c:v>1461</c:v>
                </c:pt>
                <c:pt idx="3">
                  <c:v>1592</c:v>
                </c:pt>
                <c:pt idx="4">
                  <c:v>1926</c:v>
                </c:pt>
                <c:pt idx="5">
                  <c:v>1950</c:v>
                </c:pt>
                <c:pt idx="6">
                  <c:v>1463</c:v>
                </c:pt>
              </c:numCache>
            </c:numRef>
          </c:val>
          <c:extLst>
            <c:ext xmlns:c16="http://schemas.microsoft.com/office/drawing/2014/chart" uri="{C3380CC4-5D6E-409C-BE32-E72D297353CC}">
              <c16:uniqueId val="{0000000E-36A3-43B3-98F2-39A3DD590043}"/>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7035844197804334"/>
          <c:y val="0.11811825053405374"/>
          <c:w val="0.26226442819546419"/>
          <c:h val="0.73761837188505097"/>
        </c:manualLayout>
      </c:layout>
      <c:overlay val="0"/>
      <c:spPr>
        <a:noFill/>
        <a:ln>
          <a:noFill/>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Cálculos!$E$9</c:f>
              <c:strCache>
                <c:ptCount val="1"/>
                <c:pt idx="0">
                  <c:v> %Gastado/Planeado</c:v>
                </c:pt>
              </c:strCache>
            </c:strRef>
          </c:tx>
          <c:spPr>
            <a:solidFill>
              <a:srgbClr val="40E0D0"/>
            </a:solidFill>
            <a:ln>
              <a:noFill/>
            </a:ln>
            <a:effectLst/>
          </c:spPr>
          <c:invertIfNegative val="1"/>
          <c:dPt>
            <c:idx val="3"/>
            <c:invertIfNegative val="1"/>
            <c:bubble3D val="0"/>
            <c:spPr>
              <a:solidFill>
                <a:srgbClr val="40E0D0"/>
              </a:solidFill>
              <a:ln>
                <a:noFill/>
              </a:ln>
              <a:effectLst/>
            </c:spPr>
            <c:extLst>
              <c:ext xmlns:c16="http://schemas.microsoft.com/office/drawing/2014/chart" uri="{C3380CC4-5D6E-409C-BE32-E72D297353CC}">
                <c16:uniqueId val="{00000001-36AD-4F71-82F8-A16D027CB5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Cálculos!$B$10:$B$16</c:f>
              <c:strCache>
                <c:ptCount val="7"/>
                <c:pt idx="0">
                  <c:v>Salarios</c:v>
                </c:pt>
                <c:pt idx="1">
                  <c:v>Capacitación </c:v>
                </c:pt>
                <c:pt idx="2">
                  <c:v>Reclutamiento</c:v>
                </c:pt>
                <c:pt idx="3">
                  <c:v>Beneficios</c:v>
                </c:pt>
                <c:pt idx="4">
                  <c:v>Bonos</c:v>
                </c:pt>
                <c:pt idx="5">
                  <c:v>Viáticos</c:v>
                </c:pt>
                <c:pt idx="6">
                  <c:v>Subsidios</c:v>
                </c:pt>
              </c:strCache>
            </c:strRef>
          </c:cat>
          <c:val>
            <c:numRef>
              <c:f>Cálculos!$E$10:$E$16</c:f>
              <c:numCache>
                <c:formatCode>0%</c:formatCode>
                <c:ptCount val="7"/>
                <c:pt idx="0">
                  <c:v>0.15443037974683538</c:v>
                </c:pt>
                <c:pt idx="1">
                  <c:v>1.3195098963242113E-2</c:v>
                </c:pt>
                <c:pt idx="2">
                  <c:v>0.22157190635451496</c:v>
                </c:pt>
                <c:pt idx="3">
                  <c:v>0.20880789673500377</c:v>
                </c:pt>
                <c:pt idx="4">
                  <c:v>0.18159509202453994</c:v>
                </c:pt>
                <c:pt idx="5">
                  <c:v>0.4563106796116505</c:v>
                </c:pt>
                <c:pt idx="6">
                  <c:v>9.5059880239521055E-2</c:v>
                </c:pt>
              </c:numCache>
            </c:numRef>
          </c:val>
          <c:extLst>
            <c:ext xmlns:c14="http://schemas.microsoft.com/office/drawing/2007/8/2/chart" uri="{6F2FDCE9-48DA-4B69-8628-5D25D57E5C99}">
              <c14:invertSolidFillFmt>
                <c14:spPr xmlns:c14="http://schemas.microsoft.com/office/drawing/2007/8/2/chart">
                  <a:solidFill>
                    <a:srgbClr val="F64B6B"/>
                  </a:solidFill>
                  <a:ln>
                    <a:noFill/>
                  </a:ln>
                  <a:effectLst/>
                </c14:spPr>
              </c14:invertSolidFillFmt>
            </c:ext>
            <c:ext xmlns:c16="http://schemas.microsoft.com/office/drawing/2014/chart" uri="{C3380CC4-5D6E-409C-BE32-E72D297353CC}">
              <c16:uniqueId val="{00000002-36AD-4F71-82F8-A16D027CB53B}"/>
            </c:ext>
          </c:extLst>
        </c:ser>
        <c:dLbls>
          <c:dLblPos val="outEnd"/>
          <c:showLegendKey val="0"/>
          <c:showVal val="1"/>
          <c:showCatName val="0"/>
          <c:showSerName val="0"/>
          <c:showPercent val="0"/>
          <c:showBubbleSize val="0"/>
        </c:dLbls>
        <c:gapWidth val="219"/>
        <c:overlap val="-27"/>
        <c:axId val="596521136"/>
        <c:axId val="596544176"/>
      </c:barChart>
      <c:catAx>
        <c:axId val="596521136"/>
        <c:scaling>
          <c:orientation val="minMax"/>
        </c:scaling>
        <c:delete val="0"/>
        <c:axPos val="b"/>
        <c:numFmt formatCode="General" sourceLinked="1"/>
        <c:majorTickMark val="out"/>
        <c:minorTickMark val="none"/>
        <c:tickLblPos val="none"/>
        <c:spPr>
          <a:solidFill>
            <a:srgbClr val="40E0D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96544176"/>
        <c:crosses val="autoZero"/>
        <c:auto val="1"/>
        <c:lblAlgn val="ctr"/>
        <c:lblOffset val="100"/>
        <c:noMultiLvlLbl val="0"/>
      </c:catAx>
      <c:valAx>
        <c:axId val="596544176"/>
        <c:scaling>
          <c:orientation val="minMax"/>
        </c:scaling>
        <c:delete val="1"/>
        <c:axPos val="l"/>
        <c:numFmt formatCode="0%" sourceLinked="1"/>
        <c:majorTickMark val="out"/>
        <c:minorTickMark val="none"/>
        <c:tickLblPos val="nextTo"/>
        <c:crossAx val="5965211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2B90A5"/>
            </a:solidFill>
          </c:spPr>
          <c:dPt>
            <c:idx val="0"/>
            <c:bubble3D val="0"/>
            <c:spPr>
              <a:solidFill>
                <a:srgbClr val="2B90A5"/>
              </a:solidFill>
              <a:ln w="19050">
                <a:noFill/>
              </a:ln>
              <a:effectLst/>
            </c:spPr>
            <c:extLst>
              <c:ext xmlns:c16="http://schemas.microsoft.com/office/drawing/2014/chart" uri="{C3380CC4-5D6E-409C-BE32-E72D297353CC}">
                <c16:uniqueId val="{00000001-8815-458D-956B-5492412A3987}"/>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8815-458D-956B-5492412A3987}"/>
              </c:ext>
            </c:extLst>
          </c:dPt>
          <c:val>
            <c:numRef>
              <c:f>Cálculos!$I$9:$I$10</c:f>
              <c:numCache>
                <c:formatCode>0%</c:formatCode>
                <c:ptCount val="2"/>
                <c:pt idx="0">
                  <c:v>0.83774687804446024</c:v>
                </c:pt>
                <c:pt idx="1">
                  <c:v>0.16225312195553976</c:v>
                </c:pt>
              </c:numCache>
            </c:numRef>
          </c:val>
          <c:extLst>
            <c:ext xmlns:c16="http://schemas.microsoft.com/office/drawing/2014/chart" uri="{C3380CC4-5D6E-409C-BE32-E72D297353CC}">
              <c16:uniqueId val="{00000004-8815-458D-956B-5492412A398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https://www.planillaexcel.com/blog" TargetMode="External"/></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254000</xdr:colOff>
      <xdr:row>4</xdr:row>
      <xdr:rowOff>152400</xdr:rowOff>
    </xdr:from>
    <xdr:to>
      <xdr:col>7</xdr:col>
      <xdr:colOff>444500</xdr:colOff>
      <xdr:row>29</xdr:row>
      <xdr:rowOff>101600</xdr:rowOff>
    </xdr:to>
    <xdr:sp macro="" textlink="">
      <xdr:nvSpPr>
        <xdr:cNvPr id="2" name="TextBox 4">
          <a:extLst>
            <a:ext uri="{FF2B5EF4-FFF2-40B4-BE49-F238E27FC236}">
              <a16:creationId xmlns:a16="http://schemas.microsoft.com/office/drawing/2014/main" id="{11D00086-550B-49B8-B359-70FDB0AE4E1D}"/>
            </a:ext>
          </a:extLst>
        </xdr:cNvPr>
        <xdr:cNvSpPr txBox="1"/>
      </xdr:nvSpPr>
      <xdr:spPr>
        <a:xfrm>
          <a:off x="254000" y="1816100"/>
          <a:ext cx="8089900" cy="4864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a:solidFill>
                <a:schemeClr val="tx1">
                  <a:lumMod val="65000"/>
                  <a:lumOff val="35000"/>
                </a:schemeClr>
              </a:solidFill>
            </a:rPr>
            <a:t>Con la plantilla de presupuesto</a:t>
          </a:r>
          <a:r>
            <a:rPr lang="es-ES" sz="1600" baseline="0">
              <a:solidFill>
                <a:schemeClr val="tx1">
                  <a:lumMod val="65000"/>
                  <a:lumOff val="35000"/>
                </a:schemeClr>
              </a:solidFill>
            </a:rPr>
            <a:t> de rrhh podrá registrar el plan que tiene para cada concepto de gasto de RRHH por mes, así como también lo ejecutado realmente.  En la hoja Dashboard podrá analizar su evolución mensual</a:t>
          </a:r>
          <a:endParaRPr lang="es-ES" sz="1600">
            <a:solidFill>
              <a:schemeClr val="tx1">
                <a:lumMod val="65000"/>
                <a:lumOff val="35000"/>
              </a:schemeClr>
            </a:solidFill>
          </a:endParaRPr>
        </a:p>
        <a:p>
          <a:endParaRPr lang="es-ES" sz="1600">
            <a:solidFill>
              <a:schemeClr val="tx1">
                <a:lumMod val="65000"/>
                <a:lumOff val="35000"/>
              </a:schemeClr>
            </a:solidFill>
          </a:endParaRPr>
        </a:p>
        <a:p>
          <a:r>
            <a:rPr lang="en-US" sz="1600">
              <a:solidFill>
                <a:schemeClr val="tx1">
                  <a:lumMod val="65000"/>
                  <a:lumOff val="35000"/>
                </a:schemeClr>
              </a:solidFill>
            </a:rPr>
            <a:t>Para usarla,</a:t>
          </a:r>
          <a:r>
            <a:rPr lang="en-US" sz="1600" baseline="0">
              <a:solidFill>
                <a:schemeClr val="tx1">
                  <a:lumMod val="65000"/>
                  <a:lumOff val="35000"/>
                </a:schemeClr>
              </a:solidFill>
            </a:rPr>
            <a:t> sigue estos pasos:</a:t>
          </a:r>
        </a:p>
        <a:p>
          <a:endParaRPr lang="en-US" sz="1600" baseline="0">
            <a:solidFill>
              <a:schemeClr val="tx1">
                <a:lumMod val="65000"/>
                <a:lumOff val="35000"/>
              </a:schemeClr>
            </a:solidFill>
          </a:endParaRPr>
        </a:p>
        <a:p>
          <a:r>
            <a:rPr lang="en-US" sz="1600" b="1" baseline="0">
              <a:solidFill>
                <a:schemeClr val="tx1">
                  <a:lumMod val="65000"/>
                  <a:lumOff val="35000"/>
                </a:schemeClr>
              </a:solidFill>
            </a:rPr>
            <a:t>1. </a:t>
          </a:r>
          <a:r>
            <a:rPr lang="es-ES" sz="1600" baseline="0">
              <a:solidFill>
                <a:schemeClr val="tx1">
                  <a:lumMod val="65000"/>
                  <a:lumOff val="35000"/>
                </a:schemeClr>
              </a:solidFill>
            </a:rPr>
            <a:t>En la hoja "Registro Presupuesto-Gasto" complete los diferentes conceptos con su presupuesto y su gasto real. </a:t>
          </a:r>
        </a:p>
        <a:p>
          <a:endParaRPr lang="en-US" sz="1600" baseline="0">
            <a:solidFill>
              <a:schemeClr val="tx1">
                <a:lumMod val="65000"/>
                <a:lumOff val="35000"/>
              </a:schemeClr>
            </a:solidFill>
          </a:endParaRPr>
        </a:p>
        <a:p>
          <a:r>
            <a:rPr lang="en-US" sz="1600" b="1" baseline="0">
              <a:solidFill>
                <a:schemeClr val="tx1">
                  <a:lumMod val="65000"/>
                  <a:lumOff val="35000"/>
                </a:schemeClr>
              </a:solidFill>
            </a:rPr>
            <a:t>Resultados</a:t>
          </a:r>
        </a:p>
        <a:p>
          <a:r>
            <a:rPr lang="en-US" sz="1600" b="0" baseline="0">
              <a:solidFill>
                <a:schemeClr val="tx1">
                  <a:lumMod val="65000"/>
                  <a:lumOff val="35000"/>
                </a:schemeClr>
              </a:solidFill>
            </a:rPr>
            <a:t>En la hoja Dashboard podrá segmentar por mes y ver la distribución del presupuesto, cuánto lleva gastado y luego una comparación del gasto por concepto: abajo vera un gráfico que muestra la variación entre lo planeado y gastado de cada uno de ellos.</a:t>
          </a:r>
        </a:p>
        <a:p>
          <a:endParaRPr lang="en-US" sz="1600" b="0" baseline="0">
            <a:solidFill>
              <a:schemeClr val="tx1">
                <a:lumMod val="65000"/>
                <a:lumOff val="35000"/>
              </a:schemeClr>
            </a:solidFill>
          </a:endParaRPr>
        </a:p>
        <a:p>
          <a:endParaRPr lang="en-US" sz="1600" b="0" baseline="0">
            <a:solidFill>
              <a:schemeClr val="tx1">
                <a:lumMod val="65000"/>
                <a:lumOff val="35000"/>
              </a:schemeClr>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b="1" baseline="0">
              <a:solidFill>
                <a:schemeClr val="tx1">
                  <a:lumMod val="65000"/>
                  <a:lumOff val="35000"/>
                </a:schemeClr>
              </a:solidFill>
              <a:latin typeface="+mn-lt"/>
              <a:ea typeface="+mn-ea"/>
              <a:cs typeface="+mn-cs"/>
            </a:rPr>
            <a:t>ACLARACIÓN</a:t>
          </a:r>
        </a:p>
        <a:p>
          <a:pPr marL="0" marR="0" lvl="0" indent="0" defTabSz="914400" eaLnBrk="1" fontAlgn="auto" latinLnBrk="0" hangingPunct="1">
            <a:lnSpc>
              <a:spcPct val="100000"/>
            </a:lnSpc>
            <a:spcBef>
              <a:spcPts val="0"/>
            </a:spcBef>
            <a:spcAft>
              <a:spcPts val="0"/>
            </a:spcAft>
            <a:buClrTx/>
            <a:buSzTx/>
            <a:buFontTx/>
            <a:buNone/>
            <a:tabLst/>
            <a:defRPr/>
          </a:pPr>
          <a:r>
            <a:rPr lang="en-US" sz="1600" b="0" baseline="0">
              <a:solidFill>
                <a:schemeClr val="tx1">
                  <a:lumMod val="65000"/>
                  <a:lumOff val="35000"/>
                </a:schemeClr>
              </a:solidFill>
              <a:latin typeface="+mn-lt"/>
              <a:ea typeface="+mn-ea"/>
              <a:cs typeface="+mn-cs"/>
            </a:rPr>
            <a:t>Puede agregar más conceptos a la tabla completando debajo de la última celda con contenido (la tabla se expandirá automáticamente)</a:t>
          </a:r>
        </a:p>
        <a:p>
          <a:pPr marL="0" marR="0" lvl="0" indent="0" defTabSz="914400" eaLnBrk="1" fontAlgn="auto" latinLnBrk="0" hangingPunct="1">
            <a:lnSpc>
              <a:spcPct val="100000"/>
            </a:lnSpc>
            <a:spcBef>
              <a:spcPts val="0"/>
            </a:spcBef>
            <a:spcAft>
              <a:spcPts val="0"/>
            </a:spcAft>
            <a:buClrTx/>
            <a:buSzTx/>
            <a:buFontTx/>
            <a:buNone/>
            <a:tabLst/>
            <a:defRPr/>
          </a:pPr>
          <a:endParaRPr lang="es-AR" sz="1600">
            <a:effectLst/>
          </a:endParaRPr>
        </a:p>
        <a:p>
          <a:endParaRPr lang="en-US" sz="1600" b="0" baseline="0">
            <a:solidFill>
              <a:schemeClr val="tx1">
                <a:lumMod val="65000"/>
                <a:lumOff val="35000"/>
              </a:schemeClr>
            </a:solidFill>
          </a:endParaRPr>
        </a:p>
        <a:p>
          <a:endParaRPr lang="es-ES" sz="1600" baseline="0">
            <a:solidFill>
              <a:schemeClr val="tx1">
                <a:lumMod val="65000"/>
                <a:lumOff val="35000"/>
              </a:schemeClr>
            </a:solidFill>
          </a:endParaRPr>
        </a:p>
      </xdr:txBody>
    </xdr:sp>
    <xdr:clientData/>
  </xdr:twoCellAnchor>
  <xdr:twoCellAnchor>
    <xdr:from>
      <xdr:col>7</xdr:col>
      <xdr:colOff>635000</xdr:colOff>
      <xdr:row>4</xdr:row>
      <xdr:rowOff>152400</xdr:rowOff>
    </xdr:from>
    <xdr:to>
      <xdr:col>10</xdr:col>
      <xdr:colOff>1231900</xdr:colOff>
      <xdr:row>25</xdr:row>
      <xdr:rowOff>165100</xdr:rowOff>
    </xdr:to>
    <xdr:sp macro="" textlink="">
      <xdr:nvSpPr>
        <xdr:cNvPr id="3" name="TextBox 5">
          <a:extLst>
            <a:ext uri="{FF2B5EF4-FFF2-40B4-BE49-F238E27FC236}">
              <a16:creationId xmlns:a16="http://schemas.microsoft.com/office/drawing/2014/main" id="{4F7AE2B9-6BE7-48F0-93FC-D911ED250F1F}"/>
            </a:ext>
          </a:extLst>
        </xdr:cNvPr>
        <xdr:cNvSpPr txBox="1"/>
      </xdr:nvSpPr>
      <xdr:spPr>
        <a:xfrm>
          <a:off x="8534400" y="1816100"/>
          <a:ext cx="4406900" cy="4140200"/>
        </a:xfrm>
        <a:prstGeom prst="rect">
          <a:avLst/>
        </a:prstGeom>
        <a:solidFill>
          <a:srgbClr val="FBFB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a:solidFill>
                <a:schemeClr val="tx1">
                  <a:lumMod val="65000"/>
                  <a:lumOff val="35000"/>
                </a:schemeClr>
              </a:solidFill>
            </a:rPr>
            <a:t>Más ayuda</a:t>
          </a:r>
        </a:p>
        <a:p>
          <a:endParaRPr lang="en-US" sz="800" b="1">
            <a:solidFill>
              <a:schemeClr val="tx1">
                <a:lumMod val="65000"/>
                <a:lumOff val="35000"/>
              </a:schemeClr>
            </a:solidFill>
          </a:endParaRPr>
        </a:p>
        <a:p>
          <a:r>
            <a:rPr lang="en-US" sz="1600">
              <a:solidFill>
                <a:schemeClr val="tx1">
                  <a:lumMod val="65000"/>
                  <a:lumOff val="35000"/>
                </a:schemeClr>
              </a:solidFill>
            </a:rPr>
            <a:t>Si quieres saber más sobre cómo usar esta plantilla,</a:t>
          </a:r>
          <a:r>
            <a:rPr lang="en-US" sz="1600" baseline="0">
              <a:solidFill>
                <a:schemeClr val="tx1">
                  <a:lumMod val="65000"/>
                  <a:lumOff val="35000"/>
                </a:schemeClr>
              </a:solidFill>
            </a:rPr>
            <a:t> o adaptarla, extenderla o corregir algún error, sigue este link:</a:t>
          </a:r>
        </a:p>
        <a:p>
          <a:endParaRPr lang="en-US" sz="1600" baseline="0">
            <a:solidFill>
              <a:schemeClr val="tx1">
                <a:lumMod val="65000"/>
                <a:lumOff val="35000"/>
              </a:schemeClr>
            </a:solidFill>
          </a:endParaRPr>
        </a:p>
        <a:p>
          <a:endParaRPr lang="en-US" sz="1600">
            <a:solidFill>
              <a:schemeClr val="tx1">
                <a:lumMod val="65000"/>
                <a:lumOff val="35000"/>
              </a:schemeClr>
            </a:solidFill>
          </a:endParaRPr>
        </a:p>
        <a:p>
          <a:endParaRPr lang="en-US" sz="1600">
            <a:solidFill>
              <a:schemeClr val="tx1">
                <a:lumMod val="65000"/>
                <a:lumOff val="35000"/>
              </a:schemeClr>
            </a:solidFill>
          </a:endParaRPr>
        </a:p>
        <a:p>
          <a:r>
            <a:rPr lang="en-US" sz="1800" b="1">
              <a:solidFill>
                <a:schemeClr val="tx1">
                  <a:lumMod val="65000"/>
                  <a:lumOff val="35000"/>
                </a:schemeClr>
              </a:solidFill>
            </a:rPr>
            <a:t>Otras plantillas</a:t>
          </a:r>
        </a:p>
        <a:p>
          <a:endParaRPr lang="en-US" sz="800">
            <a:solidFill>
              <a:schemeClr val="tx1">
                <a:lumMod val="65000"/>
                <a:lumOff val="35000"/>
              </a:schemeClr>
            </a:solidFill>
          </a:endParaRPr>
        </a:p>
        <a:p>
          <a:r>
            <a:rPr lang="en-US" sz="1600">
              <a:solidFill>
                <a:schemeClr val="tx1">
                  <a:lumMod val="65000"/>
                  <a:lumOff val="35000"/>
                </a:schemeClr>
              </a:solidFill>
            </a:rPr>
            <a:t>Si esta plantilla</a:t>
          </a:r>
          <a:r>
            <a:rPr lang="en-US" sz="1600" baseline="0">
              <a:solidFill>
                <a:schemeClr val="tx1">
                  <a:lumMod val="65000"/>
                  <a:lumOff val="35000"/>
                </a:schemeClr>
              </a:solidFill>
            </a:rPr>
            <a:t> no es lo que necesitas, es posible que tengamos otra que se ajuste mejor. Aquí puedes acceder a muchas otras más:</a:t>
          </a:r>
        </a:p>
      </xdr:txBody>
    </xdr:sp>
    <xdr:clientData/>
  </xdr:twoCellAnchor>
  <xdr:twoCellAnchor>
    <xdr:from>
      <xdr:col>7</xdr:col>
      <xdr:colOff>635000</xdr:colOff>
      <xdr:row>12</xdr:row>
      <xdr:rowOff>50800</xdr:rowOff>
    </xdr:from>
    <xdr:to>
      <xdr:col>10</xdr:col>
      <xdr:colOff>1206500</xdr:colOff>
      <xdr:row>13</xdr:row>
      <xdr:rowOff>165100</xdr:rowOff>
    </xdr:to>
    <xdr:sp macro="" textlink="">
      <xdr:nvSpPr>
        <xdr:cNvPr id="4" name="TextBox 8">
          <a:hlinkClick xmlns:r="http://schemas.openxmlformats.org/officeDocument/2006/relationships" r:id="rId1"/>
          <a:extLst>
            <a:ext uri="{FF2B5EF4-FFF2-40B4-BE49-F238E27FC236}">
              <a16:creationId xmlns:a16="http://schemas.microsoft.com/office/drawing/2014/main" id="{61B8A512-0847-436E-87BD-07C67F58D0C1}"/>
            </a:ext>
          </a:extLst>
        </xdr:cNvPr>
        <xdr:cNvSpPr txBox="1"/>
      </xdr:nvSpPr>
      <xdr:spPr>
        <a:xfrm>
          <a:off x="8534400" y="3282950"/>
          <a:ext cx="43815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0" rIns="274320" bIns="0" rtlCol="0" anchor="ctr"/>
        <a:lstStyle/>
        <a:p>
          <a:r>
            <a:rPr lang="en-US" sz="1600" b="1">
              <a:solidFill>
                <a:srgbClr val="12A779"/>
              </a:solidFill>
            </a:rPr>
            <a:t>Ver más ayuda →</a:t>
          </a:r>
        </a:p>
      </xdr:txBody>
    </xdr:sp>
    <xdr:clientData/>
  </xdr:twoCellAnchor>
  <xdr:twoCellAnchor>
    <xdr:from>
      <xdr:col>7</xdr:col>
      <xdr:colOff>660400</xdr:colOff>
      <xdr:row>22</xdr:row>
      <xdr:rowOff>165100</xdr:rowOff>
    </xdr:from>
    <xdr:to>
      <xdr:col>10</xdr:col>
      <xdr:colOff>1231900</xdr:colOff>
      <xdr:row>24</xdr:row>
      <xdr:rowOff>76200</xdr:rowOff>
    </xdr:to>
    <xdr:sp macro="" textlink="">
      <xdr:nvSpPr>
        <xdr:cNvPr id="5" name="TextBox 9">
          <a:extLst>
            <a:ext uri="{FF2B5EF4-FFF2-40B4-BE49-F238E27FC236}">
              <a16:creationId xmlns:a16="http://schemas.microsoft.com/office/drawing/2014/main" id="{2BBBB95D-77E2-4419-B606-F5A5ABE98582}"/>
            </a:ext>
          </a:extLst>
        </xdr:cNvPr>
        <xdr:cNvSpPr txBox="1"/>
      </xdr:nvSpPr>
      <xdr:spPr>
        <a:xfrm>
          <a:off x="8559800" y="5365750"/>
          <a:ext cx="4381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0" rIns="274320" bIns="0" rtlCol="0" anchor="ctr"/>
        <a:lstStyle/>
        <a:p>
          <a:r>
            <a:rPr lang="en-US" sz="1600" b="1">
              <a:solidFill>
                <a:srgbClr val="12A779"/>
              </a:solidFill>
            </a:rPr>
            <a:t>Ver más plantillas →</a:t>
          </a:r>
        </a:p>
      </xdr:txBody>
    </xdr:sp>
    <xdr:clientData/>
  </xdr:twoCellAnchor>
  <xdr:twoCellAnchor editAs="absolute">
    <xdr:from>
      <xdr:col>1</xdr:col>
      <xdr:colOff>0</xdr:colOff>
      <xdr:row>1</xdr:row>
      <xdr:rowOff>0</xdr:rowOff>
    </xdr:from>
    <xdr:to>
      <xdr:col>5</xdr:col>
      <xdr:colOff>264160</xdr:colOff>
      <xdr:row>2</xdr:row>
      <xdr:rowOff>50800</xdr:rowOff>
    </xdr:to>
    <xdr:sp macro="" textlink="">
      <xdr:nvSpPr>
        <xdr:cNvPr id="9" name="TextBox 12">
          <a:extLst>
            <a:ext uri="{FF2B5EF4-FFF2-40B4-BE49-F238E27FC236}">
              <a16:creationId xmlns:a16="http://schemas.microsoft.com/office/drawing/2014/main" id="{906FF4C7-5CF5-48A3-9276-B3B3AFD9DA00}"/>
            </a:ext>
          </a:extLst>
        </xdr:cNvPr>
        <xdr:cNvSpPr txBox="1"/>
      </xdr:nvSpPr>
      <xdr:spPr>
        <a:xfrm>
          <a:off x="282222" y="127000"/>
          <a:ext cx="5344160" cy="74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64B6B"/>
              </a:solidFill>
            </a:rPr>
            <a:t>Presupuesto</a:t>
          </a:r>
          <a:r>
            <a:rPr lang="en-US" sz="2400" b="1" baseline="0">
              <a:solidFill>
                <a:srgbClr val="F64B6B"/>
              </a:solidFill>
            </a:rPr>
            <a:t> de RRHH</a:t>
          </a:r>
          <a:endParaRPr lang="en-US" sz="2400" b="1">
            <a:solidFill>
              <a:srgbClr val="F64B6B"/>
            </a:solidFill>
          </a:endParaRPr>
        </a:p>
      </xdr:txBody>
    </xdr:sp>
    <xdr:clientData/>
  </xdr:twoCellAnchor>
  <xdr:twoCellAnchor editAs="absolute">
    <xdr:from>
      <xdr:col>9</xdr:col>
      <xdr:colOff>45861</xdr:colOff>
      <xdr:row>0</xdr:row>
      <xdr:rowOff>94544</xdr:rowOff>
    </xdr:from>
    <xdr:to>
      <xdr:col>10</xdr:col>
      <xdr:colOff>801511</xdr:colOff>
      <xdr:row>2</xdr:row>
      <xdr:rowOff>18344</xdr:rowOff>
    </xdr:to>
    <xdr:sp macro="" textlink="">
      <xdr:nvSpPr>
        <xdr:cNvPr id="10" name="TextBox 13">
          <a:extLst>
            <a:ext uri="{FF2B5EF4-FFF2-40B4-BE49-F238E27FC236}">
              <a16:creationId xmlns:a16="http://schemas.microsoft.com/office/drawing/2014/main" id="{B9AD3A6D-069F-47B3-845A-6FBF49307ECD}"/>
            </a:ext>
          </a:extLst>
        </xdr:cNvPr>
        <xdr:cNvSpPr txBox="1"/>
      </xdr:nvSpPr>
      <xdr:spPr>
        <a:xfrm>
          <a:off x="10488083" y="94544"/>
          <a:ext cx="2025650" cy="74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64B6B"/>
              </a:solidFill>
              <a:latin typeface="Arial Rounded MT Bold" panose="020F0704030504030204" pitchFamily="34" charset="77"/>
              <a:ea typeface="Apple Symbols" panose="02000000000000000000" pitchFamily="2" charset="-79"/>
              <a:cs typeface="Apple Symbols" panose="02000000000000000000" pitchFamily="2" charset="-79"/>
            </a:rPr>
            <a:t>PlanillaExcel.com</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50800</xdr:colOff>
      <xdr:row>0</xdr:row>
      <xdr:rowOff>133350</xdr:rowOff>
    </xdr:from>
    <xdr:to>
      <xdr:col>5</xdr:col>
      <xdr:colOff>524687</xdr:colOff>
      <xdr:row>4</xdr:row>
      <xdr:rowOff>31750</xdr:rowOff>
    </xdr:to>
    <xdr:sp macro="" textlink="">
      <xdr:nvSpPr>
        <xdr:cNvPr id="2" name="TextBox 12">
          <a:extLst>
            <a:ext uri="{FF2B5EF4-FFF2-40B4-BE49-F238E27FC236}">
              <a16:creationId xmlns:a16="http://schemas.microsoft.com/office/drawing/2014/main" id="{D4ECD13C-4417-4446-86EC-9916311DC774}"/>
            </a:ext>
          </a:extLst>
        </xdr:cNvPr>
        <xdr:cNvSpPr txBox="1"/>
      </xdr:nvSpPr>
      <xdr:spPr>
        <a:xfrm>
          <a:off x="50800" y="133350"/>
          <a:ext cx="5344160" cy="74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64B6B"/>
              </a:solidFill>
            </a:rPr>
            <a:t>Presupuesto</a:t>
          </a:r>
          <a:r>
            <a:rPr lang="en-US" sz="2400" b="1" baseline="0">
              <a:solidFill>
                <a:srgbClr val="F64B6B"/>
              </a:solidFill>
            </a:rPr>
            <a:t> de RRHH</a:t>
          </a:r>
          <a:endParaRPr lang="en-US" sz="2400" b="1">
            <a:solidFill>
              <a:srgbClr val="F64B6B"/>
            </a:solidFill>
          </a:endParaRPr>
        </a:p>
      </xdr:txBody>
    </xdr:sp>
    <xdr:clientData/>
  </xdr:twoCellAnchor>
  <xdr:twoCellAnchor editAs="absolute">
    <xdr:from>
      <xdr:col>11</xdr:col>
      <xdr:colOff>239536</xdr:colOff>
      <xdr:row>0</xdr:row>
      <xdr:rowOff>141287</xdr:rowOff>
    </xdr:from>
    <xdr:to>
      <xdr:col>13</xdr:col>
      <xdr:colOff>670454</xdr:colOff>
      <xdr:row>4</xdr:row>
      <xdr:rowOff>38099</xdr:rowOff>
    </xdr:to>
    <xdr:sp macro="" textlink="">
      <xdr:nvSpPr>
        <xdr:cNvPr id="3" name="TextBox 13">
          <a:extLst>
            <a:ext uri="{FF2B5EF4-FFF2-40B4-BE49-F238E27FC236}">
              <a16:creationId xmlns:a16="http://schemas.microsoft.com/office/drawing/2014/main" id="{05B96C02-500B-4610-BF36-A8340C0B5002}"/>
            </a:ext>
          </a:extLst>
        </xdr:cNvPr>
        <xdr:cNvSpPr txBox="1"/>
      </xdr:nvSpPr>
      <xdr:spPr>
        <a:xfrm>
          <a:off x="9772474" y="141287"/>
          <a:ext cx="2026355" cy="754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64B6B"/>
              </a:solidFill>
              <a:latin typeface="Arial Rounded MT Bold" panose="020F0704030504030204" pitchFamily="34" charset="77"/>
              <a:ea typeface="Apple Symbols" panose="02000000000000000000" pitchFamily="2" charset="-79"/>
              <a:cs typeface="Apple Symbols" panose="02000000000000000000" pitchFamily="2" charset="-79"/>
            </a:rPr>
            <a:t>PlanillaExcel.com</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82550</xdr:colOff>
      <xdr:row>0</xdr:row>
      <xdr:rowOff>88900</xdr:rowOff>
    </xdr:from>
    <xdr:to>
      <xdr:col>6</xdr:col>
      <xdr:colOff>537210</xdr:colOff>
      <xdr:row>4</xdr:row>
      <xdr:rowOff>57150</xdr:rowOff>
    </xdr:to>
    <xdr:sp macro="" textlink="">
      <xdr:nvSpPr>
        <xdr:cNvPr id="6" name="TextBox 12">
          <a:extLst>
            <a:ext uri="{FF2B5EF4-FFF2-40B4-BE49-F238E27FC236}">
              <a16:creationId xmlns:a16="http://schemas.microsoft.com/office/drawing/2014/main" id="{C706AB66-96E1-473C-9473-3153B1D826DB}"/>
            </a:ext>
          </a:extLst>
        </xdr:cNvPr>
        <xdr:cNvSpPr txBox="1"/>
      </xdr:nvSpPr>
      <xdr:spPr>
        <a:xfrm>
          <a:off x="260350" y="88900"/>
          <a:ext cx="5344160" cy="74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64B6B"/>
              </a:solidFill>
            </a:rPr>
            <a:t>Presupuesto</a:t>
          </a:r>
          <a:r>
            <a:rPr lang="en-US" sz="2400" b="1" baseline="0">
              <a:solidFill>
                <a:srgbClr val="F64B6B"/>
              </a:solidFill>
            </a:rPr>
            <a:t> de RRHH</a:t>
          </a:r>
          <a:endParaRPr lang="en-US" sz="2400" b="1">
            <a:solidFill>
              <a:srgbClr val="F64B6B"/>
            </a:solidFill>
          </a:endParaRPr>
        </a:p>
      </xdr:txBody>
    </xdr:sp>
    <xdr:clientData/>
  </xdr:twoCellAnchor>
  <xdr:twoCellAnchor editAs="absolute">
    <xdr:from>
      <xdr:col>7</xdr:col>
      <xdr:colOff>863600</xdr:colOff>
      <xdr:row>0</xdr:row>
      <xdr:rowOff>114300</xdr:rowOff>
    </xdr:from>
    <xdr:to>
      <xdr:col>11</xdr:col>
      <xdr:colOff>6350</xdr:colOff>
      <xdr:row>4</xdr:row>
      <xdr:rowOff>82550</xdr:rowOff>
    </xdr:to>
    <xdr:sp macro="" textlink="">
      <xdr:nvSpPr>
        <xdr:cNvPr id="7" name="TextBox 13">
          <a:extLst>
            <a:ext uri="{FF2B5EF4-FFF2-40B4-BE49-F238E27FC236}">
              <a16:creationId xmlns:a16="http://schemas.microsoft.com/office/drawing/2014/main" id="{6FEBC406-5213-49AC-9EB3-BD82472C79BE}"/>
            </a:ext>
          </a:extLst>
        </xdr:cNvPr>
        <xdr:cNvSpPr txBox="1"/>
      </xdr:nvSpPr>
      <xdr:spPr>
        <a:xfrm>
          <a:off x="6692900" y="114300"/>
          <a:ext cx="2025650" cy="74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64B6B"/>
              </a:solidFill>
              <a:latin typeface="Arial Rounded MT Bold" panose="020F0704030504030204" pitchFamily="34" charset="77"/>
              <a:ea typeface="Apple Symbols" panose="02000000000000000000" pitchFamily="2" charset="-79"/>
              <a:cs typeface="Apple Symbols" panose="02000000000000000000" pitchFamily="2" charset="-79"/>
            </a:rPr>
            <a:t>PlanillaExcel.com</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260349</xdr:colOff>
      <xdr:row>0</xdr:row>
      <xdr:rowOff>50800</xdr:rowOff>
    </xdr:from>
    <xdr:to>
      <xdr:col>10</xdr:col>
      <xdr:colOff>2151062</xdr:colOff>
      <xdr:row>5</xdr:row>
      <xdr:rowOff>101600</xdr:rowOff>
    </xdr:to>
    <xdr:sp macro="" textlink="">
      <xdr:nvSpPr>
        <xdr:cNvPr id="2" name="Rectángulo: esquinas redondeadas 1">
          <a:extLst>
            <a:ext uri="{FF2B5EF4-FFF2-40B4-BE49-F238E27FC236}">
              <a16:creationId xmlns:a16="http://schemas.microsoft.com/office/drawing/2014/main" id="{D8FEA03C-65A4-7C95-D949-6EA9DCAD0E16}"/>
            </a:ext>
          </a:extLst>
        </xdr:cNvPr>
        <xdr:cNvSpPr/>
      </xdr:nvSpPr>
      <xdr:spPr>
        <a:xfrm>
          <a:off x="260349" y="50800"/>
          <a:ext cx="9510713" cy="884238"/>
        </a:xfrm>
        <a:prstGeom prst="roundRect">
          <a:avLst/>
        </a:prstGeom>
        <a:solidFill>
          <a:srgbClr val="2D2F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AR" sz="2800" baseline="0"/>
            <a:t>Dashboard de RRHH : Presupuesto versus Gastado</a:t>
          </a:r>
          <a:endParaRPr lang="es-AR" sz="2800"/>
        </a:p>
      </xdr:txBody>
    </xdr:sp>
    <xdr:clientData/>
  </xdr:twoCellAnchor>
  <xdr:twoCellAnchor editAs="absolute">
    <xdr:from>
      <xdr:col>0</xdr:col>
      <xdr:colOff>431800</xdr:colOff>
      <xdr:row>6</xdr:row>
      <xdr:rowOff>152400</xdr:rowOff>
    </xdr:from>
    <xdr:to>
      <xdr:col>1</xdr:col>
      <xdr:colOff>742950</xdr:colOff>
      <xdr:row>7</xdr:row>
      <xdr:rowOff>260350</xdr:rowOff>
    </xdr:to>
    <xdr:grpSp>
      <xdr:nvGrpSpPr>
        <xdr:cNvPr id="6" name="Grupo 5">
          <a:extLst>
            <a:ext uri="{FF2B5EF4-FFF2-40B4-BE49-F238E27FC236}">
              <a16:creationId xmlns:a16="http://schemas.microsoft.com/office/drawing/2014/main" id="{FC85D98C-6FBC-1112-7AF9-A188C616F52C}"/>
            </a:ext>
          </a:extLst>
        </xdr:cNvPr>
        <xdr:cNvGrpSpPr/>
      </xdr:nvGrpSpPr>
      <xdr:grpSpPr>
        <a:xfrm>
          <a:off x="431800" y="1143000"/>
          <a:ext cx="1073150" cy="273050"/>
          <a:chOff x="431800" y="1143000"/>
          <a:chExt cx="1073150" cy="273050"/>
        </a:xfrm>
      </xdr:grpSpPr>
      <xdr:sp macro="" textlink="">
        <xdr:nvSpPr>
          <xdr:cNvPr id="3" name="Rectángulo: esquinas redondeadas 2">
            <a:extLst>
              <a:ext uri="{FF2B5EF4-FFF2-40B4-BE49-F238E27FC236}">
                <a16:creationId xmlns:a16="http://schemas.microsoft.com/office/drawing/2014/main" id="{0930132D-162C-B05D-6949-EE78CFFC10B8}"/>
              </a:ext>
            </a:extLst>
          </xdr:cNvPr>
          <xdr:cNvSpPr/>
        </xdr:nvSpPr>
        <xdr:spPr>
          <a:xfrm>
            <a:off x="431800" y="1143000"/>
            <a:ext cx="1073150" cy="273050"/>
          </a:xfrm>
          <a:prstGeom prst="roundRect">
            <a:avLst/>
          </a:prstGeom>
          <a:solidFill>
            <a:srgbClr val="2D2F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AR" sz="1600"/>
              <a:t>MES</a:t>
            </a:r>
            <a:r>
              <a:rPr lang="es-AR" sz="1100"/>
              <a:t> </a:t>
            </a:r>
          </a:p>
        </xdr:txBody>
      </xdr:sp>
      <xdr:pic>
        <xdr:nvPicPr>
          <xdr:cNvPr id="5" name="Gráfico 4" descr="Filtro contorno">
            <a:extLst>
              <a:ext uri="{FF2B5EF4-FFF2-40B4-BE49-F238E27FC236}">
                <a16:creationId xmlns:a16="http://schemas.microsoft.com/office/drawing/2014/main" id="{93683297-0986-BC25-6486-6C4A44AA2B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9350" y="1168400"/>
            <a:ext cx="228600" cy="228600"/>
          </a:xfrm>
          <a:prstGeom prst="rect">
            <a:avLst/>
          </a:prstGeom>
        </xdr:spPr>
      </xdr:pic>
    </xdr:grpSp>
    <xdr:clientData/>
  </xdr:twoCellAnchor>
  <xdr:twoCellAnchor editAs="absolute">
    <xdr:from>
      <xdr:col>0</xdr:col>
      <xdr:colOff>215901</xdr:colOff>
      <xdr:row>30</xdr:row>
      <xdr:rowOff>9525</xdr:rowOff>
    </xdr:from>
    <xdr:to>
      <xdr:col>10</xdr:col>
      <xdr:colOff>1861911</xdr:colOff>
      <xdr:row>48</xdr:row>
      <xdr:rowOff>47625</xdr:rowOff>
    </xdr:to>
    <xdr:sp macro="" textlink="">
      <xdr:nvSpPr>
        <xdr:cNvPr id="7" name="Rectángulo: esquinas superiores redondeadas 6">
          <a:extLst>
            <a:ext uri="{FF2B5EF4-FFF2-40B4-BE49-F238E27FC236}">
              <a16:creationId xmlns:a16="http://schemas.microsoft.com/office/drawing/2014/main" id="{1C786D95-6CBC-B750-3C98-5170EBA229AE}"/>
            </a:ext>
          </a:extLst>
        </xdr:cNvPr>
        <xdr:cNvSpPr/>
      </xdr:nvSpPr>
      <xdr:spPr>
        <a:xfrm>
          <a:off x="215901" y="5102225"/>
          <a:ext cx="9672410" cy="30099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absolute">
    <xdr:from>
      <xdr:col>0</xdr:col>
      <xdr:colOff>563562</xdr:colOff>
      <xdr:row>31</xdr:row>
      <xdr:rowOff>6351</xdr:rowOff>
    </xdr:from>
    <xdr:to>
      <xdr:col>10</xdr:col>
      <xdr:colOff>1687285</xdr:colOff>
      <xdr:row>48</xdr:row>
      <xdr:rowOff>15875</xdr:rowOff>
    </xdr:to>
    <xdr:graphicFrame macro="">
      <xdr:nvGraphicFramePr>
        <xdr:cNvPr id="8" name="Gráfico 7">
          <a:extLst>
            <a:ext uri="{FF2B5EF4-FFF2-40B4-BE49-F238E27FC236}">
              <a16:creationId xmlns:a16="http://schemas.microsoft.com/office/drawing/2014/main" id="{61F206C4-0CAA-4F6B-BE9D-39710269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215900</xdr:colOff>
      <xdr:row>8</xdr:row>
      <xdr:rowOff>87312</xdr:rowOff>
    </xdr:from>
    <xdr:to>
      <xdr:col>5</xdr:col>
      <xdr:colOff>663349</xdr:colOff>
      <xdr:row>28</xdr:row>
      <xdr:rowOff>31749</xdr:rowOff>
    </xdr:to>
    <xdr:sp macro="" textlink="">
      <xdr:nvSpPr>
        <xdr:cNvPr id="11" name="Rectángulo: esquinas superiores redondeadas 10">
          <a:extLst>
            <a:ext uri="{FF2B5EF4-FFF2-40B4-BE49-F238E27FC236}">
              <a16:creationId xmlns:a16="http://schemas.microsoft.com/office/drawing/2014/main" id="{D19F4C9E-AEA0-CC35-BF6E-54BF3F36A40F}"/>
            </a:ext>
          </a:extLst>
        </xdr:cNvPr>
        <xdr:cNvSpPr/>
      </xdr:nvSpPr>
      <xdr:spPr>
        <a:xfrm>
          <a:off x="215900" y="1547812"/>
          <a:ext cx="4663849" cy="3246437"/>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absolute">
    <xdr:from>
      <xdr:col>0</xdr:col>
      <xdr:colOff>388937</xdr:colOff>
      <xdr:row>11</xdr:row>
      <xdr:rowOff>150812</xdr:rowOff>
    </xdr:from>
    <xdr:to>
      <xdr:col>5</xdr:col>
      <xdr:colOff>553357</xdr:colOff>
      <xdr:row>28</xdr:row>
      <xdr:rowOff>119061</xdr:rowOff>
    </xdr:to>
    <xdr:graphicFrame macro="">
      <xdr:nvGraphicFramePr>
        <xdr:cNvPr id="12" name="Gráfico 11">
          <a:extLst>
            <a:ext uri="{FF2B5EF4-FFF2-40B4-BE49-F238E27FC236}">
              <a16:creationId xmlns:a16="http://schemas.microsoft.com/office/drawing/2014/main" id="{A6340017-A790-47F4-A416-646DD5981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579439</xdr:colOff>
      <xdr:row>9</xdr:row>
      <xdr:rowOff>87313</xdr:rowOff>
    </xdr:from>
    <xdr:to>
      <xdr:col>4</xdr:col>
      <xdr:colOff>218849</xdr:colOff>
      <xdr:row>11</xdr:row>
      <xdr:rowOff>39688</xdr:rowOff>
    </xdr:to>
    <xdr:sp macro="" textlink="">
      <xdr:nvSpPr>
        <xdr:cNvPr id="13" name="CuadroTexto 12">
          <a:extLst>
            <a:ext uri="{FF2B5EF4-FFF2-40B4-BE49-F238E27FC236}">
              <a16:creationId xmlns:a16="http://schemas.microsoft.com/office/drawing/2014/main" id="{FB107568-6964-B2B2-7F64-4A36945372A4}"/>
            </a:ext>
          </a:extLst>
        </xdr:cNvPr>
        <xdr:cNvSpPr txBox="1"/>
      </xdr:nvSpPr>
      <xdr:spPr>
        <a:xfrm>
          <a:off x="579439" y="1722438"/>
          <a:ext cx="3095624"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600" b="0"/>
            <a:t>Distribución</a:t>
          </a:r>
          <a:r>
            <a:rPr lang="es-AR" sz="1600" b="0" baseline="0"/>
            <a:t> del presupuesto</a:t>
          </a:r>
          <a:endParaRPr lang="es-AR" sz="1600" b="0"/>
        </a:p>
      </xdr:txBody>
    </xdr:sp>
    <xdr:clientData/>
  </xdr:twoCellAnchor>
  <xdr:twoCellAnchor editAs="absolute">
    <xdr:from>
      <xdr:col>0</xdr:col>
      <xdr:colOff>266700</xdr:colOff>
      <xdr:row>49</xdr:row>
      <xdr:rowOff>106363</xdr:rowOff>
    </xdr:from>
    <xdr:to>
      <xdr:col>10</xdr:col>
      <xdr:colOff>1909536</xdr:colOff>
      <xdr:row>71</xdr:row>
      <xdr:rowOff>134938</xdr:rowOff>
    </xdr:to>
    <xdr:sp macro="" textlink="">
      <xdr:nvSpPr>
        <xdr:cNvPr id="14" name="Rectángulo: esquinas superiores redondeadas 13">
          <a:extLst>
            <a:ext uri="{FF2B5EF4-FFF2-40B4-BE49-F238E27FC236}">
              <a16:creationId xmlns:a16="http://schemas.microsoft.com/office/drawing/2014/main" id="{233F73BD-376C-4B53-9357-73511892C344}"/>
            </a:ext>
          </a:extLst>
        </xdr:cNvPr>
        <xdr:cNvSpPr/>
      </xdr:nvSpPr>
      <xdr:spPr>
        <a:xfrm>
          <a:off x="266700" y="8335963"/>
          <a:ext cx="9669236" cy="3660775"/>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absolute">
    <xdr:from>
      <xdr:col>1</xdr:col>
      <xdr:colOff>188912</xdr:colOff>
      <xdr:row>52</xdr:row>
      <xdr:rowOff>31749</xdr:rowOff>
    </xdr:from>
    <xdr:to>
      <xdr:col>10</xdr:col>
      <xdr:colOff>1433286</xdr:colOff>
      <xdr:row>70</xdr:row>
      <xdr:rowOff>138113</xdr:rowOff>
    </xdr:to>
    <xdr:graphicFrame macro="">
      <xdr:nvGraphicFramePr>
        <xdr:cNvPr id="15" name="Gráfico 14">
          <a:extLst>
            <a:ext uri="{FF2B5EF4-FFF2-40B4-BE49-F238E27FC236}">
              <a16:creationId xmlns:a16="http://schemas.microsoft.com/office/drawing/2014/main" id="{E42D56FB-A955-4F53-AC07-F42E900F2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619125</xdr:colOff>
      <xdr:row>30</xdr:row>
      <xdr:rowOff>63500</xdr:rowOff>
    </xdr:from>
    <xdr:to>
      <xdr:col>4</xdr:col>
      <xdr:colOff>258535</xdr:colOff>
      <xdr:row>32</xdr:row>
      <xdr:rowOff>15875</xdr:rowOff>
    </xdr:to>
    <xdr:sp macro="" textlink="">
      <xdr:nvSpPr>
        <xdr:cNvPr id="16" name="CuadroTexto 15">
          <a:extLst>
            <a:ext uri="{FF2B5EF4-FFF2-40B4-BE49-F238E27FC236}">
              <a16:creationId xmlns:a16="http://schemas.microsoft.com/office/drawing/2014/main" id="{041567DD-9C19-494E-BDFC-F9CF322E89C7}"/>
            </a:ext>
          </a:extLst>
        </xdr:cNvPr>
        <xdr:cNvSpPr txBox="1"/>
      </xdr:nvSpPr>
      <xdr:spPr>
        <a:xfrm>
          <a:off x="619125" y="5199063"/>
          <a:ext cx="3095624"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600" b="0"/>
            <a:t>Presupuesto versus Gastado</a:t>
          </a:r>
        </a:p>
      </xdr:txBody>
    </xdr:sp>
    <xdr:clientData/>
  </xdr:twoCellAnchor>
  <xdr:twoCellAnchor editAs="absolute">
    <xdr:from>
      <xdr:col>0</xdr:col>
      <xdr:colOff>696914</xdr:colOff>
      <xdr:row>50</xdr:row>
      <xdr:rowOff>50799</xdr:rowOff>
    </xdr:from>
    <xdr:to>
      <xdr:col>5</xdr:col>
      <xdr:colOff>488724</xdr:colOff>
      <xdr:row>52</xdr:row>
      <xdr:rowOff>31749</xdr:rowOff>
    </xdr:to>
    <xdr:sp macro="" textlink="">
      <xdr:nvSpPr>
        <xdr:cNvPr id="18" name="CuadroTexto 17">
          <a:extLst>
            <a:ext uri="{FF2B5EF4-FFF2-40B4-BE49-F238E27FC236}">
              <a16:creationId xmlns:a16="http://schemas.microsoft.com/office/drawing/2014/main" id="{8CAFBD4D-51F0-43E6-A1A9-D9FD9045CA0B}"/>
            </a:ext>
          </a:extLst>
        </xdr:cNvPr>
        <xdr:cNvSpPr txBox="1"/>
      </xdr:nvSpPr>
      <xdr:spPr>
        <a:xfrm>
          <a:off x="696914" y="8520112"/>
          <a:ext cx="4010024"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600" b="0"/>
            <a:t>Diferencia</a:t>
          </a:r>
          <a:r>
            <a:rPr lang="es-AR" sz="1600" b="0" baseline="0"/>
            <a:t> entre lo planeado y gastado</a:t>
          </a:r>
          <a:endParaRPr lang="es-AR" sz="1600" b="0"/>
        </a:p>
      </xdr:txBody>
    </xdr:sp>
    <xdr:clientData/>
  </xdr:twoCellAnchor>
  <xdr:twoCellAnchor editAs="absolute">
    <xdr:from>
      <xdr:col>6</xdr:col>
      <xdr:colOff>93436</xdr:colOff>
      <xdr:row>8</xdr:row>
      <xdr:rowOff>73024</xdr:rowOff>
    </xdr:from>
    <xdr:to>
      <xdr:col>10</xdr:col>
      <xdr:colOff>1760311</xdr:colOff>
      <xdr:row>28</xdr:row>
      <xdr:rowOff>17461</xdr:rowOff>
    </xdr:to>
    <xdr:sp macro="" textlink="">
      <xdr:nvSpPr>
        <xdr:cNvPr id="22" name="Rectángulo: esquinas superiores redondeadas 21">
          <a:extLst>
            <a:ext uri="{FF2B5EF4-FFF2-40B4-BE49-F238E27FC236}">
              <a16:creationId xmlns:a16="http://schemas.microsoft.com/office/drawing/2014/main" id="{0282D13C-569D-46D4-AB27-0E493F9E20D8}"/>
            </a:ext>
          </a:extLst>
        </xdr:cNvPr>
        <xdr:cNvSpPr/>
      </xdr:nvSpPr>
      <xdr:spPr>
        <a:xfrm>
          <a:off x="5073650" y="1541462"/>
          <a:ext cx="4714875" cy="3278187"/>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absolute">
    <xdr:from>
      <xdr:col>6</xdr:col>
      <xdr:colOff>117249</xdr:colOff>
      <xdr:row>11</xdr:row>
      <xdr:rowOff>88899</xdr:rowOff>
    </xdr:from>
    <xdr:to>
      <xdr:col>10</xdr:col>
      <xdr:colOff>1425349</xdr:colOff>
      <xdr:row>28</xdr:row>
      <xdr:rowOff>1813</xdr:rowOff>
    </xdr:to>
    <xdr:graphicFrame macro="">
      <xdr:nvGraphicFramePr>
        <xdr:cNvPr id="24" name="Gráfico 23">
          <a:extLst>
            <a:ext uri="{FF2B5EF4-FFF2-40B4-BE49-F238E27FC236}">
              <a16:creationId xmlns:a16="http://schemas.microsoft.com/office/drawing/2014/main" id="{5A843A83-5D33-48C3-9C61-32B3782D4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6</xdr:col>
      <xdr:colOff>371249</xdr:colOff>
      <xdr:row>9</xdr:row>
      <xdr:rowOff>25399</xdr:rowOff>
    </xdr:from>
    <xdr:to>
      <xdr:col>10</xdr:col>
      <xdr:colOff>877661</xdr:colOff>
      <xdr:row>11</xdr:row>
      <xdr:rowOff>3400</xdr:rowOff>
    </xdr:to>
    <xdr:sp macro="" textlink="">
      <xdr:nvSpPr>
        <xdr:cNvPr id="25" name="CuadroTexto 24">
          <a:extLst>
            <a:ext uri="{FF2B5EF4-FFF2-40B4-BE49-F238E27FC236}">
              <a16:creationId xmlns:a16="http://schemas.microsoft.com/office/drawing/2014/main" id="{04BF0B3C-8AD6-4E01-A5B2-FBFA0F0C6A07}"/>
            </a:ext>
          </a:extLst>
        </xdr:cNvPr>
        <xdr:cNvSpPr txBox="1"/>
      </xdr:nvSpPr>
      <xdr:spPr>
        <a:xfrm>
          <a:off x="5351463" y="1660524"/>
          <a:ext cx="3554412" cy="307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600" b="0"/>
            <a:t>Porcentaje</a:t>
          </a:r>
          <a:r>
            <a:rPr lang="es-AR" sz="1600" b="0" baseline="0"/>
            <a:t> del presupuesto ejecutado</a:t>
          </a:r>
          <a:endParaRPr lang="es-AR" sz="1600" b="0"/>
        </a:p>
      </xdr:txBody>
    </xdr:sp>
    <xdr:clientData/>
  </xdr:twoCellAnchor>
  <xdr:twoCellAnchor editAs="absolute">
    <xdr:from>
      <xdr:col>8</xdr:col>
      <xdr:colOff>301129</xdr:colOff>
      <xdr:row>17</xdr:row>
      <xdr:rowOff>143454</xdr:rowOff>
    </xdr:from>
    <xdr:to>
      <xdr:col>9</xdr:col>
      <xdr:colOff>599847</xdr:colOff>
      <xdr:row>21</xdr:row>
      <xdr:rowOff>20969</xdr:rowOff>
    </xdr:to>
    <xdr:sp macro="" textlink="Porcentaje_Gastado">
      <xdr:nvSpPr>
        <xdr:cNvPr id="26" name="CuadroTexto 25">
          <a:extLst>
            <a:ext uri="{FF2B5EF4-FFF2-40B4-BE49-F238E27FC236}">
              <a16:creationId xmlns:a16="http://schemas.microsoft.com/office/drawing/2014/main" id="{8626A6DB-1A54-5D40-2BE9-1EB30B6BA160}"/>
            </a:ext>
          </a:extLst>
        </xdr:cNvPr>
        <xdr:cNvSpPr txBox="1"/>
      </xdr:nvSpPr>
      <xdr:spPr>
        <a:xfrm rot="10800000" flipV="1">
          <a:off x="6805343" y="3112079"/>
          <a:ext cx="1060718"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0109D9A-3D9F-4F00-A424-C1B4D2A24518}" type="TxLink">
            <a:rPr lang="en-US" sz="2800" b="0" i="0" u="none" strike="noStrike">
              <a:solidFill>
                <a:srgbClr val="000000"/>
              </a:solidFill>
              <a:latin typeface="Calibri Light"/>
              <a:ea typeface="Calibri Light"/>
              <a:cs typeface="Calibri Light"/>
            </a:rPr>
            <a:pPr algn="ctr"/>
            <a:t>84%</a:t>
          </a:fld>
          <a:endParaRPr lang="es-AR" sz="36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1BB1F-9F14-48F0-8895-389C2D703BA5}" name="Pto" displayName="Pto" ref="B9:N16" totalsRowShown="0" headerRowDxfId="29" dataDxfId="28">
  <autoFilter ref="B9:N16" xr:uid="{C291BB1F-9F14-48F0-8895-389C2D703B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EA83C6A-EDF6-406B-9315-51DE3867432B}" name="CONCEPTO" dataDxfId="27"/>
    <tableColumn id="2" xr3:uid="{E8AD1632-EDEB-4EDE-B112-5D655CD41A0A}" name="ENERO" dataDxfId="26"/>
    <tableColumn id="3" xr3:uid="{EC3887EB-5A1E-4B27-BB7C-0CC88EC090B1}" name="FEBRERO" dataDxfId="25"/>
    <tableColumn id="4" xr3:uid="{0E97A4F8-CC18-438B-B0BF-335947493D58}" name="MARZO" dataDxfId="24"/>
    <tableColumn id="5" xr3:uid="{4B54BB9E-7681-4FBE-93C5-027BFDB4EDE1}" name="ABRIL" dataDxfId="23"/>
    <tableColumn id="6" xr3:uid="{326250CE-2595-4747-8222-947DEEA27D08}" name="MAYO" dataDxfId="22"/>
    <tableColumn id="7" xr3:uid="{0E783C0F-6009-4B89-9C23-6C1CCA40364B}" name="JUNIO" dataDxfId="21"/>
    <tableColumn id="8" xr3:uid="{AC5C7634-0B6E-4D4C-9C8A-7EA6FF11FFD4}" name="JULIO" dataDxfId="20"/>
    <tableColumn id="9" xr3:uid="{17F824B4-BAF4-4707-923D-4911DFACCCB1}" name="AGOSTO" dataDxfId="19"/>
    <tableColumn id="10" xr3:uid="{51FEC4A3-718A-492D-A172-FC1279D1FD77}" name="SEPTIEMBRE" dataDxfId="18"/>
    <tableColumn id="11" xr3:uid="{7E790142-E885-4765-86C2-10E1F2442E8C}" name="OCTUBRE" dataDxfId="17"/>
    <tableColumn id="12" xr3:uid="{EDFD93A3-B79E-4FFC-A965-21862F5B2E85}" name="NOVIEMBRE" dataDxfId="16"/>
    <tableColumn id="13" xr3:uid="{5DD42915-74CC-4081-89EC-D1FAE5DBBA9F}" name="DICIEMBRE" dataDxfId="15"/>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9FE867-8DF1-455A-9738-FC84E588C09D}" name="Real" displayName="Real" ref="B24:N31" totalsRowShown="0" headerRowDxfId="14" dataDxfId="13">
  <autoFilter ref="B24:N31" xr:uid="{F49FE867-8DF1-455A-9738-FC84E588C0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F9542A6-A5C2-4797-B60A-146AD51EA50B}" name="CONCEPTO" dataDxfId="12"/>
    <tableColumn id="2" xr3:uid="{7248AD22-F92F-4549-9DD1-DD4EB1093BB7}" name="ENERO" dataDxfId="11"/>
    <tableColumn id="3" xr3:uid="{E288E5B9-9647-424C-BB02-DA1B6C2DE7D4}" name="FEBRERO" dataDxfId="10"/>
    <tableColumn id="4" xr3:uid="{C8B4BBC2-BF5C-4B28-BC61-1F0A954DEF93}" name="MARZO" dataDxfId="9"/>
    <tableColumn id="5" xr3:uid="{4A8AFDDB-629B-4F0E-8650-C1BABB8C3D13}" name="ABRIL" dataDxfId="8"/>
    <tableColumn id="6" xr3:uid="{E431AE37-782F-4D84-AB8A-C62D041F2A0A}" name="MAYO" dataDxfId="7"/>
    <tableColumn id="7" xr3:uid="{149B8CFF-0318-40CE-9866-C62DDAF9941C}" name="JUNIO" dataDxfId="6"/>
    <tableColumn id="8" xr3:uid="{3B3EF456-8A6B-45E4-A798-3DF8770E186D}" name="JULIO" dataDxfId="5"/>
    <tableColumn id="9" xr3:uid="{17B09506-255C-4FC8-A1C9-48D4E7A1F0C3}" name="AGOSTO" dataDxfId="4"/>
    <tableColumn id="10" xr3:uid="{76A1EEF3-2BB6-4A9E-A5CE-DB480F2D0C9B}" name="SEPTIEMBRE" dataDxfId="3"/>
    <tableColumn id="11" xr3:uid="{F6F3B95E-9A7F-4C14-AE52-DA9B8D8DC2BB}" name="OCTUBRE" dataDxfId="2"/>
    <tableColumn id="12" xr3:uid="{7ED8D5F0-CAF3-4773-9CD4-3A6C52B7B65B}" name="NOVIEMBRE" dataDxfId="1"/>
    <tableColumn id="13" xr3:uid="{82419FB8-0942-4713-BC77-4E4B0FF04965}" name="DICIEMBRE" dataDxfId="0"/>
  </tableColumns>
  <tableStyleInfo name="TableStyleLight15"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730A8-6A4A-4097-BB01-A3894C84CE65}">
  <dimension ref="B1:K107"/>
  <sheetViews>
    <sheetView showGridLines="0" tabSelected="1" zoomScale="70" zoomScaleNormal="70" workbookViewId="0">
      <selection activeCell="F4" sqref="F4"/>
    </sheetView>
  </sheetViews>
  <sheetFormatPr baseColWidth="10" defaultRowHeight="15.5" x14ac:dyDescent="0.35"/>
  <cols>
    <col min="1" max="1" width="4" style="19" customWidth="1"/>
    <col min="2" max="11" width="18.1796875" style="19" customWidth="1"/>
    <col min="12" max="16384" width="10.90625" style="19"/>
  </cols>
  <sheetData>
    <row r="1" spans="2:11" ht="10" customHeight="1" x14ac:dyDescent="0.35"/>
    <row r="2" spans="2:11" ht="55" customHeight="1" x14ac:dyDescent="0.35">
      <c r="B2" s="15"/>
      <c r="C2" s="15"/>
      <c r="D2" s="15"/>
      <c r="E2" s="15"/>
      <c r="F2" s="15"/>
      <c r="G2" s="15"/>
      <c r="H2" s="15"/>
      <c r="I2" s="15"/>
      <c r="J2" s="15"/>
      <c r="K2" s="15"/>
    </row>
    <row r="3" spans="2:11" ht="24" customHeight="1" x14ac:dyDescent="0.35"/>
    <row r="4" spans="2:11" ht="42" customHeight="1" x14ac:dyDescent="0.35">
      <c r="B4" s="20" t="s">
        <v>34</v>
      </c>
      <c r="C4" s="21"/>
      <c r="D4" s="21"/>
      <c r="E4" s="21"/>
      <c r="F4" s="21"/>
      <c r="G4" s="21"/>
      <c r="H4" s="21"/>
      <c r="I4" s="21"/>
      <c r="J4" s="21"/>
      <c r="K4" s="21"/>
    </row>
    <row r="5" spans="2:11" ht="15" customHeight="1" x14ac:dyDescent="0.35"/>
    <row r="32" spans="5:7" x14ac:dyDescent="0.35">
      <c r="E32" s="22"/>
      <c r="F32" s="22"/>
      <c r="G32" s="22"/>
    </row>
    <row r="36" spans="2:6" x14ac:dyDescent="0.35">
      <c r="F36" s="22"/>
    </row>
    <row r="39" spans="2:6" x14ac:dyDescent="0.35">
      <c r="B39" s="23"/>
    </row>
    <row r="40" spans="2:6" x14ac:dyDescent="0.35">
      <c r="B40" s="23"/>
      <c r="E40" s="22"/>
    </row>
    <row r="41" spans="2:6" x14ac:dyDescent="0.35">
      <c r="B41" s="23"/>
      <c r="E41" s="22"/>
      <c r="F41" s="22"/>
    </row>
    <row r="42" spans="2:6" x14ac:dyDescent="0.35">
      <c r="B42" s="23"/>
    </row>
    <row r="43" spans="2:6" x14ac:dyDescent="0.35">
      <c r="B43" s="23"/>
    </row>
    <row r="47" spans="2:6" x14ac:dyDescent="0.35">
      <c r="B47" s="24"/>
      <c r="C47" s="24"/>
    </row>
    <row r="48" spans="2:6" x14ac:dyDescent="0.35">
      <c r="B48" s="24"/>
      <c r="C48" s="24"/>
    </row>
    <row r="49" spans="2:6" x14ac:dyDescent="0.35">
      <c r="B49" s="24"/>
      <c r="C49" s="24"/>
    </row>
    <row r="50" spans="2:6" x14ac:dyDescent="0.35">
      <c r="B50" s="24"/>
      <c r="C50" s="24"/>
    </row>
    <row r="51" spans="2:6" x14ac:dyDescent="0.35">
      <c r="B51" s="24"/>
      <c r="C51" s="24"/>
    </row>
    <row r="58" spans="2:6" x14ac:dyDescent="0.35">
      <c r="C58" s="22"/>
    </row>
    <row r="59" spans="2:6" x14ac:dyDescent="0.35">
      <c r="C59" s="22"/>
    </row>
    <row r="60" spans="2:6" x14ac:dyDescent="0.35">
      <c r="C60" s="22"/>
    </row>
    <row r="63" spans="2:6" x14ac:dyDescent="0.35">
      <c r="C63" s="25"/>
      <c r="E63" s="24"/>
      <c r="F63" s="24"/>
    </row>
    <row r="64" spans="2:6" x14ac:dyDescent="0.35">
      <c r="C64" s="25"/>
      <c r="E64" s="24"/>
      <c r="F64" s="24"/>
    </row>
    <row r="65" spans="3:6" x14ac:dyDescent="0.35">
      <c r="C65" s="25"/>
      <c r="E65" s="24"/>
      <c r="F65" s="24"/>
    </row>
    <row r="66" spans="3:6" x14ac:dyDescent="0.35">
      <c r="C66" s="26"/>
      <c r="E66" s="24"/>
      <c r="F66" s="24"/>
    </row>
    <row r="67" spans="3:6" x14ac:dyDescent="0.35">
      <c r="E67" s="24"/>
      <c r="F67" s="24"/>
    </row>
    <row r="68" spans="3:6" x14ac:dyDescent="0.35">
      <c r="C68" s="26"/>
    </row>
    <row r="107" spans="5:5" x14ac:dyDescent="0.35">
      <c r="E107" s="27"/>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02FD2-5E43-4298-832C-252B68551D7D}">
  <dimension ref="B2:N31"/>
  <sheetViews>
    <sheetView showGridLines="0" zoomScale="80" zoomScaleNormal="80" workbookViewId="0">
      <selection activeCell="Q6" sqref="Q6"/>
    </sheetView>
  </sheetViews>
  <sheetFormatPr baseColWidth="10" defaultRowHeight="13" x14ac:dyDescent="0.3"/>
  <cols>
    <col min="1" max="1" width="1.08984375" style="1" customWidth="1"/>
    <col min="2" max="2" width="35.90625" style="1" customWidth="1"/>
    <col min="3" max="9" width="10.90625" style="1"/>
    <col min="10" max="10" width="12.1796875" style="1" customWidth="1"/>
    <col min="11" max="11" width="10.90625" style="1"/>
    <col min="12" max="12" width="11.7265625" style="1" customWidth="1"/>
    <col min="13" max="13" width="11.08984375" style="1" customWidth="1"/>
    <col min="14" max="16384" width="10.90625" style="1"/>
  </cols>
  <sheetData>
    <row r="2" spans="2:14" x14ac:dyDescent="0.3">
      <c r="B2" s="15"/>
      <c r="C2" s="15"/>
      <c r="D2" s="15"/>
      <c r="E2" s="15"/>
      <c r="F2" s="15"/>
      <c r="G2" s="15"/>
      <c r="H2" s="15"/>
      <c r="I2" s="15"/>
      <c r="J2" s="15"/>
      <c r="K2" s="15"/>
      <c r="L2" s="15"/>
      <c r="M2" s="15"/>
      <c r="N2" s="15"/>
    </row>
    <row r="3" spans="2:14" x14ac:dyDescent="0.3">
      <c r="B3" s="15"/>
      <c r="C3" s="15"/>
      <c r="D3" s="15"/>
      <c r="E3" s="15"/>
      <c r="F3" s="15"/>
      <c r="G3" s="15"/>
      <c r="H3" s="15"/>
      <c r="I3" s="15"/>
      <c r="J3" s="15"/>
      <c r="K3" s="15"/>
      <c r="L3" s="15"/>
      <c r="M3" s="15"/>
      <c r="N3" s="15"/>
    </row>
    <row r="4" spans="2:14" ht="28" customHeight="1" x14ac:dyDescent="0.3">
      <c r="B4" s="15"/>
      <c r="C4" s="15"/>
      <c r="D4" s="15"/>
      <c r="E4" s="15"/>
      <c r="F4" s="15"/>
      <c r="G4" s="15"/>
      <c r="H4" s="15"/>
      <c r="I4" s="15"/>
      <c r="J4" s="15"/>
      <c r="K4" s="15"/>
      <c r="L4" s="15"/>
      <c r="M4" s="15"/>
      <c r="N4" s="15"/>
    </row>
    <row r="7" spans="2:14" ht="28.5" x14ac:dyDescent="0.3">
      <c r="B7" s="28" t="s">
        <v>12</v>
      </c>
    </row>
    <row r="8" spans="2:14" ht="18.5" x14ac:dyDescent="0.3">
      <c r="B8" s="29" t="s">
        <v>40</v>
      </c>
    </row>
    <row r="9" spans="2:14" ht="19.5" customHeight="1" x14ac:dyDescent="0.3">
      <c r="B9" s="30" t="s">
        <v>39</v>
      </c>
      <c r="C9" s="30" t="s">
        <v>17</v>
      </c>
      <c r="D9" s="30" t="s">
        <v>18</v>
      </c>
      <c r="E9" s="30" t="s">
        <v>19</v>
      </c>
      <c r="F9" s="30" t="s">
        <v>20</v>
      </c>
      <c r="G9" s="30" t="s">
        <v>21</v>
      </c>
      <c r="H9" s="30" t="s">
        <v>22</v>
      </c>
      <c r="I9" s="30" t="s">
        <v>23</v>
      </c>
      <c r="J9" s="30" t="s">
        <v>24</v>
      </c>
      <c r="K9" s="30" t="s">
        <v>25</v>
      </c>
      <c r="L9" s="30" t="s">
        <v>26</v>
      </c>
      <c r="M9" s="30" t="s">
        <v>27</v>
      </c>
      <c r="N9" s="30" t="s">
        <v>28</v>
      </c>
    </row>
    <row r="10" spans="2:14" ht="15.5" x14ac:dyDescent="0.35">
      <c r="B10" s="8" t="s">
        <v>43</v>
      </c>
      <c r="C10" s="31">
        <v>1795</v>
      </c>
      <c r="D10" s="31">
        <v>1677</v>
      </c>
      <c r="E10" s="31">
        <v>1555</v>
      </c>
      <c r="F10" s="31">
        <v>1172</v>
      </c>
      <c r="G10" s="31">
        <v>1449</v>
      </c>
      <c r="H10" s="31">
        <v>1510</v>
      </c>
      <c r="I10" s="31">
        <v>1176</v>
      </c>
      <c r="J10" s="31">
        <v>1824</v>
      </c>
      <c r="K10" s="31">
        <v>1139</v>
      </c>
      <c r="L10" s="31">
        <v>1353</v>
      </c>
      <c r="M10" s="31">
        <v>1344</v>
      </c>
      <c r="N10" s="31">
        <v>1110</v>
      </c>
    </row>
    <row r="11" spans="2:14" ht="15.5" x14ac:dyDescent="0.35">
      <c r="B11" s="8" t="s">
        <v>42</v>
      </c>
      <c r="C11" s="31">
        <v>1139</v>
      </c>
      <c r="D11" s="31">
        <v>1632</v>
      </c>
      <c r="E11" s="31">
        <v>1854</v>
      </c>
      <c r="F11" s="31">
        <v>1197</v>
      </c>
      <c r="G11" s="31">
        <v>1595</v>
      </c>
      <c r="H11" s="31">
        <v>1637</v>
      </c>
      <c r="I11" s="31">
        <v>1162</v>
      </c>
      <c r="J11" s="31">
        <v>1075</v>
      </c>
      <c r="K11" s="31">
        <v>1894</v>
      </c>
      <c r="L11" s="31">
        <v>1036</v>
      </c>
      <c r="M11" s="31">
        <v>1664</v>
      </c>
      <c r="N11" s="31">
        <v>1979</v>
      </c>
    </row>
    <row r="12" spans="2:14" ht="15.5" x14ac:dyDescent="0.35">
      <c r="B12" s="8" t="s">
        <v>36</v>
      </c>
      <c r="C12" s="31">
        <v>1123</v>
      </c>
      <c r="D12" s="31">
        <v>1980</v>
      </c>
      <c r="E12" s="31">
        <v>1146</v>
      </c>
      <c r="F12" s="31">
        <v>1412</v>
      </c>
      <c r="G12" s="31">
        <v>1655</v>
      </c>
      <c r="H12" s="31">
        <v>1516</v>
      </c>
      <c r="I12" s="31">
        <v>1672</v>
      </c>
      <c r="J12" s="31">
        <v>1461</v>
      </c>
      <c r="K12" s="31">
        <v>1611</v>
      </c>
      <c r="L12" s="31">
        <v>1989</v>
      </c>
      <c r="M12" s="31">
        <v>1404</v>
      </c>
      <c r="N12" s="31">
        <v>1867</v>
      </c>
    </row>
    <row r="13" spans="2:14" ht="15.5" x14ac:dyDescent="0.35">
      <c r="B13" s="8" t="s">
        <v>44</v>
      </c>
      <c r="C13" s="31">
        <v>1281</v>
      </c>
      <c r="D13" s="31">
        <v>1242</v>
      </c>
      <c r="E13" s="31">
        <v>1713</v>
      </c>
      <c r="F13" s="31">
        <v>1656</v>
      </c>
      <c r="G13" s="31">
        <v>1049</v>
      </c>
      <c r="H13" s="31">
        <v>1276</v>
      </c>
      <c r="I13" s="31">
        <v>1392</v>
      </c>
      <c r="J13" s="31">
        <v>1592</v>
      </c>
      <c r="K13" s="31">
        <v>1047</v>
      </c>
      <c r="L13" s="31">
        <v>1263</v>
      </c>
      <c r="M13" s="31">
        <v>1978</v>
      </c>
      <c r="N13" s="31">
        <v>1341</v>
      </c>
    </row>
    <row r="14" spans="2:14" ht="15.5" x14ac:dyDescent="0.35">
      <c r="B14" s="8" t="s">
        <v>37</v>
      </c>
      <c r="C14" s="31">
        <v>1886</v>
      </c>
      <c r="D14" s="31">
        <v>1892</v>
      </c>
      <c r="E14" s="31">
        <v>1092</v>
      </c>
      <c r="F14" s="31">
        <v>1571</v>
      </c>
      <c r="G14" s="31">
        <v>1545</v>
      </c>
      <c r="H14" s="31">
        <v>1271</v>
      </c>
      <c r="I14" s="31">
        <v>1534</v>
      </c>
      <c r="J14" s="31">
        <v>1926</v>
      </c>
      <c r="K14" s="31">
        <v>1965</v>
      </c>
      <c r="L14" s="31">
        <v>1418</v>
      </c>
      <c r="M14" s="31">
        <v>1362</v>
      </c>
      <c r="N14" s="31">
        <v>1744</v>
      </c>
    </row>
    <row r="15" spans="2:14" ht="15.5" x14ac:dyDescent="0.35">
      <c r="B15" s="8" t="s">
        <v>38</v>
      </c>
      <c r="C15" s="31">
        <v>1130</v>
      </c>
      <c r="D15" s="31">
        <v>1475</v>
      </c>
      <c r="E15" s="31">
        <v>1190</v>
      </c>
      <c r="F15" s="31">
        <v>1219</v>
      </c>
      <c r="G15" s="31">
        <v>1105</v>
      </c>
      <c r="H15" s="31">
        <v>1714</v>
      </c>
      <c r="I15" s="31">
        <v>1302</v>
      </c>
      <c r="J15" s="31">
        <v>1950</v>
      </c>
      <c r="K15" s="31">
        <v>1651</v>
      </c>
      <c r="L15" s="31">
        <v>1321</v>
      </c>
      <c r="M15" s="31">
        <v>1674</v>
      </c>
      <c r="N15" s="31">
        <v>1644</v>
      </c>
    </row>
    <row r="16" spans="2:14" ht="15.5" x14ac:dyDescent="0.35">
      <c r="B16" s="8" t="s">
        <v>45</v>
      </c>
      <c r="C16" s="31">
        <v>1061</v>
      </c>
      <c r="D16" s="31">
        <v>1841</v>
      </c>
      <c r="E16" s="31">
        <v>1444</v>
      </c>
      <c r="F16" s="31">
        <v>1320</v>
      </c>
      <c r="G16" s="31">
        <v>1825</v>
      </c>
      <c r="H16" s="31">
        <v>1167</v>
      </c>
      <c r="I16" s="31">
        <v>1318</v>
      </c>
      <c r="J16" s="31">
        <v>1463</v>
      </c>
      <c r="K16" s="31">
        <v>1092</v>
      </c>
      <c r="L16" s="31">
        <v>1147</v>
      </c>
      <c r="M16" s="31">
        <v>1273</v>
      </c>
      <c r="N16" s="31">
        <v>1264</v>
      </c>
    </row>
    <row r="22" spans="2:14" ht="28.5" x14ac:dyDescent="0.3">
      <c r="B22" s="28" t="s">
        <v>13</v>
      </c>
    </row>
    <row r="23" spans="2:14" ht="18.5" x14ac:dyDescent="0.3">
      <c r="B23" s="29" t="s">
        <v>41</v>
      </c>
    </row>
    <row r="24" spans="2:14" ht="15.5" x14ac:dyDescent="0.3">
      <c r="B24" s="30" t="s">
        <v>39</v>
      </c>
      <c r="C24" s="2" t="s">
        <v>17</v>
      </c>
      <c r="D24" s="2" t="s">
        <v>18</v>
      </c>
      <c r="E24" s="2" t="s">
        <v>19</v>
      </c>
      <c r="F24" s="2" t="s">
        <v>20</v>
      </c>
      <c r="G24" s="2" t="s">
        <v>21</v>
      </c>
      <c r="H24" s="2" t="s">
        <v>22</v>
      </c>
      <c r="I24" s="2" t="s">
        <v>23</v>
      </c>
      <c r="J24" s="2" t="s">
        <v>24</v>
      </c>
      <c r="K24" s="2" t="s">
        <v>25</v>
      </c>
      <c r="L24" s="2" t="s">
        <v>26</v>
      </c>
      <c r="M24" s="2" t="s">
        <v>27</v>
      </c>
      <c r="N24" s="2" t="s">
        <v>28</v>
      </c>
    </row>
    <row r="25" spans="2:14" ht="15.5" x14ac:dyDescent="0.35">
      <c r="B25" s="8" t="s">
        <v>43</v>
      </c>
      <c r="C25" s="31">
        <v>1036</v>
      </c>
      <c r="D25" s="31">
        <v>1112</v>
      </c>
      <c r="E25" s="31">
        <v>1382</v>
      </c>
      <c r="F25" s="31">
        <v>1092</v>
      </c>
      <c r="G25" s="31">
        <v>1425</v>
      </c>
      <c r="H25" s="31">
        <v>1483</v>
      </c>
      <c r="I25" s="31">
        <v>1150</v>
      </c>
      <c r="J25" s="31">
        <v>1580</v>
      </c>
      <c r="K25" s="31">
        <v>1127</v>
      </c>
      <c r="L25" s="31">
        <v>1178</v>
      </c>
      <c r="M25" s="31">
        <v>1294</v>
      </c>
      <c r="N25" s="31">
        <v>1024</v>
      </c>
    </row>
    <row r="26" spans="2:14" ht="15.5" x14ac:dyDescent="0.35">
      <c r="B26" s="8" t="s">
        <v>42</v>
      </c>
      <c r="C26" s="31">
        <v>1050</v>
      </c>
      <c r="D26" s="31">
        <v>1091</v>
      </c>
      <c r="E26" s="31">
        <v>1318</v>
      </c>
      <c r="F26" s="31">
        <v>1181</v>
      </c>
      <c r="G26" s="31">
        <v>1291</v>
      </c>
      <c r="H26" s="31">
        <v>1527</v>
      </c>
      <c r="I26" s="31">
        <v>1087</v>
      </c>
      <c r="J26" s="31">
        <v>1061</v>
      </c>
      <c r="K26" s="31">
        <v>1132</v>
      </c>
      <c r="L26" s="31">
        <v>1027</v>
      </c>
      <c r="M26" s="31">
        <v>1472</v>
      </c>
      <c r="N26" s="31">
        <v>1808</v>
      </c>
    </row>
    <row r="27" spans="2:14" ht="15.5" x14ac:dyDescent="0.35">
      <c r="B27" s="8" t="s">
        <v>36</v>
      </c>
      <c r="C27" s="31">
        <v>1001</v>
      </c>
      <c r="D27" s="31">
        <v>1709</v>
      </c>
      <c r="E27" s="31">
        <v>1099</v>
      </c>
      <c r="F27" s="31">
        <v>1144</v>
      </c>
      <c r="G27" s="31">
        <v>1586</v>
      </c>
      <c r="H27" s="31">
        <v>1052</v>
      </c>
      <c r="I27" s="31">
        <v>1388</v>
      </c>
      <c r="J27" s="31">
        <v>1196</v>
      </c>
      <c r="K27" s="31">
        <v>1191</v>
      </c>
      <c r="L27" s="31">
        <v>1056</v>
      </c>
      <c r="M27" s="31">
        <v>1317</v>
      </c>
      <c r="N27" s="31">
        <v>1298</v>
      </c>
    </row>
    <row r="28" spans="2:14" ht="15.5" x14ac:dyDescent="0.35">
      <c r="B28" s="8" t="s">
        <v>44</v>
      </c>
      <c r="C28" s="31">
        <v>1148</v>
      </c>
      <c r="D28" s="31">
        <v>1023</v>
      </c>
      <c r="E28" s="31">
        <v>1324</v>
      </c>
      <c r="F28" s="31">
        <v>1350</v>
      </c>
      <c r="G28" s="31">
        <v>1049</v>
      </c>
      <c r="H28" s="31">
        <v>1067</v>
      </c>
      <c r="I28" s="31">
        <v>1283</v>
      </c>
      <c r="J28" s="31">
        <v>1317</v>
      </c>
      <c r="K28" s="31">
        <v>1041</v>
      </c>
      <c r="L28" s="31">
        <v>1063</v>
      </c>
      <c r="M28" s="31">
        <v>1947</v>
      </c>
      <c r="N28" s="31">
        <v>1262</v>
      </c>
    </row>
    <row r="29" spans="2:14" ht="15.5" x14ac:dyDescent="0.35">
      <c r="B29" s="8" t="s">
        <v>37</v>
      </c>
      <c r="C29" s="31">
        <v>1128</v>
      </c>
      <c r="D29" s="31">
        <v>1299</v>
      </c>
      <c r="E29" s="31">
        <v>1082</v>
      </c>
      <c r="F29" s="31">
        <v>1231</v>
      </c>
      <c r="G29" s="31">
        <v>1214</v>
      </c>
      <c r="H29" s="31">
        <v>1269</v>
      </c>
      <c r="I29" s="31">
        <v>1340</v>
      </c>
      <c r="J29" s="31">
        <v>1630</v>
      </c>
      <c r="K29" s="31">
        <v>1425</v>
      </c>
      <c r="L29" s="31">
        <v>1331</v>
      </c>
      <c r="M29" s="31">
        <v>1900</v>
      </c>
      <c r="N29" s="31">
        <v>1093</v>
      </c>
    </row>
    <row r="30" spans="2:14" ht="15.5" x14ac:dyDescent="0.35">
      <c r="B30" s="8" t="s">
        <v>38</v>
      </c>
      <c r="C30" s="31">
        <v>1098</v>
      </c>
      <c r="D30" s="31">
        <v>1264</v>
      </c>
      <c r="E30" s="31">
        <v>1086</v>
      </c>
      <c r="F30" s="31">
        <v>1212</v>
      </c>
      <c r="G30" s="31">
        <v>1007</v>
      </c>
      <c r="H30" s="31">
        <v>1243</v>
      </c>
      <c r="I30" s="31">
        <v>1248</v>
      </c>
      <c r="J30" s="31">
        <v>1339</v>
      </c>
      <c r="K30" s="31">
        <v>1417</v>
      </c>
      <c r="L30" s="31">
        <v>1174</v>
      </c>
      <c r="M30" s="31">
        <v>1294</v>
      </c>
      <c r="N30" s="31">
        <v>1376</v>
      </c>
    </row>
    <row r="31" spans="2:14" ht="15.5" x14ac:dyDescent="0.35">
      <c r="B31" s="8" t="s">
        <v>45</v>
      </c>
      <c r="C31" s="31">
        <v>1003</v>
      </c>
      <c r="D31" s="31">
        <v>1056</v>
      </c>
      <c r="E31" s="31">
        <v>1208</v>
      </c>
      <c r="F31" s="31">
        <v>1284</v>
      </c>
      <c r="G31" s="31">
        <v>1601</v>
      </c>
      <c r="H31" s="31">
        <v>1035</v>
      </c>
      <c r="I31" s="31">
        <v>1098</v>
      </c>
      <c r="J31" s="31">
        <v>1336</v>
      </c>
      <c r="K31" s="31">
        <v>1060</v>
      </c>
      <c r="L31" s="31">
        <v>1089</v>
      </c>
      <c r="M31" s="31">
        <v>1221</v>
      </c>
      <c r="N31" s="31">
        <v>1046</v>
      </c>
    </row>
  </sheetData>
  <phoneticPr fontId="4" type="noConversion"/>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2247-BAA6-444A-B067-82A2A3FD0263}">
  <dimension ref="B2:K20"/>
  <sheetViews>
    <sheetView showGridLines="0" workbookViewId="0">
      <selection activeCell="H17" sqref="H17"/>
    </sheetView>
  </sheetViews>
  <sheetFormatPr baseColWidth="10" defaultRowHeight="13" x14ac:dyDescent="0.3"/>
  <cols>
    <col min="1" max="1" width="2.54296875" style="1" customWidth="1"/>
    <col min="2" max="2" width="20.26953125" style="1" customWidth="1"/>
    <col min="3" max="3" width="12" style="1" customWidth="1"/>
    <col min="4" max="4" width="11.54296875" style="1" customWidth="1"/>
    <col min="5" max="5" width="20.26953125" style="1" customWidth="1"/>
    <col min="6" max="6" width="5.90625" style="1" customWidth="1"/>
    <col min="7" max="7" width="10.90625" style="1"/>
    <col min="8" max="8" width="13.81640625" style="1" customWidth="1"/>
    <col min="9" max="9" width="10.90625" style="1"/>
    <col min="10" max="10" width="2.453125" style="1" customWidth="1"/>
    <col min="11" max="11" width="14.08984375" style="1" customWidth="1"/>
    <col min="12" max="16384" width="10.90625" style="1"/>
  </cols>
  <sheetData>
    <row r="2" spans="2:11" x14ac:dyDescent="0.3">
      <c r="B2" s="15"/>
      <c r="C2" s="15"/>
      <c r="D2" s="15"/>
      <c r="E2" s="15"/>
      <c r="F2" s="15"/>
      <c r="G2" s="15"/>
      <c r="H2" s="15"/>
      <c r="I2" s="15"/>
      <c r="J2" s="15"/>
      <c r="K2" s="15"/>
    </row>
    <row r="3" spans="2:11" x14ac:dyDescent="0.3">
      <c r="B3" s="15"/>
      <c r="C3" s="15"/>
      <c r="D3" s="15"/>
      <c r="E3" s="15"/>
      <c r="F3" s="15"/>
      <c r="G3" s="15"/>
      <c r="H3" s="15"/>
      <c r="I3" s="15"/>
      <c r="J3" s="15"/>
      <c r="K3" s="15"/>
    </row>
    <row r="4" spans="2:11" ht="22.5" customHeight="1" x14ac:dyDescent="0.3">
      <c r="B4" s="15"/>
      <c r="C4" s="15"/>
      <c r="D4" s="15"/>
      <c r="E4" s="15"/>
      <c r="F4" s="15"/>
      <c r="G4" s="15"/>
      <c r="H4" s="15"/>
      <c r="I4" s="15"/>
      <c r="J4" s="15"/>
      <c r="K4" s="15"/>
    </row>
    <row r="5" spans="2:11" x14ac:dyDescent="0.3">
      <c r="D5" s="16"/>
    </row>
    <row r="6" spans="2:11" ht="23.5" x14ac:dyDescent="0.3">
      <c r="B6" s="32" t="s">
        <v>35</v>
      </c>
    </row>
    <row r="8" spans="2:11" ht="15.5" x14ac:dyDescent="0.35">
      <c r="B8" s="8" t="s">
        <v>14</v>
      </c>
      <c r="C8" s="8" t="str">
        <f>Seleccion</f>
        <v>Agosto</v>
      </c>
      <c r="D8" s="8"/>
      <c r="E8" s="8"/>
      <c r="F8" s="8"/>
      <c r="G8" s="8" t="s">
        <v>29</v>
      </c>
      <c r="H8" s="8"/>
      <c r="I8" s="8"/>
      <c r="J8" s="8"/>
      <c r="K8" s="8" t="s">
        <v>32</v>
      </c>
    </row>
    <row r="9" spans="2:11" ht="14" x14ac:dyDescent="0.3">
      <c r="B9" s="9" t="str">
        <f>Real[[#Headers],[CONCEPTO]]</f>
        <v>CONCEPTO</v>
      </c>
      <c r="C9" s="9" t="s">
        <v>15</v>
      </c>
      <c r="D9" s="9" t="s">
        <v>16</v>
      </c>
      <c r="E9" s="18" t="s">
        <v>33</v>
      </c>
      <c r="G9" s="9" t="s">
        <v>30</v>
      </c>
      <c r="H9" s="17">
        <f ca="1">IFERROR(SUM(OFFSET(D10,,,COUNTA(D10:D25)))/SUM(OFFSET(C10,,,COUNTA(C10:C25))),0)</f>
        <v>0.83774687804446024</v>
      </c>
      <c r="I9" s="17">
        <f ca="1">IF(Porcentaje_Gastado&gt;1,1,Porcentaje_Gastado)</f>
        <v>0.83774687804446024</v>
      </c>
      <c r="K9" s="13" t="s">
        <v>0</v>
      </c>
    </row>
    <row r="10" spans="2:11" x14ac:dyDescent="0.3">
      <c r="B10" s="10" t="str" cm="1">
        <f t="array" ref="B10:B16">Medio</f>
        <v>Salarios</v>
      </c>
      <c r="C10" s="11" cm="1">
        <f t="array" ref="C10">INDEX(Pto[[#This Row],[ENERO]:[DICIEMBRE]],,MATCH(Cálculos!$C$8,Pto[[#Headers],[ENERO]:[DICIEMBRE]],0))</f>
        <v>1824</v>
      </c>
      <c r="D10" s="11" cm="1">
        <f t="array" ref="D10">INDEX('Registro Presupuesto-Gasto'!C25:N25,,MATCH(Cálculos!$C$8,Real[[#Headers],[ENERO]:[DICIEMBRE]],0))</f>
        <v>1580</v>
      </c>
      <c r="E10" s="12">
        <f>IFERROR(C10/D10-1,0)</f>
        <v>0.15443037974683538</v>
      </c>
      <c r="G10" s="9" t="s">
        <v>31</v>
      </c>
      <c r="H10" s="17">
        <f ca="1">1-H9</f>
        <v>0.16225312195553976</v>
      </c>
      <c r="I10" s="17">
        <f ca="1">1-I9</f>
        <v>0.16225312195553976</v>
      </c>
      <c r="K10" s="13" t="s">
        <v>1</v>
      </c>
    </row>
    <row r="11" spans="2:11" x14ac:dyDescent="0.3">
      <c r="B11" s="10" t="str">
        <v xml:space="preserve">Capacitación </v>
      </c>
      <c r="C11" s="11" cm="1">
        <f t="array" ref="C11">INDEX(Pto[[#This Row],[ENERO]:[DICIEMBRE]],,MATCH(Cálculos!$C$8,Pto[[#Headers],[ENERO]:[DICIEMBRE]],0))</f>
        <v>1075</v>
      </c>
      <c r="D11" s="11" cm="1">
        <f t="array" ref="D11">INDEX('Registro Presupuesto-Gasto'!C26:N26,,MATCH(Cálculos!$C$8,Real[[#Headers],[ENERO]:[DICIEMBRE]],0))</f>
        <v>1061</v>
      </c>
      <c r="E11" s="12">
        <f t="shared" ref="E11:E16" si="0">IFERROR(C11/D11-1,0)</f>
        <v>1.3195098963242113E-2</v>
      </c>
      <c r="K11" s="13" t="s">
        <v>2</v>
      </c>
    </row>
    <row r="12" spans="2:11" x14ac:dyDescent="0.3">
      <c r="B12" s="10" t="str">
        <v>Reclutamiento</v>
      </c>
      <c r="C12" s="11" cm="1">
        <f t="array" ref="C12">INDEX(Pto[[#This Row],[ENERO]:[DICIEMBRE]],,MATCH(Cálculos!$C$8,Pto[[#Headers],[ENERO]:[DICIEMBRE]],0))</f>
        <v>1461</v>
      </c>
      <c r="D12" s="11" cm="1">
        <f t="array" ref="D12">INDEX('Registro Presupuesto-Gasto'!C27:N27,,MATCH(Cálculos!$C$8,Real[[#Headers],[ENERO]:[DICIEMBRE]],0))</f>
        <v>1196</v>
      </c>
      <c r="E12" s="12">
        <f t="shared" si="0"/>
        <v>0.22157190635451496</v>
      </c>
      <c r="K12" s="13" t="s">
        <v>3</v>
      </c>
    </row>
    <row r="13" spans="2:11" x14ac:dyDescent="0.3">
      <c r="B13" s="10" t="str">
        <v>Beneficios</v>
      </c>
      <c r="C13" s="11" cm="1">
        <f t="array" ref="C13">INDEX(Pto[[#This Row],[ENERO]:[DICIEMBRE]],,MATCH(Cálculos!$C$8,Pto[[#Headers],[ENERO]:[DICIEMBRE]],0))</f>
        <v>1592</v>
      </c>
      <c r="D13" s="11" cm="1">
        <f t="array" ref="D13">INDEX('Registro Presupuesto-Gasto'!C28:N28,,MATCH(Cálculos!$C$8,Real[[#Headers],[ENERO]:[DICIEMBRE]],0))</f>
        <v>1317</v>
      </c>
      <c r="E13" s="12">
        <f t="shared" si="0"/>
        <v>0.20880789673500377</v>
      </c>
      <c r="K13" s="13" t="s">
        <v>4</v>
      </c>
    </row>
    <row r="14" spans="2:11" x14ac:dyDescent="0.3">
      <c r="B14" s="10" t="str">
        <v>Bonos</v>
      </c>
      <c r="C14" s="11" cm="1">
        <f t="array" ref="C14">INDEX(Pto[[#This Row],[ENERO]:[DICIEMBRE]],,MATCH(Cálculos!$C$8,Pto[[#Headers],[ENERO]:[DICIEMBRE]],0))</f>
        <v>1926</v>
      </c>
      <c r="D14" s="11" cm="1">
        <f t="array" ref="D14">INDEX('Registro Presupuesto-Gasto'!C29:N29,,MATCH(Cálculos!$C$8,Real[[#Headers],[ENERO]:[DICIEMBRE]],0))</f>
        <v>1630</v>
      </c>
      <c r="E14" s="12">
        <f t="shared" si="0"/>
        <v>0.18159509202453994</v>
      </c>
      <c r="K14" s="13" t="s">
        <v>5</v>
      </c>
    </row>
    <row r="15" spans="2:11" x14ac:dyDescent="0.3">
      <c r="B15" s="10" t="str">
        <v>Viáticos</v>
      </c>
      <c r="C15" s="11" cm="1">
        <f t="array" ref="C15">INDEX(Pto[[#This Row],[ENERO]:[DICIEMBRE]],,MATCH(Cálculos!$C$8,Pto[[#Headers],[ENERO]:[DICIEMBRE]],0))</f>
        <v>1950</v>
      </c>
      <c r="D15" s="11" cm="1">
        <f t="array" ref="D15">INDEX('Registro Presupuesto-Gasto'!C30:N30,,MATCH(Cálculos!$C$8,Real[[#Headers],[ENERO]:[DICIEMBRE]],0))</f>
        <v>1339</v>
      </c>
      <c r="E15" s="12">
        <f t="shared" si="0"/>
        <v>0.4563106796116505</v>
      </c>
      <c r="K15" s="13" t="s">
        <v>6</v>
      </c>
    </row>
    <row r="16" spans="2:11" x14ac:dyDescent="0.3">
      <c r="B16" s="10" t="str">
        <v>Subsidios</v>
      </c>
      <c r="C16" s="11" cm="1">
        <f t="array" ref="C16">INDEX(Pto[[#This Row],[ENERO]:[DICIEMBRE]],,MATCH(Cálculos!$C$8,Pto[[#Headers],[ENERO]:[DICIEMBRE]],0))</f>
        <v>1463</v>
      </c>
      <c r="D16" s="11" cm="1">
        <f t="array" ref="D16">INDEX('Registro Presupuesto-Gasto'!C31:N31,,MATCH(Cálculos!$C$8,Real[[#Headers],[ENERO]:[DICIEMBRE]],0))</f>
        <v>1336</v>
      </c>
      <c r="E16" s="12">
        <f t="shared" si="0"/>
        <v>9.5059880239521055E-2</v>
      </c>
      <c r="K16" s="13" t="s">
        <v>7</v>
      </c>
    </row>
    <row r="17" spans="2:11" x14ac:dyDescent="0.3">
      <c r="B17" s="13"/>
      <c r="C17" s="13"/>
      <c r="D17" s="13"/>
      <c r="E17" s="13"/>
      <c r="K17" s="13" t="s">
        <v>8</v>
      </c>
    </row>
    <row r="18" spans="2:11" x14ac:dyDescent="0.3">
      <c r="B18" s="13"/>
      <c r="C18" s="13"/>
      <c r="D18" s="13"/>
      <c r="E18" s="13"/>
      <c r="G18" s="5"/>
      <c r="K18" s="13" t="s">
        <v>11</v>
      </c>
    </row>
    <row r="19" spans="2:11" x14ac:dyDescent="0.3">
      <c r="B19" s="13"/>
      <c r="C19" s="13"/>
      <c r="D19" s="13"/>
      <c r="E19" s="13"/>
      <c r="G19" s="5"/>
      <c r="K19" s="13" t="s">
        <v>9</v>
      </c>
    </row>
    <row r="20" spans="2:11" x14ac:dyDescent="0.3">
      <c r="G20" s="6"/>
      <c r="K20" s="13" t="s">
        <v>10</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6F7D-3B5C-4BA9-A743-8DC4CC8F38FF}">
  <dimension ref="A1:L78"/>
  <sheetViews>
    <sheetView showGridLines="0" zoomScale="50" zoomScaleNormal="50" workbookViewId="0">
      <selection activeCell="U58" sqref="U58"/>
    </sheetView>
  </sheetViews>
  <sheetFormatPr baseColWidth="10" defaultRowHeight="13" x14ac:dyDescent="0.3"/>
  <cols>
    <col min="1" max="2" width="10.90625" style="14"/>
    <col min="3" max="3" width="16.7265625" style="14" customWidth="1"/>
    <col min="4" max="10" width="10.90625" style="14"/>
    <col min="11" max="11" width="32.36328125" style="14" customWidth="1"/>
    <col min="12" max="12" width="2.08984375" style="14" customWidth="1"/>
    <col min="13" max="16384" width="10.90625" style="14"/>
  </cols>
  <sheetData>
    <row r="1" spans="1:12" x14ac:dyDescent="0.3">
      <c r="A1" s="3"/>
      <c r="B1" s="3"/>
      <c r="C1" s="3"/>
      <c r="D1" s="3"/>
      <c r="E1" s="3"/>
      <c r="F1" s="3"/>
      <c r="G1" s="3"/>
      <c r="H1" s="3"/>
      <c r="I1" s="3"/>
      <c r="J1" s="3"/>
      <c r="K1" s="3"/>
      <c r="L1" s="3"/>
    </row>
    <row r="2" spans="1:12" x14ac:dyDescent="0.3">
      <c r="A2" s="3"/>
      <c r="B2" s="3"/>
      <c r="C2" s="3"/>
      <c r="D2" s="3"/>
      <c r="E2" s="3"/>
      <c r="F2" s="3"/>
      <c r="G2" s="3"/>
      <c r="H2" s="3"/>
      <c r="I2" s="3"/>
      <c r="J2" s="3"/>
      <c r="K2" s="3"/>
      <c r="L2" s="3"/>
    </row>
    <row r="3" spans="1:12" x14ac:dyDescent="0.3">
      <c r="A3" s="3"/>
      <c r="B3" s="3"/>
      <c r="C3" s="3"/>
      <c r="D3" s="3"/>
      <c r="E3" s="3"/>
      <c r="F3" s="3"/>
      <c r="G3" s="3"/>
      <c r="H3" s="3"/>
      <c r="I3" s="3"/>
      <c r="J3" s="3"/>
      <c r="K3" s="3"/>
      <c r="L3" s="3"/>
    </row>
    <row r="4" spans="1:12" x14ac:dyDescent="0.3">
      <c r="A4" s="3"/>
      <c r="B4" s="3"/>
      <c r="C4" s="3"/>
      <c r="D4" s="3"/>
      <c r="E4" s="3"/>
      <c r="F4" s="3"/>
      <c r="G4" s="3"/>
      <c r="H4" s="3"/>
      <c r="I4" s="3"/>
      <c r="J4" s="3"/>
      <c r="K4" s="3"/>
      <c r="L4" s="3"/>
    </row>
    <row r="5" spans="1:12" x14ac:dyDescent="0.3">
      <c r="A5" s="3"/>
      <c r="B5" s="3"/>
      <c r="C5" s="3"/>
      <c r="D5" s="3"/>
      <c r="E5" s="3"/>
      <c r="F5" s="3"/>
      <c r="G5" s="3"/>
      <c r="H5" s="3"/>
      <c r="I5" s="3"/>
      <c r="J5" s="3"/>
      <c r="K5" s="3"/>
      <c r="L5" s="3"/>
    </row>
    <row r="6" spans="1:12" x14ac:dyDescent="0.3">
      <c r="A6" s="3"/>
      <c r="B6" s="3"/>
      <c r="C6" s="3"/>
      <c r="D6" s="3"/>
      <c r="E6" s="3"/>
      <c r="F6" s="3"/>
      <c r="G6" s="3"/>
      <c r="H6" s="3"/>
      <c r="I6" s="3"/>
      <c r="J6" s="3"/>
      <c r="K6" s="3"/>
      <c r="L6" s="3"/>
    </row>
    <row r="7" spans="1:12" x14ac:dyDescent="0.3">
      <c r="A7" s="3"/>
      <c r="B7" s="3"/>
      <c r="C7" s="3"/>
      <c r="D7" s="3"/>
      <c r="E7" s="3"/>
      <c r="F7" s="3"/>
      <c r="G7" s="3"/>
      <c r="H7" s="3"/>
      <c r="I7" s="3"/>
      <c r="J7" s="3"/>
      <c r="K7" s="3"/>
      <c r="L7" s="3"/>
    </row>
    <row r="8" spans="1:12" ht="24" customHeight="1" x14ac:dyDescent="0.35">
      <c r="A8" s="3"/>
      <c r="B8" s="4"/>
      <c r="C8" s="7" t="s">
        <v>7</v>
      </c>
      <c r="D8" s="3"/>
      <c r="E8" s="3"/>
      <c r="F8" s="3"/>
      <c r="G8" s="3"/>
      <c r="H8" s="3"/>
      <c r="I8" s="3"/>
      <c r="J8" s="3"/>
      <c r="K8" s="3"/>
      <c r="L8" s="3"/>
    </row>
    <row r="9" spans="1:12" x14ac:dyDescent="0.3">
      <c r="A9" s="3"/>
      <c r="B9" s="3"/>
      <c r="C9" s="3"/>
      <c r="D9" s="3"/>
      <c r="E9" s="3"/>
      <c r="F9" s="3"/>
      <c r="G9" s="3"/>
      <c r="H9" s="3"/>
      <c r="I9" s="3"/>
      <c r="J9" s="3"/>
      <c r="K9" s="3"/>
      <c r="L9" s="3"/>
    </row>
    <row r="10" spans="1:12" x14ac:dyDescent="0.3">
      <c r="A10" s="3"/>
      <c r="B10" s="3"/>
      <c r="C10" s="3"/>
      <c r="D10" s="3"/>
      <c r="E10" s="3"/>
      <c r="F10" s="3"/>
      <c r="G10" s="3"/>
      <c r="H10" s="3"/>
      <c r="I10" s="3"/>
      <c r="J10" s="3"/>
      <c r="K10" s="3"/>
      <c r="L10" s="3"/>
    </row>
    <row r="11" spans="1:12" x14ac:dyDescent="0.3">
      <c r="A11" s="3"/>
      <c r="B11" s="3"/>
      <c r="C11" s="3"/>
      <c r="D11" s="3"/>
      <c r="E11" s="3"/>
      <c r="F11" s="3"/>
      <c r="G11" s="3"/>
      <c r="H11" s="3"/>
      <c r="I11" s="3"/>
      <c r="J11" s="3"/>
      <c r="K11" s="3"/>
      <c r="L11" s="3"/>
    </row>
    <row r="12" spans="1:12" x14ac:dyDescent="0.3">
      <c r="A12" s="3"/>
      <c r="B12" s="3"/>
      <c r="C12" s="3"/>
      <c r="D12" s="3"/>
      <c r="E12" s="3"/>
      <c r="F12" s="3"/>
      <c r="G12" s="3"/>
      <c r="H12" s="3"/>
      <c r="I12" s="3"/>
      <c r="J12" s="3"/>
      <c r="K12" s="3"/>
      <c r="L12" s="3"/>
    </row>
    <row r="13" spans="1:12" x14ac:dyDescent="0.3">
      <c r="A13" s="3"/>
      <c r="B13" s="3"/>
      <c r="C13" s="3"/>
      <c r="D13" s="3"/>
      <c r="E13" s="3"/>
      <c r="F13" s="3"/>
      <c r="G13" s="3"/>
      <c r="H13" s="3"/>
      <c r="I13" s="3"/>
      <c r="J13" s="3"/>
      <c r="K13" s="3"/>
      <c r="L13" s="3"/>
    </row>
    <row r="14" spans="1:12" x14ac:dyDescent="0.3">
      <c r="A14" s="3"/>
      <c r="B14" s="3"/>
      <c r="C14" s="3"/>
      <c r="D14" s="3"/>
      <c r="E14" s="3"/>
      <c r="F14" s="3"/>
      <c r="G14" s="3"/>
      <c r="H14" s="3"/>
      <c r="I14" s="3"/>
      <c r="J14" s="3"/>
      <c r="K14" s="3"/>
      <c r="L14" s="3"/>
    </row>
    <row r="15" spans="1:12" x14ac:dyDescent="0.3">
      <c r="A15" s="3"/>
      <c r="B15" s="3"/>
      <c r="C15" s="3"/>
      <c r="D15" s="3"/>
      <c r="E15" s="3"/>
      <c r="F15" s="3"/>
      <c r="G15" s="3"/>
      <c r="H15" s="3"/>
      <c r="I15" s="3"/>
      <c r="J15" s="3"/>
      <c r="K15" s="3"/>
      <c r="L15" s="3"/>
    </row>
    <row r="16" spans="1:12" x14ac:dyDescent="0.3">
      <c r="A16" s="3"/>
      <c r="B16" s="3"/>
      <c r="C16" s="3"/>
      <c r="D16" s="3"/>
      <c r="E16" s="3"/>
      <c r="F16" s="3"/>
      <c r="G16" s="3"/>
      <c r="H16" s="3"/>
      <c r="I16" s="3"/>
      <c r="J16" s="3"/>
      <c r="K16" s="3"/>
      <c r="L16" s="3"/>
    </row>
    <row r="17" spans="1:12" x14ac:dyDescent="0.3">
      <c r="A17" s="3"/>
      <c r="B17" s="3"/>
      <c r="C17" s="3"/>
      <c r="D17" s="3"/>
      <c r="E17" s="3"/>
      <c r="F17" s="3"/>
      <c r="G17" s="3"/>
      <c r="H17" s="3"/>
      <c r="I17" s="3"/>
      <c r="J17" s="3"/>
      <c r="K17" s="3"/>
      <c r="L17" s="3"/>
    </row>
    <row r="18" spans="1:12" x14ac:dyDescent="0.3">
      <c r="A18" s="3"/>
      <c r="B18" s="3"/>
      <c r="C18" s="3"/>
      <c r="D18" s="3"/>
      <c r="E18" s="3"/>
      <c r="F18" s="3"/>
      <c r="G18" s="3"/>
      <c r="H18" s="3"/>
      <c r="I18" s="3"/>
      <c r="J18" s="3"/>
      <c r="K18" s="3"/>
      <c r="L18" s="3"/>
    </row>
    <row r="19" spans="1:12" x14ac:dyDescent="0.3">
      <c r="A19" s="3"/>
      <c r="B19" s="3"/>
      <c r="C19" s="3"/>
      <c r="D19" s="3"/>
      <c r="E19" s="3"/>
      <c r="F19" s="3"/>
      <c r="G19" s="3"/>
      <c r="H19" s="3"/>
      <c r="I19" s="3"/>
      <c r="J19" s="3"/>
      <c r="K19" s="3"/>
      <c r="L19" s="3"/>
    </row>
    <row r="20" spans="1:12" x14ac:dyDescent="0.3">
      <c r="A20" s="3"/>
      <c r="B20" s="3"/>
      <c r="C20" s="3"/>
      <c r="D20" s="3"/>
      <c r="E20" s="3"/>
      <c r="F20" s="3"/>
      <c r="G20" s="3"/>
      <c r="H20" s="3"/>
      <c r="I20" s="3"/>
      <c r="J20" s="3"/>
      <c r="K20" s="3"/>
      <c r="L20" s="3"/>
    </row>
    <row r="21" spans="1:12" x14ac:dyDescent="0.3">
      <c r="A21" s="3"/>
      <c r="B21" s="3"/>
      <c r="C21" s="3"/>
      <c r="D21" s="3"/>
      <c r="E21" s="3"/>
      <c r="F21" s="3"/>
      <c r="G21" s="3"/>
      <c r="H21" s="3"/>
      <c r="I21" s="3"/>
      <c r="J21" s="3"/>
      <c r="K21" s="3"/>
      <c r="L21" s="3"/>
    </row>
    <row r="22" spans="1:12" x14ac:dyDescent="0.3">
      <c r="A22" s="3"/>
      <c r="B22" s="3"/>
      <c r="C22" s="3"/>
      <c r="D22" s="3"/>
      <c r="E22" s="3"/>
      <c r="F22" s="3"/>
      <c r="G22" s="3"/>
      <c r="H22" s="3"/>
      <c r="I22" s="3"/>
      <c r="J22" s="3"/>
      <c r="K22" s="3"/>
      <c r="L22" s="3"/>
    </row>
    <row r="23" spans="1:12" x14ac:dyDescent="0.3">
      <c r="A23" s="3"/>
      <c r="B23" s="3"/>
      <c r="C23" s="3"/>
      <c r="D23" s="3"/>
      <c r="E23" s="3"/>
      <c r="F23" s="3"/>
      <c r="G23" s="3"/>
      <c r="H23" s="3"/>
      <c r="I23" s="3"/>
      <c r="J23" s="3"/>
      <c r="K23" s="3"/>
      <c r="L23" s="3"/>
    </row>
    <row r="24" spans="1:12" x14ac:dyDescent="0.3">
      <c r="A24" s="3"/>
      <c r="B24" s="3"/>
      <c r="C24" s="3"/>
      <c r="D24" s="3"/>
      <c r="E24" s="3"/>
      <c r="F24" s="3"/>
      <c r="G24" s="3"/>
      <c r="H24" s="3"/>
      <c r="I24" s="3"/>
      <c r="J24" s="3"/>
      <c r="K24" s="3"/>
      <c r="L24" s="3"/>
    </row>
    <row r="25" spans="1:12" x14ac:dyDescent="0.3">
      <c r="A25" s="3"/>
      <c r="B25" s="3"/>
      <c r="C25" s="3"/>
      <c r="D25" s="3"/>
      <c r="E25" s="3"/>
      <c r="F25" s="3"/>
      <c r="G25" s="3"/>
      <c r="H25" s="3"/>
      <c r="I25" s="3"/>
      <c r="J25" s="3"/>
      <c r="K25" s="3"/>
      <c r="L25" s="3"/>
    </row>
    <row r="26" spans="1:12" x14ac:dyDescent="0.3">
      <c r="A26" s="3"/>
      <c r="B26" s="3"/>
      <c r="C26" s="3"/>
      <c r="D26" s="3"/>
      <c r="E26" s="3"/>
      <c r="F26" s="3"/>
      <c r="G26" s="3"/>
      <c r="H26" s="3"/>
      <c r="I26" s="3"/>
      <c r="J26" s="3"/>
      <c r="K26" s="3"/>
      <c r="L26" s="3"/>
    </row>
    <row r="27" spans="1:12" x14ac:dyDescent="0.3">
      <c r="A27" s="3"/>
      <c r="B27" s="3"/>
      <c r="C27" s="3"/>
      <c r="D27" s="3"/>
      <c r="E27" s="3"/>
      <c r="F27" s="3"/>
      <c r="G27" s="3"/>
      <c r="H27" s="3"/>
      <c r="I27" s="3"/>
      <c r="J27" s="3"/>
      <c r="K27" s="3"/>
      <c r="L27" s="3"/>
    </row>
    <row r="28" spans="1:12" x14ac:dyDescent="0.3">
      <c r="A28" s="3"/>
      <c r="B28" s="3"/>
      <c r="C28" s="3"/>
      <c r="D28" s="3"/>
      <c r="E28" s="3"/>
      <c r="F28" s="3"/>
      <c r="G28" s="3"/>
      <c r="H28" s="3"/>
      <c r="I28" s="3"/>
      <c r="J28" s="3"/>
      <c r="K28" s="3"/>
      <c r="L28" s="3"/>
    </row>
    <row r="29" spans="1:12" x14ac:dyDescent="0.3">
      <c r="A29" s="3"/>
      <c r="B29" s="3"/>
      <c r="C29" s="3"/>
      <c r="D29" s="3"/>
      <c r="E29" s="3"/>
      <c r="F29" s="3"/>
      <c r="G29" s="3"/>
      <c r="H29" s="3"/>
      <c r="I29" s="3"/>
      <c r="J29" s="3"/>
      <c r="K29" s="3"/>
      <c r="L29" s="3"/>
    </row>
    <row r="30" spans="1:12" x14ac:dyDescent="0.3">
      <c r="A30" s="3"/>
      <c r="B30" s="3"/>
      <c r="C30" s="3"/>
      <c r="D30" s="3"/>
      <c r="E30" s="3"/>
      <c r="F30" s="3"/>
      <c r="G30" s="3"/>
      <c r="H30" s="3"/>
      <c r="I30" s="3"/>
      <c r="J30" s="3"/>
      <c r="K30" s="3"/>
      <c r="L30" s="3"/>
    </row>
    <row r="31" spans="1:12" x14ac:dyDescent="0.3">
      <c r="A31" s="3"/>
      <c r="B31" s="3"/>
      <c r="C31" s="3"/>
      <c r="D31" s="3"/>
      <c r="E31" s="3"/>
      <c r="F31" s="3"/>
      <c r="G31" s="3"/>
      <c r="H31" s="3"/>
      <c r="I31" s="3"/>
      <c r="J31" s="3"/>
      <c r="K31" s="3"/>
      <c r="L31" s="3"/>
    </row>
    <row r="32" spans="1:12" x14ac:dyDescent="0.3">
      <c r="A32" s="3"/>
      <c r="B32" s="3"/>
      <c r="C32" s="3"/>
      <c r="D32" s="3"/>
      <c r="E32" s="3"/>
      <c r="F32" s="3"/>
      <c r="G32" s="3"/>
      <c r="H32" s="3"/>
      <c r="I32" s="3"/>
      <c r="J32" s="3"/>
      <c r="K32" s="3"/>
      <c r="L32" s="3"/>
    </row>
    <row r="33" spans="1:12" x14ac:dyDescent="0.3">
      <c r="A33" s="3"/>
      <c r="B33" s="3"/>
      <c r="C33" s="3"/>
      <c r="D33" s="3"/>
      <c r="E33" s="3"/>
      <c r="F33" s="3"/>
      <c r="G33" s="3"/>
      <c r="H33" s="3"/>
      <c r="I33" s="3"/>
      <c r="J33" s="3"/>
      <c r="K33" s="3"/>
      <c r="L33" s="3"/>
    </row>
    <row r="34" spans="1:12" x14ac:dyDescent="0.3">
      <c r="A34" s="3"/>
      <c r="B34" s="3"/>
      <c r="C34" s="3"/>
      <c r="D34" s="3"/>
      <c r="E34" s="3"/>
      <c r="F34" s="3"/>
      <c r="G34" s="3"/>
      <c r="H34" s="3"/>
      <c r="I34" s="3"/>
      <c r="J34" s="3"/>
      <c r="K34" s="3"/>
      <c r="L34" s="3"/>
    </row>
    <row r="35" spans="1:12" x14ac:dyDescent="0.3">
      <c r="A35" s="3"/>
      <c r="B35" s="3"/>
      <c r="C35" s="3"/>
      <c r="D35" s="3"/>
      <c r="E35" s="3"/>
      <c r="F35" s="3"/>
      <c r="G35" s="3"/>
      <c r="H35" s="3"/>
      <c r="I35" s="3"/>
      <c r="J35" s="3"/>
      <c r="K35" s="3"/>
      <c r="L35" s="3"/>
    </row>
    <row r="36" spans="1:12" x14ac:dyDescent="0.3">
      <c r="A36" s="3"/>
      <c r="B36" s="3"/>
      <c r="C36" s="3"/>
      <c r="D36" s="3"/>
      <c r="E36" s="3"/>
      <c r="F36" s="3"/>
      <c r="G36" s="3"/>
      <c r="H36" s="3"/>
      <c r="I36" s="3"/>
      <c r="J36" s="3"/>
      <c r="K36" s="3"/>
      <c r="L36" s="3"/>
    </row>
    <row r="37" spans="1:12" x14ac:dyDescent="0.3">
      <c r="A37" s="3"/>
      <c r="B37" s="3"/>
      <c r="C37" s="3"/>
      <c r="D37" s="3"/>
      <c r="E37" s="3"/>
      <c r="F37" s="3"/>
      <c r="G37" s="3"/>
      <c r="H37" s="3"/>
      <c r="I37" s="3"/>
      <c r="J37" s="3"/>
      <c r="K37" s="3"/>
      <c r="L37" s="3"/>
    </row>
    <row r="38" spans="1:12" x14ac:dyDescent="0.3">
      <c r="A38" s="3"/>
      <c r="B38" s="3"/>
      <c r="C38" s="3"/>
      <c r="D38" s="3"/>
      <c r="E38" s="3"/>
      <c r="F38" s="3"/>
      <c r="G38" s="3"/>
      <c r="H38" s="3"/>
      <c r="I38" s="3"/>
      <c r="J38" s="3"/>
      <c r="K38" s="3"/>
      <c r="L38" s="3"/>
    </row>
    <row r="39" spans="1:12" x14ac:dyDescent="0.3">
      <c r="A39" s="3"/>
      <c r="B39" s="3"/>
      <c r="C39" s="3"/>
      <c r="D39" s="3"/>
      <c r="E39" s="3"/>
      <c r="F39" s="3"/>
      <c r="G39" s="3"/>
      <c r="H39" s="3"/>
      <c r="I39" s="3"/>
      <c r="J39" s="3"/>
      <c r="K39" s="3"/>
      <c r="L39" s="3"/>
    </row>
    <row r="40" spans="1:12" x14ac:dyDescent="0.3">
      <c r="A40" s="3"/>
      <c r="B40" s="3"/>
      <c r="C40" s="3"/>
      <c r="D40" s="3"/>
      <c r="E40" s="3"/>
      <c r="F40" s="3"/>
      <c r="G40" s="3"/>
      <c r="H40" s="3"/>
      <c r="I40" s="3"/>
      <c r="J40" s="3"/>
      <c r="K40" s="3"/>
      <c r="L40" s="3"/>
    </row>
    <row r="41" spans="1:12" x14ac:dyDescent="0.3">
      <c r="A41" s="3"/>
      <c r="B41" s="3"/>
      <c r="C41" s="3"/>
      <c r="D41" s="3"/>
      <c r="E41" s="3"/>
      <c r="F41" s="3"/>
      <c r="G41" s="3"/>
      <c r="H41" s="3"/>
      <c r="I41" s="3"/>
      <c r="J41" s="3"/>
      <c r="K41" s="3"/>
      <c r="L41" s="3"/>
    </row>
    <row r="42" spans="1:12" x14ac:dyDescent="0.3">
      <c r="A42" s="3"/>
      <c r="B42" s="3"/>
      <c r="C42" s="3"/>
      <c r="D42" s="3"/>
      <c r="E42" s="3"/>
      <c r="F42" s="3"/>
      <c r="G42" s="3"/>
      <c r="H42" s="3"/>
      <c r="I42" s="3"/>
      <c r="J42" s="3"/>
      <c r="K42" s="3"/>
      <c r="L42" s="3"/>
    </row>
    <row r="43" spans="1:12" x14ac:dyDescent="0.3">
      <c r="A43" s="3"/>
      <c r="B43" s="3"/>
      <c r="C43" s="3"/>
      <c r="D43" s="3"/>
      <c r="E43" s="3"/>
      <c r="F43" s="3"/>
      <c r="G43" s="3"/>
      <c r="H43" s="3"/>
      <c r="I43" s="3"/>
      <c r="J43" s="3"/>
      <c r="K43" s="3"/>
      <c r="L43" s="3"/>
    </row>
    <row r="44" spans="1:12" x14ac:dyDescent="0.3">
      <c r="A44" s="3"/>
      <c r="B44" s="3"/>
      <c r="C44" s="3"/>
      <c r="D44" s="3"/>
      <c r="E44" s="3"/>
      <c r="F44" s="3"/>
      <c r="G44" s="3"/>
      <c r="H44" s="3"/>
      <c r="I44" s="3"/>
      <c r="J44" s="3"/>
      <c r="K44" s="3"/>
      <c r="L44" s="3"/>
    </row>
    <row r="45" spans="1:12" x14ac:dyDescent="0.3">
      <c r="A45" s="3"/>
      <c r="B45" s="3"/>
      <c r="C45" s="3"/>
      <c r="D45" s="3"/>
      <c r="E45" s="3"/>
      <c r="F45" s="3"/>
      <c r="G45" s="3"/>
      <c r="H45" s="3"/>
      <c r="I45" s="3"/>
      <c r="J45" s="3"/>
      <c r="K45" s="3"/>
      <c r="L45" s="3"/>
    </row>
    <row r="46" spans="1:12" x14ac:dyDescent="0.3">
      <c r="A46" s="3"/>
      <c r="B46" s="3"/>
      <c r="C46" s="3"/>
      <c r="D46" s="3"/>
      <c r="E46" s="3"/>
      <c r="F46" s="3"/>
      <c r="G46" s="3"/>
      <c r="H46" s="3"/>
      <c r="I46" s="3"/>
      <c r="J46" s="3"/>
      <c r="K46" s="3"/>
      <c r="L46" s="3"/>
    </row>
    <row r="47" spans="1:12" x14ac:dyDescent="0.3">
      <c r="A47" s="3"/>
      <c r="B47" s="3"/>
      <c r="C47" s="3"/>
      <c r="D47" s="3"/>
      <c r="E47" s="3"/>
      <c r="F47" s="3"/>
      <c r="G47" s="3"/>
      <c r="H47" s="3"/>
      <c r="I47" s="3"/>
      <c r="J47" s="3"/>
      <c r="K47" s="3"/>
      <c r="L47" s="3"/>
    </row>
    <row r="48" spans="1:12" x14ac:dyDescent="0.3">
      <c r="A48" s="3"/>
      <c r="B48" s="3"/>
      <c r="C48" s="3"/>
      <c r="D48" s="3"/>
      <c r="E48" s="3"/>
      <c r="F48" s="3"/>
      <c r="G48" s="3"/>
      <c r="H48" s="3"/>
      <c r="I48" s="3"/>
      <c r="J48" s="3"/>
      <c r="K48" s="3"/>
      <c r="L48" s="3"/>
    </row>
    <row r="49" spans="1:12" x14ac:dyDescent="0.3">
      <c r="A49" s="3"/>
      <c r="B49" s="3"/>
      <c r="C49" s="3"/>
      <c r="D49" s="3"/>
      <c r="E49" s="3"/>
      <c r="F49" s="3"/>
      <c r="G49" s="3"/>
      <c r="H49" s="3"/>
      <c r="I49" s="3"/>
      <c r="J49" s="3"/>
      <c r="K49" s="3"/>
      <c r="L49" s="3"/>
    </row>
    <row r="50" spans="1:12" x14ac:dyDescent="0.3">
      <c r="A50" s="3"/>
      <c r="B50" s="3"/>
      <c r="C50" s="3"/>
      <c r="D50" s="3"/>
      <c r="E50" s="3"/>
      <c r="F50" s="3"/>
      <c r="G50" s="3"/>
      <c r="H50" s="3"/>
      <c r="I50" s="3"/>
      <c r="J50" s="3"/>
      <c r="K50" s="3"/>
      <c r="L50" s="3"/>
    </row>
    <row r="51" spans="1:12" x14ac:dyDescent="0.3">
      <c r="A51" s="3"/>
      <c r="B51" s="3"/>
      <c r="C51" s="3"/>
      <c r="D51" s="3"/>
      <c r="E51" s="3"/>
      <c r="F51" s="3"/>
      <c r="G51" s="3"/>
      <c r="H51" s="3"/>
      <c r="I51" s="3"/>
      <c r="J51" s="3"/>
      <c r="K51" s="3"/>
      <c r="L51" s="3"/>
    </row>
    <row r="52" spans="1:12" x14ac:dyDescent="0.3">
      <c r="A52" s="3"/>
      <c r="B52" s="3"/>
      <c r="C52" s="3"/>
      <c r="D52" s="3"/>
      <c r="E52" s="3"/>
      <c r="F52" s="3"/>
      <c r="G52" s="3"/>
      <c r="H52" s="3"/>
      <c r="I52" s="3"/>
      <c r="J52" s="3"/>
      <c r="K52" s="3"/>
      <c r="L52" s="3"/>
    </row>
    <row r="53" spans="1:12" x14ac:dyDescent="0.3">
      <c r="A53" s="3"/>
      <c r="B53" s="3"/>
      <c r="C53" s="3"/>
      <c r="D53" s="3"/>
      <c r="E53" s="3"/>
      <c r="F53" s="3"/>
      <c r="G53" s="3"/>
      <c r="H53" s="3"/>
      <c r="I53" s="3"/>
      <c r="J53" s="3"/>
      <c r="K53" s="3"/>
      <c r="L53" s="3"/>
    </row>
    <row r="54" spans="1:12" x14ac:dyDescent="0.3">
      <c r="A54" s="3"/>
      <c r="B54" s="3"/>
      <c r="C54" s="3"/>
      <c r="D54" s="3"/>
      <c r="E54" s="3"/>
      <c r="F54" s="3"/>
      <c r="G54" s="3"/>
      <c r="H54" s="3"/>
      <c r="I54" s="3"/>
      <c r="J54" s="3"/>
      <c r="K54" s="3"/>
      <c r="L54" s="3"/>
    </row>
    <row r="55" spans="1:12" x14ac:dyDescent="0.3">
      <c r="A55" s="3"/>
      <c r="B55" s="3"/>
      <c r="C55" s="3"/>
      <c r="D55" s="3"/>
      <c r="E55" s="3"/>
      <c r="F55" s="3"/>
      <c r="G55" s="3"/>
      <c r="H55" s="3"/>
      <c r="I55" s="3"/>
      <c r="J55" s="3"/>
      <c r="K55" s="3"/>
      <c r="L55" s="3"/>
    </row>
    <row r="56" spans="1:12" x14ac:dyDescent="0.3">
      <c r="A56" s="3"/>
      <c r="B56" s="3"/>
      <c r="C56" s="3"/>
      <c r="D56" s="3"/>
      <c r="E56" s="3"/>
      <c r="F56" s="3"/>
      <c r="G56" s="3"/>
      <c r="H56" s="3"/>
      <c r="I56" s="3"/>
      <c r="J56" s="3"/>
      <c r="K56" s="3"/>
      <c r="L56" s="3"/>
    </row>
    <row r="57" spans="1:12" x14ac:dyDescent="0.3">
      <c r="A57" s="3"/>
      <c r="B57" s="3"/>
      <c r="C57" s="3"/>
      <c r="D57" s="3"/>
      <c r="E57" s="3"/>
      <c r="F57" s="3"/>
      <c r="G57" s="3"/>
      <c r="H57" s="3"/>
      <c r="I57" s="3"/>
      <c r="J57" s="3"/>
      <c r="K57" s="3"/>
      <c r="L57" s="3"/>
    </row>
    <row r="58" spans="1:12" x14ac:dyDescent="0.3">
      <c r="A58" s="3"/>
      <c r="B58" s="3"/>
      <c r="C58" s="3"/>
      <c r="D58" s="3"/>
      <c r="E58" s="3"/>
      <c r="F58" s="3"/>
      <c r="G58" s="3"/>
      <c r="H58" s="3"/>
      <c r="I58" s="3"/>
      <c r="J58" s="3"/>
      <c r="K58" s="3"/>
      <c r="L58" s="3"/>
    </row>
    <row r="59" spans="1:12" x14ac:dyDescent="0.3">
      <c r="A59" s="3"/>
      <c r="B59" s="3"/>
      <c r="C59" s="3"/>
      <c r="D59" s="3"/>
      <c r="E59" s="3"/>
      <c r="F59" s="3"/>
      <c r="G59" s="3"/>
      <c r="H59" s="3"/>
      <c r="I59" s="3"/>
      <c r="J59" s="3"/>
      <c r="K59" s="3"/>
      <c r="L59" s="3"/>
    </row>
    <row r="60" spans="1:12" x14ac:dyDescent="0.3">
      <c r="A60" s="3"/>
      <c r="B60" s="3"/>
      <c r="C60" s="3"/>
      <c r="D60" s="3"/>
      <c r="E60" s="3"/>
      <c r="F60" s="3"/>
      <c r="G60" s="3"/>
      <c r="H60" s="3"/>
      <c r="I60" s="3"/>
      <c r="J60" s="3"/>
      <c r="K60" s="3"/>
      <c r="L60" s="3"/>
    </row>
    <row r="61" spans="1:12" x14ac:dyDescent="0.3">
      <c r="A61" s="3"/>
      <c r="B61" s="3"/>
      <c r="C61" s="3"/>
      <c r="D61" s="3"/>
      <c r="E61" s="3"/>
      <c r="F61" s="3"/>
      <c r="G61" s="3"/>
      <c r="H61" s="3"/>
      <c r="I61" s="3"/>
      <c r="J61" s="3"/>
      <c r="K61" s="3"/>
      <c r="L61" s="3"/>
    </row>
    <row r="62" spans="1:12" x14ac:dyDescent="0.3">
      <c r="A62" s="3"/>
      <c r="B62" s="3"/>
      <c r="C62" s="3"/>
      <c r="D62" s="3"/>
      <c r="E62" s="3"/>
      <c r="F62" s="3"/>
      <c r="G62" s="3"/>
      <c r="H62" s="3"/>
      <c r="I62" s="3"/>
      <c r="J62" s="3"/>
      <c r="K62" s="3"/>
      <c r="L62" s="3"/>
    </row>
    <row r="63" spans="1:12" x14ac:dyDescent="0.3">
      <c r="A63" s="3"/>
      <c r="B63" s="3"/>
      <c r="C63" s="3"/>
      <c r="D63" s="3"/>
      <c r="E63" s="3"/>
      <c r="F63" s="3"/>
      <c r="G63" s="3"/>
      <c r="H63" s="3"/>
      <c r="I63" s="3"/>
      <c r="J63" s="3"/>
      <c r="K63" s="3"/>
      <c r="L63" s="3"/>
    </row>
    <row r="64" spans="1:12" x14ac:dyDescent="0.3">
      <c r="A64" s="3"/>
      <c r="B64" s="3"/>
      <c r="C64" s="3"/>
      <c r="D64" s="3"/>
      <c r="E64" s="3"/>
      <c r="F64" s="3"/>
      <c r="G64" s="3"/>
      <c r="H64" s="3"/>
      <c r="I64" s="3"/>
      <c r="J64" s="3"/>
      <c r="K64" s="3"/>
      <c r="L64" s="3"/>
    </row>
    <row r="65" spans="1:12" x14ac:dyDescent="0.3">
      <c r="A65" s="3"/>
      <c r="B65" s="3"/>
      <c r="C65" s="3"/>
      <c r="D65" s="3"/>
      <c r="E65" s="3"/>
      <c r="F65" s="3"/>
      <c r="G65" s="3"/>
      <c r="H65" s="3"/>
      <c r="I65" s="3"/>
      <c r="J65" s="3"/>
      <c r="K65" s="3"/>
      <c r="L65" s="3"/>
    </row>
    <row r="66" spans="1:12" x14ac:dyDescent="0.3">
      <c r="A66" s="3"/>
      <c r="B66" s="3"/>
      <c r="C66" s="3"/>
      <c r="D66" s="3"/>
      <c r="E66" s="3"/>
      <c r="F66" s="3"/>
      <c r="G66" s="3"/>
      <c r="H66" s="3"/>
      <c r="I66" s="3"/>
      <c r="J66" s="3"/>
      <c r="K66" s="3"/>
      <c r="L66" s="3"/>
    </row>
    <row r="67" spans="1:12" x14ac:dyDescent="0.3">
      <c r="A67" s="3"/>
      <c r="B67" s="3"/>
      <c r="C67" s="3"/>
      <c r="D67" s="3"/>
      <c r="E67" s="3"/>
      <c r="F67" s="3"/>
      <c r="G67" s="3"/>
      <c r="H67" s="3"/>
      <c r="I67" s="3"/>
      <c r="J67" s="3"/>
      <c r="K67" s="3"/>
      <c r="L67" s="3"/>
    </row>
    <row r="68" spans="1:12" x14ac:dyDescent="0.3">
      <c r="A68" s="3"/>
      <c r="B68" s="3"/>
      <c r="C68" s="3"/>
      <c r="D68" s="3"/>
      <c r="E68" s="3"/>
      <c r="F68" s="3"/>
      <c r="G68" s="3"/>
      <c r="H68" s="3"/>
      <c r="I68" s="3"/>
      <c r="J68" s="3"/>
      <c r="K68" s="3"/>
      <c r="L68" s="3"/>
    </row>
    <row r="69" spans="1:12" x14ac:dyDescent="0.3">
      <c r="A69" s="3"/>
      <c r="B69" s="3"/>
      <c r="C69" s="3"/>
      <c r="D69" s="3"/>
      <c r="E69" s="3"/>
      <c r="F69" s="3"/>
      <c r="G69" s="3"/>
      <c r="H69" s="3"/>
      <c r="I69" s="3"/>
      <c r="J69" s="3"/>
      <c r="K69" s="3"/>
      <c r="L69" s="3"/>
    </row>
    <row r="70" spans="1:12" x14ac:dyDescent="0.3">
      <c r="A70" s="3"/>
      <c r="B70" s="3"/>
      <c r="C70" s="3"/>
      <c r="D70" s="3"/>
      <c r="E70" s="3"/>
      <c r="F70" s="3"/>
      <c r="G70" s="3"/>
      <c r="H70" s="3"/>
      <c r="I70" s="3"/>
      <c r="J70" s="3"/>
      <c r="K70" s="3"/>
      <c r="L70" s="3"/>
    </row>
    <row r="71" spans="1:12" x14ac:dyDescent="0.3">
      <c r="A71" s="3"/>
      <c r="B71" s="3"/>
      <c r="C71" s="3"/>
      <c r="D71" s="3"/>
      <c r="E71" s="3"/>
      <c r="F71" s="3"/>
      <c r="G71" s="3"/>
      <c r="H71" s="3"/>
      <c r="I71" s="3"/>
      <c r="J71" s="3"/>
      <c r="K71" s="3"/>
      <c r="L71" s="3"/>
    </row>
    <row r="72" spans="1:12" x14ac:dyDescent="0.3">
      <c r="A72" s="3"/>
      <c r="B72" s="3"/>
      <c r="C72" s="3"/>
      <c r="D72" s="3"/>
      <c r="E72" s="3"/>
      <c r="F72" s="3"/>
      <c r="G72" s="3"/>
      <c r="H72" s="3"/>
      <c r="I72" s="3"/>
      <c r="J72" s="3"/>
      <c r="K72" s="3"/>
      <c r="L72" s="3"/>
    </row>
    <row r="73" spans="1:12" x14ac:dyDescent="0.3">
      <c r="A73" s="3"/>
      <c r="B73" s="3"/>
      <c r="C73" s="3"/>
      <c r="D73" s="3"/>
      <c r="E73" s="3"/>
      <c r="F73" s="3"/>
      <c r="G73" s="3"/>
      <c r="H73" s="3"/>
      <c r="I73" s="3"/>
      <c r="J73" s="3"/>
      <c r="K73" s="3"/>
      <c r="L73" s="3"/>
    </row>
    <row r="74" spans="1:12" x14ac:dyDescent="0.3">
      <c r="A74" s="3"/>
      <c r="B74" s="3"/>
      <c r="C74" s="3"/>
      <c r="D74" s="3"/>
      <c r="E74" s="3"/>
      <c r="F74" s="3"/>
      <c r="G74" s="3"/>
      <c r="H74" s="3"/>
      <c r="I74" s="3"/>
      <c r="J74" s="3"/>
      <c r="K74" s="3"/>
      <c r="L74" s="3"/>
    </row>
    <row r="75" spans="1:12" x14ac:dyDescent="0.3">
      <c r="A75" s="3"/>
      <c r="B75" s="3"/>
      <c r="C75" s="3"/>
      <c r="D75" s="3"/>
      <c r="E75" s="3"/>
      <c r="F75" s="3"/>
      <c r="G75" s="3"/>
      <c r="H75" s="3"/>
      <c r="I75" s="3"/>
      <c r="J75" s="3"/>
      <c r="K75" s="3"/>
      <c r="L75" s="3"/>
    </row>
    <row r="76" spans="1:12" x14ac:dyDescent="0.3">
      <c r="A76" s="3"/>
      <c r="B76" s="3"/>
      <c r="C76" s="3"/>
      <c r="D76" s="3"/>
      <c r="E76" s="3"/>
      <c r="F76" s="3"/>
      <c r="G76" s="3"/>
      <c r="H76" s="3"/>
      <c r="I76" s="3"/>
      <c r="J76" s="3"/>
      <c r="K76" s="3"/>
      <c r="L76" s="3"/>
    </row>
    <row r="77" spans="1:12" x14ac:dyDescent="0.3">
      <c r="A77" s="3"/>
      <c r="B77" s="3"/>
      <c r="C77" s="3"/>
      <c r="D77" s="3"/>
      <c r="E77" s="3"/>
      <c r="F77" s="3"/>
      <c r="G77" s="3"/>
      <c r="H77" s="3"/>
      <c r="I77" s="3"/>
      <c r="J77" s="3"/>
      <c r="K77" s="3"/>
      <c r="L77" s="3"/>
    </row>
    <row r="78" spans="1:12" x14ac:dyDescent="0.3">
      <c r="A78" s="3"/>
      <c r="B78" s="3"/>
      <c r="C78" s="3"/>
      <c r="D78" s="3"/>
      <c r="E78" s="3"/>
      <c r="F78" s="3"/>
      <c r="G78" s="3"/>
      <c r="H78" s="3"/>
      <c r="I78" s="3"/>
      <c r="J78" s="3"/>
      <c r="K78" s="3"/>
      <c r="L78" s="3"/>
    </row>
  </sheetData>
  <dataValidations disablePrompts="1" count="1">
    <dataValidation type="list" allowBlank="1" showInputMessage="1" showErrorMessage="1" sqref="C8" xr:uid="{D31FDCDF-063A-498B-85AC-DB1C001C1555}">
      <formula1>Meses</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 AYUDA -</vt:lpstr>
      <vt:lpstr>Registro Presupuesto-Gasto</vt:lpstr>
      <vt:lpstr>Cálculos</vt:lpstr>
      <vt:lpstr>Dashboard de RRHH</vt:lpstr>
      <vt:lpstr>Medio</vt:lpstr>
      <vt:lpstr>Meses</vt:lpstr>
      <vt:lpstr>Porcentaje_Gastado</vt:lpstr>
      <vt:lpstr>Seleccion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Planilla Excel</dc:creator>
  <cp:lastModifiedBy>Cecilia PlanillaExcel</cp:lastModifiedBy>
  <dcterms:created xsi:type="dcterms:W3CDTF">2017-10-03T23:41:29Z</dcterms:created>
  <dcterms:modified xsi:type="dcterms:W3CDTF">2024-09-12T12:50:38Z</dcterms:modified>
</cp:coreProperties>
</file>